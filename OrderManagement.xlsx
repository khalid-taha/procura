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ustomers" sheetId="2" state="visible" r:id="rId4"/>
    <sheet name="Suppliers" sheetId="3" state="visible" r:id="rId5"/>
    <sheet name="Products" sheetId="4" state="visible" r:id="rId6"/>
    <sheet name="SalesOrders" sheetId="5" state="visible" r:id="rId7"/>
    <sheet name="SalesOrderLines" sheetId="6" state="visible" r:id="rId8"/>
    <sheet name="PurchaseOrders" sheetId="7" state="visible" r:id="rId9"/>
    <sheet name="PurchaseOrderLines" sheetId="8" state="visible" r:id="rId10"/>
    <sheet name="Payments" sheetId="9" state="visible" r:id="rId11"/>
    <sheet name="InventoryMovements" sheetId="10" state="visible" r:id="rId12"/>
    <sheet name="StockLevels" sheetId="11" state="visible" r:id="rId13"/>
    <sheet name="_VatRates" sheetId="12" state="hidden" r:id="rId14"/>
    <sheet name="_Enums" sheetId="13" state="hidden" r:id="rId15"/>
  </sheets>
  <definedNames>
    <definedName function="false" hidden="false" name="enum_order_status" vbProcedure="false">_Enums!$A$2:$A$7</definedName>
    <definedName function="false" hidden="false" name="enum_payment_direction" vbProcedure="false">_Enums!$F$2:$F$3</definedName>
    <definedName function="false" hidden="false" name="enum_payment_method" vbProcedure="false">_Enums!$E$2:$E$6</definedName>
    <definedName function="false" hidden="false" name="enum_po_status" vbProcedure="false">_Enums!$B$2:$B$7</definedName>
    <definedName function="false" hidden="false" name="enum_product_kind" vbProcedure="false">_Enums!$D$2:$D$4</definedName>
    <definedName function="false" hidden="false" name="enum_vat_code" vbProcedure="false">_Enums!$C$2:$C$6</definedName>
    <definedName function="false" hidden="false" name="VatRates" vbProcedure="false">_VatRates!$A$2:$B$6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<sst xmlns="http://schemas.openxmlformats.org/spreadsheetml/2006/main" count="5896" uniqueCount="265">
  <si>
    <t xml:space="preserve">Order Management</t>
  </si>
  <si>
    <t xml:space="preserve">Dashboard — KPIs and summary</t>
  </si>
  <si>
    <t xml:space="preserve">SALES</t>
  </si>
  <si>
    <t xml:space="preserve">Total Sales (ex VAT)</t>
  </si>
  <si>
    <t xml:space="preserve">Sales VAT</t>
  </si>
  <si>
    <t xml:space="preserve">Sales (gross)</t>
  </si>
  <si>
    <t xml:space="preserve">Received</t>
  </si>
  <si>
    <t xml:space="preserve">Outstanding (AR)</t>
  </si>
  <si>
    <t xml:space="preserve">PURCHASES</t>
  </si>
  <si>
    <t xml:space="preserve">Total Purchases (ex VAT)</t>
  </si>
  <si>
    <t xml:space="preserve">Purchase VAT</t>
  </si>
  <si>
    <t xml:space="preserve">Purchases (gross)</t>
  </si>
  <si>
    <t xml:space="preserve">Paid</t>
  </si>
  <si>
    <t xml:space="preserve">Outstanding (AP)</t>
  </si>
  <si>
    <t xml:space="preserve">VAT POSITION</t>
  </si>
  <si>
    <t xml:space="preserve">VAT owed to HMRC</t>
  </si>
  <si>
    <t xml:space="preserve">Open SOs</t>
  </si>
  <si>
    <t xml:space="preserve">Open POs</t>
  </si>
  <si>
    <t xml:space="preserve">Active customers</t>
  </si>
  <si>
    <t xml:space="preserve">Active suppliers</t>
  </si>
  <si>
    <t xml:space="preserve">SALES ORDERS BY STATUS</t>
  </si>
  <si>
    <t xml:space="preserve">Status</t>
  </si>
  <si>
    <t xml:space="preserve">Count</t>
  </si>
  <si>
    <t xml:space="preserve">Gross Total</t>
  </si>
  <si>
    <t xml:space="preserve">Draft</t>
  </si>
  <si>
    <t xml:space="preserve">Confirmed</t>
  </si>
  <si>
    <t xml:space="preserve">Shipped</t>
  </si>
  <si>
    <t xml:space="preserve">Invoiced</t>
  </si>
  <si>
    <t xml:space="preserve">Cancelled</t>
  </si>
  <si>
    <t xml:space="preserve">PURCHASE ORDERS BY STATUS</t>
  </si>
  <si>
    <t xml:space="preserve">Sent</t>
  </si>
  <si>
    <t xml:space="preserve">Customers</t>
  </si>
  <si>
    <t xml:space="preserve">People and companies we sell to</t>
  </si>
  <si>
    <t xml:space="preserve">customer_id</t>
  </si>
  <si>
    <t xml:space="preserve">name</t>
  </si>
  <si>
    <t xml:space="preserve">contact_name</t>
  </si>
  <si>
    <t xml:space="preserve">email</t>
  </si>
  <si>
    <t xml:space="preserve">phone</t>
  </si>
  <si>
    <t xml:space="preserve">billing_address</t>
  </si>
  <si>
    <t xml:space="preserve">vat_number</t>
  </si>
  <si>
    <t xml:space="preserve">credit_limit</t>
  </si>
  <si>
    <t xml:space="preserve">active</t>
  </si>
  <si>
    <t xml:space="preserve">created_date</t>
  </si>
  <si>
    <t xml:space="preserve">CUST-0001</t>
  </si>
  <si>
    <t xml:space="preserve">Acme Engineering Ltd</t>
  </si>
  <si>
    <t xml:space="preserve">Sarah Mitchell</t>
  </si>
  <si>
    <t xml:space="preserve">orders@acme-eng.co.uk</t>
  </si>
  <si>
    <t xml:space="preserve">020 7946 0101</t>
  </si>
  <si>
    <t xml:space="preserve">12 Industrial Way, Slough SL1 4AB</t>
  </si>
  <si>
    <t xml:space="preserve">GB123456789</t>
  </si>
  <si>
    <t xml:space="preserve">Yes</t>
  </si>
  <si>
    <t xml:space="preserve">CUST-0002</t>
  </si>
  <si>
    <t xml:space="preserve">Bright Retail Co</t>
  </si>
  <si>
    <t xml:space="preserve">James Patel</t>
  </si>
  <si>
    <t xml:space="preserve">ap@brightretail.com</t>
  </si>
  <si>
    <t xml:space="preserve">0161 496 0823</t>
  </si>
  <si>
    <t xml:space="preserve">Unit 5 Park Trading Est, Manchester M12 4BG</t>
  </si>
  <si>
    <t xml:space="preserve">GB987654321</t>
  </si>
  <si>
    <t xml:space="preserve">CUST-0003</t>
  </si>
  <si>
    <t xml:space="preserve">Harbour &amp; Sons</t>
  </si>
  <si>
    <t xml:space="preserve">Emma Harbour</t>
  </si>
  <si>
    <t xml:space="preserve">emma@harbourandsons.co.uk</t>
  </si>
  <si>
    <t xml:space="preserve">01273 221 094</t>
  </si>
  <si>
    <t xml:space="preserve">8 Marina Court, Brighton BN1 2FG</t>
  </si>
  <si>
    <t xml:space="preserve">CUST-0004</t>
  </si>
  <si>
    <t xml:space="preserve">Northpoint Services</t>
  </si>
  <si>
    <t xml:space="preserve">Daniel Okafor</t>
  </si>
  <si>
    <t xml:space="preserve">accounts@northpoint.co.uk</t>
  </si>
  <si>
    <t xml:space="preserve">0113 245 7712</t>
  </si>
  <si>
    <t xml:space="preserve">Regent House, Leeds LS1 5AS</t>
  </si>
  <si>
    <t xml:space="preserve">GB445566778</t>
  </si>
  <si>
    <t xml:space="preserve">Suppliers</t>
  </si>
  <si>
    <t xml:space="preserve">People and companies we buy from</t>
  </si>
  <si>
    <t xml:space="preserve">supplier_id</t>
  </si>
  <si>
    <t xml:space="preserve">address</t>
  </si>
  <si>
    <t xml:space="preserve">payment_terms_days</t>
  </si>
  <si>
    <t xml:space="preserve">SUPP-0001</t>
  </si>
  <si>
    <t xml:space="preserve">Precision Components Ltd</t>
  </si>
  <si>
    <t xml:space="preserve">Robert Chen</t>
  </si>
  <si>
    <t xml:space="preserve">sales@precisioncomp.co.uk</t>
  </si>
  <si>
    <t xml:space="preserve">01234 567 890</t>
  </si>
  <si>
    <t xml:space="preserve">Factory 3, Bedford MK42 9JJ</t>
  </si>
  <si>
    <t xml:space="preserve">GB111222333</t>
  </si>
  <si>
    <t xml:space="preserve">SUPP-0002</t>
  </si>
  <si>
    <t xml:space="preserve">Global Packaging Supplies</t>
  </si>
  <si>
    <t xml:space="preserve">Aisha Khan</t>
  </si>
  <si>
    <t xml:space="preserve">orders@globalpack.com</t>
  </si>
  <si>
    <t xml:space="preserve">0121 789 4561</t>
  </si>
  <si>
    <t xml:space="preserve">Packham Industrial Park, Birmingham B12 8AZ</t>
  </si>
  <si>
    <t xml:space="preserve">GB222333444</t>
  </si>
  <si>
    <t xml:space="preserve">SUPP-0003</t>
  </si>
  <si>
    <t xml:space="preserve">Eastwood Raw Materials</t>
  </si>
  <si>
    <t xml:space="preserve">Michael Grant</t>
  </si>
  <si>
    <t xml:space="preserve">sales@eastwoodraw.co.uk</t>
  </si>
  <si>
    <t xml:space="preserve">0191 432 9876</t>
  </si>
  <si>
    <t xml:space="preserve">Dock Road, Newcastle NE1 3DF</t>
  </si>
  <si>
    <t xml:space="preserve">GB333444555</t>
  </si>
  <si>
    <t xml:space="preserve">Products</t>
  </si>
  <si>
    <t xml:space="preserve">Shared catalogue of goods and services</t>
  </si>
  <si>
    <t xml:space="preserve">product_id</t>
  </si>
  <si>
    <t xml:space="preserve">sku</t>
  </si>
  <si>
    <t xml:space="preserve">description</t>
  </si>
  <si>
    <t xml:space="preserve">kind</t>
  </si>
  <si>
    <t xml:space="preserve">unit</t>
  </si>
  <si>
    <t xml:space="preserve">default_sell_price</t>
  </si>
  <si>
    <t xml:space="preserve">default_buy_price</t>
  </si>
  <si>
    <t xml:space="preserve">default_vat_code</t>
  </si>
  <si>
    <t xml:space="preserve">reorder_level</t>
  </si>
  <si>
    <t xml:space="preserve">PROD-0001</t>
  </si>
  <si>
    <t xml:space="preserve">WIDGET-A</t>
  </si>
  <si>
    <t xml:space="preserve">Standard Widget (Type A)</t>
  </si>
  <si>
    <t xml:space="preserve">10mm steel widget, zinc-plated</t>
  </si>
  <si>
    <t xml:space="preserve">Both</t>
  </si>
  <si>
    <t xml:space="preserve">ea</t>
  </si>
  <si>
    <t xml:space="preserve">STD</t>
  </si>
  <si>
    <t xml:space="preserve">PROD-0002</t>
  </si>
  <si>
    <t xml:space="preserve">WIDGET-B</t>
  </si>
  <si>
    <t xml:space="preserve">Premium Widget (Type B)</t>
  </si>
  <si>
    <t xml:space="preserve">15mm stainless widget, polished</t>
  </si>
  <si>
    <t xml:space="preserve">PROD-0003</t>
  </si>
  <si>
    <t xml:space="preserve">BOX-SM</t>
  </si>
  <si>
    <t xml:space="preserve">Small Packaging Box</t>
  </si>
  <si>
    <t xml:space="preserve">200x150x100mm cardboard box</t>
  </si>
  <si>
    <t xml:space="preserve">PROD-0004</t>
  </si>
  <si>
    <t xml:space="preserve">SVC-INSTALL</t>
  </si>
  <si>
    <t xml:space="preserve">Installation Service</t>
  </si>
  <si>
    <t xml:space="preserve">On-site installation (per hour)</t>
  </si>
  <si>
    <t xml:space="preserve">Sellable</t>
  </si>
  <si>
    <t xml:space="preserve">hour</t>
  </si>
  <si>
    <t xml:space="preserve">PROD-0005</t>
  </si>
  <si>
    <t xml:space="preserve">RAW-STEEL</t>
  </si>
  <si>
    <t xml:space="preserve">Raw Steel Sheet</t>
  </si>
  <si>
    <t xml:space="preserve">1.2mm x 1m x 2m sheet</t>
  </si>
  <si>
    <t xml:space="preserve">Purchasable</t>
  </si>
  <si>
    <t xml:space="preserve">sheet</t>
  </si>
  <si>
    <t xml:space="preserve">PROD-0006</t>
  </si>
  <si>
    <t xml:space="preserve">CONSUMABLE</t>
  </si>
  <si>
    <t xml:space="preserve">Workshop Consumables Pack</t>
  </si>
  <si>
    <t xml:space="preserve">Gloves, cleaning fluids, fasteners</t>
  </si>
  <si>
    <t xml:space="preserve">pack</t>
  </si>
  <si>
    <t xml:space="preserve">SalesOrders</t>
  </si>
  <si>
    <t xml:space="preserve">Customer orders — header level</t>
  </si>
  <si>
    <t xml:space="preserve">order_id</t>
  </si>
  <si>
    <t xml:space="preserve">order_date</t>
  </si>
  <si>
    <t xml:space="preserve">customer_name</t>
  </si>
  <si>
    <t xml:space="preserve">status</t>
  </si>
  <si>
    <t xml:space="preserve">required_date</t>
  </si>
  <si>
    <t xml:space="preserve">shipped_date</t>
  </si>
  <si>
    <t xml:space="preserve">po_reference</t>
  </si>
  <si>
    <t xml:space="preserve">notes</t>
  </si>
  <si>
    <t xml:space="preserve">subtotal</t>
  </si>
  <si>
    <t xml:space="preserve">vat_total</t>
  </si>
  <si>
    <t xml:space="preserve">grand_total</t>
  </si>
  <si>
    <t xml:space="preserve">amount_paid</t>
  </si>
  <si>
    <t xml:space="preserve">balance_due</t>
  </si>
  <si>
    <t xml:space="preserve">SO-0001</t>
  </si>
  <si>
    <t xml:space="preserve">ACME-PO-8821</t>
  </si>
  <si>
    <t xml:space="preserve">SO-0002</t>
  </si>
  <si>
    <t xml:space="preserve">BR-2026-0418</t>
  </si>
  <si>
    <t xml:space="preserve">Deliver to goods-in</t>
  </si>
  <si>
    <t xml:space="preserve">SO-0003</t>
  </si>
  <si>
    <t xml:space="preserve">Phone order</t>
  </si>
  <si>
    <t xml:space="preserve">SO-0004</t>
  </si>
  <si>
    <t xml:space="preserve">NP-2026-0088</t>
  </si>
  <si>
    <t xml:space="preserve">SO-0005</t>
  </si>
  <si>
    <t xml:space="preserve">Awaiting confirmation</t>
  </si>
  <si>
    <t xml:space="preserve">SalesOrderLines</t>
  </si>
  <si>
    <t xml:space="preserve">Line items on sales orders</t>
  </si>
  <si>
    <t xml:space="preserve">line_id</t>
  </si>
  <si>
    <t xml:space="preserve">product_name</t>
  </si>
  <si>
    <t xml:space="preserve">quantity</t>
  </si>
  <si>
    <t xml:space="preserve">unit_price</t>
  </si>
  <si>
    <t xml:space="preserve">discount_pct</t>
  </si>
  <si>
    <t xml:space="preserve">vat_code</t>
  </si>
  <si>
    <t xml:space="preserve">line_net</t>
  </si>
  <si>
    <t xml:space="preserve">line_vat</t>
  </si>
  <si>
    <t xml:space="preserve">line_gross</t>
  </si>
  <si>
    <t xml:space="preserve">SOL-0001</t>
  </si>
  <si>
    <t xml:space="preserve">SOL-0002</t>
  </si>
  <si>
    <t xml:space="preserve">SOL-0003</t>
  </si>
  <si>
    <t xml:space="preserve">SOL-0004</t>
  </si>
  <si>
    <t xml:space="preserve">SOL-0005</t>
  </si>
  <si>
    <t xml:space="preserve">SOL-0006</t>
  </si>
  <si>
    <t xml:space="preserve">SOL-0007</t>
  </si>
  <si>
    <t xml:space="preserve">SOL-0008</t>
  </si>
  <si>
    <t xml:space="preserve">PurchaseOrders</t>
  </si>
  <si>
    <t xml:space="preserve">Orders placed with suppliers — header level</t>
  </si>
  <si>
    <t xml:space="preserve">po_id</t>
  </si>
  <si>
    <t xml:space="preserve">po_date</t>
  </si>
  <si>
    <t xml:space="preserve">supplier_name</t>
  </si>
  <si>
    <t xml:space="preserve">expected_date</t>
  </si>
  <si>
    <t xml:space="preserve">received_date</t>
  </si>
  <si>
    <t xml:space="preserve">supplier_invoice_ref</t>
  </si>
  <si>
    <t xml:space="preserve">PO-0001</t>
  </si>
  <si>
    <t xml:space="preserve">PC-INV-44221</t>
  </si>
  <si>
    <t xml:space="preserve">PO-0002</t>
  </si>
  <si>
    <t xml:space="preserve">GP-0119-26</t>
  </si>
  <si>
    <t xml:space="preserve">PO-0003</t>
  </si>
  <si>
    <t xml:space="preserve">Invoice awaited</t>
  </si>
  <si>
    <t xml:space="preserve">PO-0004</t>
  </si>
  <si>
    <t xml:space="preserve">PurchaseOrderLines</t>
  </si>
  <si>
    <t xml:space="preserve">Line items on purchase orders</t>
  </si>
  <si>
    <t xml:space="preserve">quantity_received</t>
  </si>
  <si>
    <t xml:space="preserve">POL-0001</t>
  </si>
  <si>
    <t xml:space="preserve">POL-0002</t>
  </si>
  <si>
    <t xml:space="preserve">POL-0003</t>
  </si>
  <si>
    <t xml:space="preserve">POL-0004</t>
  </si>
  <si>
    <t xml:space="preserve">POL-0005</t>
  </si>
  <si>
    <t xml:space="preserve">POL-0006</t>
  </si>
  <si>
    <t xml:space="preserve">Payments</t>
  </si>
  <si>
    <t xml:space="preserve">Payments received from customers or made to suppliers</t>
  </si>
  <si>
    <t xml:space="preserve">payment_id</t>
  </si>
  <si>
    <t xml:space="preserve">payment_date</t>
  </si>
  <si>
    <t xml:space="preserve">direction</t>
  </si>
  <si>
    <t xml:space="preserve">reference_id</t>
  </si>
  <si>
    <t xml:space="preserve">amount</t>
  </si>
  <si>
    <t xml:space="preserve">method</t>
  </si>
  <si>
    <t xml:space="preserve">reference</t>
  </si>
  <si>
    <t xml:space="preserve">PAY-0001</t>
  </si>
  <si>
    <t xml:space="preserve">In</t>
  </si>
  <si>
    <t xml:space="preserve">Bank Transfer</t>
  </si>
  <si>
    <t xml:space="preserve">ACME-REMIT-0918</t>
  </si>
  <si>
    <t xml:space="preserve">PAY-0002</t>
  </si>
  <si>
    <t xml:space="preserve">BR-PART-001</t>
  </si>
  <si>
    <t xml:space="preserve">Part payment</t>
  </si>
  <si>
    <t xml:space="preserve">PAY-0003</t>
  </si>
  <si>
    <t xml:space="preserve">Out</t>
  </si>
  <si>
    <t xml:space="preserve">BACS-26-0219</t>
  </si>
  <si>
    <t xml:space="preserve">PAY-0004</t>
  </si>
  <si>
    <t xml:space="preserve">BACS-26-0404</t>
  </si>
  <si>
    <t xml:space="preserve">InventoryMovements</t>
  </si>
  <si>
    <t xml:space="preserve">Stock movements — positive for receipts, negative for dispatches</t>
  </si>
  <si>
    <t xml:space="preserve">movement_id</t>
  </si>
  <si>
    <t xml:space="preserve">movement_date</t>
  </si>
  <si>
    <t xml:space="preserve">movement_type</t>
  </si>
  <si>
    <t xml:space="preserve">MOV-0001</t>
  </si>
  <si>
    <t xml:space="preserve">Receipt</t>
  </si>
  <si>
    <t xml:space="preserve">MOV-0002</t>
  </si>
  <si>
    <t xml:space="preserve">MOV-0003</t>
  </si>
  <si>
    <t xml:space="preserve">MOV-0004</t>
  </si>
  <si>
    <t xml:space="preserve">MOV-0005</t>
  </si>
  <si>
    <t xml:space="preserve">MOV-0006</t>
  </si>
  <si>
    <t xml:space="preserve">Dispatch</t>
  </si>
  <si>
    <t xml:space="preserve">MOV-0007</t>
  </si>
  <si>
    <t xml:space="preserve">MOV-0008</t>
  </si>
  <si>
    <t xml:space="preserve">MOV-0009</t>
  </si>
  <si>
    <t xml:space="preserve">Stock Levels</t>
  </si>
  <si>
    <t xml:space="preserve">Current stock position per product (formula-driven)</t>
  </si>
  <si>
    <t xml:space="preserve">on_hand</t>
  </si>
  <si>
    <t xml:space="preserve">reorder_status</t>
  </si>
  <si>
    <t xml:space="preserve">code</t>
  </si>
  <si>
    <t xml:space="preserve">rate</t>
  </si>
  <si>
    <t xml:space="preserve">RED</t>
  </si>
  <si>
    <t xml:space="preserve">ZER</t>
  </si>
  <si>
    <t xml:space="preserve">EXM</t>
  </si>
  <si>
    <t xml:space="preserve">OSC</t>
  </si>
  <si>
    <t xml:space="preserve">order_status</t>
  </si>
  <si>
    <t xml:space="preserve">po_status</t>
  </si>
  <si>
    <t xml:space="preserve">product_kind</t>
  </si>
  <si>
    <t xml:space="preserve">payment_method</t>
  </si>
  <si>
    <t xml:space="preserve">payment_direction</t>
  </si>
  <si>
    <t xml:space="preserve">Card</t>
  </si>
  <si>
    <t xml:space="preserve">Cash</t>
  </si>
  <si>
    <t xml:space="preserve">Cheque</t>
  </si>
  <si>
    <t xml:space="preserve">Other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</si>
</sst>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.00;&quot;(£&quot;#,##0.00\);\-"/>
    <numFmt numFmtId="166" formatCode="#,##0"/>
    <numFmt numFmtId="167" formatCode="@"/>
    <numFmt numFmtId="168" formatCode="dd/mm/yyyy"/>
    <numFmt numFmtId="169" formatCode="#,##0.00;\(#,##0.00\);\-"/>
    <numFmt numFmtId="170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B46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0"/>
      <color rgb="FF0F2B46"/>
      <name val="Arial"/>
      <family val="0"/>
      <charset val="1"/>
    </font>
    <font>
      <b val="true"/>
      <sz val="18"/>
      <color rgb="FF0F2B4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41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16653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0FDFA"/>
        <bgColor rgb="FFFFFFFF"/>
      </patternFill>
    </fill>
    <fill>
      <patternFill patternType="solid">
        <fgColor rgb="FF0F2B46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F2B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A855F7"/>
      <rgbColor rgb="FF993366"/>
      <rgbColor rgb="FFF0FDFA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14B8A6"/>
      <rgbColor rgb="FF99CC00"/>
      <rgbColor rgb="FFFFCC00"/>
      <rgbColor rgb="FFF59E0B"/>
      <rgbColor rgb="FFFF6600"/>
      <rgbColor rgb="FF64748B"/>
      <rgbColor rgb="FF969696"/>
      <rgbColor rgb="FF0F2B46"/>
      <rgbColor rgb="FF22C55E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ustomers" displayName="Customers" ref="A4:J504" headerRowCount="1" totalsRowCount="0" totalsRowShown="0">
  <autoFilter ref="A4:J504"/>
  <tableColumns count="10">
    <tableColumn id="1" name="customer_id"/>
    <tableColumn id="2" name="name"/>
    <tableColumn id="3" name="contact_name"/>
    <tableColumn id="4" name="email"/>
    <tableColumn id="5" name="phone"/>
    <tableColumn id="6" name="billing_address"/>
    <tableColumn id="7" name="vat_number"/>
    <tableColumn id="8" name="credit_limit"/>
    <tableColumn id="9" name="active"/>
    <tableColumn id="10" name="created_date"/>
  </tableColumns>
</table>
</file>

<file path=xl/tables/table2.xml><?xml version="1.0" encoding="utf-8"?>
<table xmlns="http://schemas.openxmlformats.org/spreadsheetml/2006/main" id="2" name="InventoryMovements" displayName="InventoryMovements" ref="A4:H504" headerRowCount="1" totalsRowCount="0" totalsRowShown="0">
  <autoFilter ref="A4:H504"/>
  <tableColumns count="8">
    <tableColumn id="1" name="movement_id"/>
    <tableColumn id="2" name="movement_date"/>
    <tableColumn id="3" name="product_id"/>
    <tableColumn id="4" name="product_name"/>
    <tableColumn id="5" name="quantity"/>
    <tableColumn id="6" name="movement_type"/>
    <tableColumn id="7" name="reference_id"/>
    <tableColumn id="8" name="notes"/>
  </tableColumns>
</table>
</file>

<file path=xl/tables/table3.xml><?xml version="1.0" encoding="utf-8"?>
<table xmlns="http://schemas.openxmlformats.org/spreadsheetml/2006/main" id="3" name="Payments" displayName="Payments" ref="A4:H504" headerRowCount="1" totalsRowCount="0" totalsRowShown="0">
  <autoFilter ref="A4:H504"/>
  <tableColumns count="8">
    <tableColumn id="1" name="payment_id"/>
    <tableColumn id="2" name="payment_date"/>
    <tableColumn id="3" name="direction"/>
    <tableColumn id="4" name="reference_id"/>
    <tableColumn id="5" name="amount"/>
    <tableColumn id="6" name="method"/>
    <tableColumn id="7" name="reference"/>
    <tableColumn id="8" name="notes"/>
  </tableColumns>
</table>
</file>

<file path=xl/tables/table4.xml><?xml version="1.0" encoding="utf-8"?>
<table xmlns="http://schemas.openxmlformats.org/spreadsheetml/2006/main" id="4" name="Products" displayName="Products" ref="A4:K504" headerRowCount="1" totalsRowCount="0" totalsRowShown="0">
  <autoFilter ref="A4:K504"/>
  <tableColumns count="11">
    <tableColumn id="1" name="product_id"/>
    <tableColumn id="2" name="sku"/>
    <tableColumn id="3" name="name"/>
    <tableColumn id="4" name="description"/>
    <tableColumn id="5" name="kind"/>
    <tableColumn id="6" name="unit"/>
    <tableColumn id="7" name="default_sell_price"/>
    <tableColumn id="8" name="default_buy_price"/>
    <tableColumn id="9" name="default_vat_code"/>
    <tableColumn id="10" name="reorder_level"/>
    <tableColumn id="11" name="active"/>
  </tableColumns>
</table>
</file>

<file path=xl/tables/table5.xml><?xml version="1.0" encoding="utf-8"?>
<table xmlns="http://schemas.openxmlformats.org/spreadsheetml/2006/main" id="5" name="PurchaseOrderLines" displayName="PurchaseOrderLines" ref="A4:K504" headerRowCount="1" totalsRowCount="0" totalsRowShown="0">
  <autoFilter ref="A4:K504"/>
  <tableColumns count="11">
    <tableColumn id="1" name="line_id"/>
    <tableColumn id="2" name="po_id"/>
    <tableColumn id="3" name="product_id"/>
    <tableColumn id="4" name="product_name"/>
    <tableColumn id="5" name="quantity"/>
    <tableColumn id="6" name="unit_price"/>
    <tableColumn id="7" name="vat_code"/>
    <tableColumn id="8" name="line_net"/>
    <tableColumn id="9" name="line_vat"/>
    <tableColumn id="10" name="line_gross"/>
    <tableColumn id="11" name="quantity_received"/>
  </tableColumns>
</table>
</file>

<file path=xl/tables/table6.xml><?xml version="1.0" encoding="utf-8"?>
<table xmlns="http://schemas.openxmlformats.org/spreadsheetml/2006/main" id="6" name="PurchaseOrders" displayName="PurchaseOrders" ref="A4:N504" headerRowCount="1" totalsRowCount="0" totalsRowShown="0">
  <autoFilter ref="A4:N504"/>
  <tableColumns count="14">
    <tableColumn id="1" name="po_id"/>
    <tableColumn id="2" name="po_date"/>
    <tableColumn id="3" name="supplier_id"/>
    <tableColumn id="4" name="supplier_name"/>
    <tableColumn id="5" name="status"/>
    <tableColumn id="6" name="expected_date"/>
    <tableColumn id="7" name="received_date"/>
    <tableColumn id="8" name="supplier_invoice_ref"/>
    <tableColumn id="9" name="notes"/>
    <tableColumn id="10" name="subtotal"/>
    <tableColumn id="11" name="vat_total"/>
    <tableColumn id="12" name="grand_total"/>
    <tableColumn id="13" name="amount_paid"/>
    <tableColumn id="14" name="balance_due"/>
  </tableColumns>
</table>
</file>

<file path=xl/tables/table7.xml><?xml version="1.0" encoding="utf-8"?>
<table xmlns="http://schemas.openxmlformats.org/spreadsheetml/2006/main" id="7" name="SalesOrderLines" displayName="SalesOrderLines" ref="A4:K504" headerRowCount="1" totalsRowCount="0" totalsRowShown="0">
  <autoFilter ref="A4:K504"/>
  <tableColumns count="11">
    <tableColumn id="1" name="line_id"/>
    <tableColumn id="2" name="order_id"/>
    <tableColumn id="3" name="product_id"/>
    <tableColumn id="4" name="product_name"/>
    <tableColumn id="5" name="quantity"/>
    <tableColumn id="6" name="unit_price"/>
    <tableColumn id="7" name="discount_pct"/>
    <tableColumn id="8" name="vat_code"/>
    <tableColumn id="9" name="line_net"/>
    <tableColumn id="10" name="line_vat"/>
    <tableColumn id="11" name="line_gross"/>
  </tableColumns>
</table>
</file>

<file path=xl/tables/table8.xml><?xml version="1.0" encoding="utf-8"?>
<table xmlns="http://schemas.openxmlformats.org/spreadsheetml/2006/main" id="8" name="SalesOrders" displayName="SalesOrders" ref="A4:N504" headerRowCount="1" totalsRowCount="0" totalsRowShown="0">
  <autoFilter ref="A4:N504"/>
  <tableColumns count="14">
    <tableColumn id="1" name="order_id"/>
    <tableColumn id="2" name="order_date"/>
    <tableColumn id="3" name="customer_id"/>
    <tableColumn id="4" name="customer_name"/>
    <tableColumn id="5" name="status"/>
    <tableColumn id="6" name="required_date"/>
    <tableColumn id="7" name="shipped_date"/>
    <tableColumn id="8" name="po_reference"/>
    <tableColumn id="9" name="notes"/>
    <tableColumn id="10" name="subtotal"/>
    <tableColumn id="11" name="vat_total"/>
    <tableColumn id="12" name="grand_total"/>
    <tableColumn id="13" name="amount_paid"/>
    <tableColumn id="14" name="balance_due"/>
  </tableColumns>
</table>
</file>

<file path=xl/tables/table9.xml><?xml version="1.0" encoding="utf-8"?>
<table xmlns="http://schemas.openxmlformats.org/spreadsheetml/2006/main" id="9" name="Suppliers" displayName="Suppliers" ref="A4:J504" headerRowCount="1" totalsRowCount="0" totalsRowShown="0">
  <autoFilter ref="A4:J504"/>
  <tableColumns count="10">
    <tableColumn id="1" name="supplier_id"/>
    <tableColumn id="2" name="name"/>
    <tableColumn id="3" name="contact_name"/>
    <tableColumn id="4" name="email"/>
    <tableColumn id="5" name="phone"/>
    <tableColumn id="6" name="address"/>
    <tableColumn id="7" name="vat_number"/>
    <tableColumn id="8" name="payment_terms_days"/>
    <tableColumn id="9" name="active"/>
    <tableColumn id="10" name="created_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B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7" min="2" style="0" width="22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6" customFormat="false" ht="22.05" hidden="false" customHeight="false" outlineLevel="0" collapsed="false">
      <c r="B6" s="4" t="n">
        <f aca="false">SUM(SalesOrders!$J$5:$J$504)</f>
        <v>5977</v>
      </c>
      <c r="C6" s="4" t="n">
        <f aca="false">SUM(SalesOrders!$K$5:$K$504)</f>
        <v>1195.4</v>
      </c>
      <c r="D6" s="4" t="n">
        <f aca="false">SUM(SalesOrders!$L$5:$L$504)</f>
        <v>7172.4</v>
      </c>
      <c r="E6" s="4" t="n">
        <f aca="false">SUMIFS(Payments!$E$5:$E$504,Payments!$C$5:$C$504,"In")</f>
        <v>2064.8</v>
      </c>
      <c r="F6" s="4" t="n">
        <f aca="false">SUM(SalesOrders!$N$5:$N$504)</f>
        <v>5107.6</v>
      </c>
    </row>
    <row r="9" customFormat="false" ht="15" hidden="false" customHeight="false" outlineLevel="0" collapsed="false">
      <c r="B9" s="3" t="s">
        <v>8</v>
      </c>
    </row>
    <row r="10" customFormat="false" ht="15" hidden="false" customHeight="false" outlineLevel="0" collapsed="false"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</row>
    <row r="11" customFormat="false" ht="22.05" hidden="false" customHeight="false" outlineLevel="0" collapsed="false">
      <c r="B11" s="4" t="n">
        <f aca="false">SUM(PurchaseOrders!$J$5:$J$504)</f>
        <v>8850</v>
      </c>
      <c r="C11" s="4" t="n">
        <f aca="false">SUM(PurchaseOrders!$K$5:$K$504)</f>
        <v>1770</v>
      </c>
      <c r="D11" s="4" t="n">
        <f aca="false">SUM(PurchaseOrders!$L$5:$L$504)</f>
        <v>10620</v>
      </c>
      <c r="E11" s="4" t="n">
        <f aca="false">SUMIFS(Payments!$E$5:$E$504,Payments!$C$5:$C$504,"Out")</f>
        <v>6168</v>
      </c>
      <c r="F11" s="4" t="n">
        <f aca="false">SUM(PurchaseOrders!$N$5:$N$504)</f>
        <v>4452</v>
      </c>
    </row>
    <row r="14" customFormat="false" ht="15" hidden="false" customHeight="false" outlineLevel="0" collapsed="false">
      <c r="B14" s="3" t="s">
        <v>14</v>
      </c>
    </row>
    <row r="15" customFormat="false" ht="15" hidden="false" customHeight="false" outlineLevel="0" collapsed="false">
      <c r="B15" s="2" t="s">
        <v>15</v>
      </c>
      <c r="C15" s="2" t="s">
        <v>16</v>
      </c>
      <c r="D15" s="2" t="s">
        <v>17</v>
      </c>
      <c r="E15" s="2" t="s">
        <v>18</v>
      </c>
      <c r="F15" s="2" t="s">
        <v>19</v>
      </c>
    </row>
    <row r="16" customFormat="false" ht="22.05" hidden="false" customHeight="false" outlineLevel="0" collapsed="false">
      <c r="B16" s="4" t="n">
        <f aca="false">SUM(SalesOrders!$K$5:$K$504)-SUM(PurchaseOrders!$K$5:$K$504)</f>
        <v>-574.6</v>
      </c>
      <c r="C16" s="5" t="n">
        <f aca="false">COUNTIFS(SalesOrders!$N$5:$N$504,"&gt;0",SalesOrders!$E$5:$E$504,"&lt;&gt;Cancelled")</f>
        <v>5</v>
      </c>
      <c r="D16" s="5" t="n">
        <f aca="false">COUNTIFS(PurchaseOrders!$N$5:$N$504,"&gt;0",PurchaseOrders!$E$5:$E$504,"&lt;&gt;Cancelled")</f>
        <v>2</v>
      </c>
      <c r="E16" s="5" t="n">
        <f aca="false">COUNTIFS(Customers!$I$5:$I$504,"Yes")</f>
        <v>500</v>
      </c>
      <c r="F16" s="5" t="n">
        <f aca="false">COUNTIFS(Suppliers!$I$5:$I$504,"Yes")</f>
        <v>500</v>
      </c>
    </row>
    <row r="19" customFormat="false" ht="15" hidden="false" customHeight="false" outlineLevel="0" collapsed="false">
      <c r="B19" s="3" t="s">
        <v>20</v>
      </c>
    </row>
    <row r="20" customFormat="false" ht="15" hidden="false" customHeight="false" outlineLevel="0" collapsed="false">
      <c r="B20" s="6" t="s">
        <v>21</v>
      </c>
      <c r="C20" s="6" t="s">
        <v>22</v>
      </c>
      <c r="D20" s="6" t="s">
        <v>23</v>
      </c>
    </row>
    <row r="21" customFormat="false" ht="15" hidden="false" customHeight="false" outlineLevel="0" collapsed="false">
      <c r="B21" s="7" t="s">
        <v>24</v>
      </c>
      <c r="C21" s="8" t="n">
        <f aca="false">COUNTIFS(SalesOrders!$E$5:$E$504,"Draft")</f>
        <v>496</v>
      </c>
      <c r="D21" s="9" t="n">
        <f aca="false">SUMIFS(SalesOrders!$L$5:$L$504,SalesOrders!$E$5:$E$504,"Draft")</f>
        <v>2880</v>
      </c>
    </row>
    <row r="22" customFormat="false" ht="15" hidden="false" customHeight="false" outlineLevel="0" collapsed="false">
      <c r="B22" s="7" t="s">
        <v>25</v>
      </c>
      <c r="C22" s="8" t="n">
        <f aca="false">COUNTIFS(SalesOrders!$E$5:$E$504,"Confirmed")</f>
        <v>1</v>
      </c>
      <c r="D22" s="9" t="n">
        <f aca="false">SUMIFS(SalesOrders!$L$5:$L$504,SalesOrders!$E$5:$E$504,"Confirmed")</f>
        <v>756</v>
      </c>
    </row>
    <row r="23" customFormat="false" ht="15" hidden="false" customHeight="false" outlineLevel="0" collapsed="false">
      <c r="B23" s="7" t="s">
        <v>26</v>
      </c>
      <c r="C23" s="8" t="n">
        <f aca="false">COUNTIFS(SalesOrders!$E$5:$E$504,"Shipped")</f>
        <v>1</v>
      </c>
      <c r="D23" s="9" t="n">
        <f aca="false">SUMIFS(SalesOrders!$L$5:$L$504,SalesOrders!$E$5:$E$504,"Shipped")</f>
        <v>768</v>
      </c>
    </row>
    <row r="24" customFormat="false" ht="15" hidden="false" customHeight="false" outlineLevel="0" collapsed="false">
      <c r="B24" s="7" t="s">
        <v>27</v>
      </c>
      <c r="C24" s="8" t="n">
        <f aca="false">COUNTIFS(SalesOrders!$E$5:$E$504,"Invoiced")</f>
        <v>1</v>
      </c>
      <c r="D24" s="9" t="n">
        <f aca="false">SUMIFS(SalesOrders!$L$5:$L$504,SalesOrders!$E$5:$E$504,"Invoiced")</f>
        <v>1254</v>
      </c>
    </row>
    <row r="25" customFormat="false" ht="15" hidden="false" customHeight="false" outlineLevel="0" collapsed="false">
      <c r="B25" s="7" t="s">
        <v>12</v>
      </c>
      <c r="C25" s="8" t="n">
        <f aca="false">COUNTIFS(SalesOrders!$E$5:$E$504,"Paid")</f>
        <v>1</v>
      </c>
      <c r="D25" s="9" t="n">
        <f aca="false">SUMIFS(SalesOrders!$L$5:$L$504,SalesOrders!$E$5:$E$504,"Paid")</f>
        <v>1514.4</v>
      </c>
    </row>
    <row r="26" customFormat="false" ht="15" hidden="false" customHeight="false" outlineLevel="0" collapsed="false">
      <c r="B26" s="7" t="s">
        <v>28</v>
      </c>
      <c r="C26" s="8" t="n">
        <f aca="false">COUNTIFS(SalesOrders!$E$5:$E$504,"Cancelled")</f>
        <v>0</v>
      </c>
      <c r="D26" s="9" t="n">
        <f aca="false">SUMIFS(SalesOrders!$L$5:$L$504,SalesOrders!$E$5:$E$504,"Cancelled")</f>
        <v>0</v>
      </c>
    </row>
    <row r="29" customFormat="false" ht="15" hidden="false" customHeight="false" outlineLevel="0" collapsed="false">
      <c r="B29" s="3" t="s">
        <v>29</v>
      </c>
    </row>
    <row r="30" customFormat="false" ht="15" hidden="false" customHeight="false" outlineLevel="0" collapsed="false">
      <c r="B30" s="6" t="s">
        <v>21</v>
      </c>
      <c r="C30" s="6" t="s">
        <v>22</v>
      </c>
      <c r="D30" s="6" t="s">
        <v>23</v>
      </c>
    </row>
    <row r="31" customFormat="false" ht="15" hidden="false" customHeight="false" outlineLevel="0" collapsed="false">
      <c r="B31" s="7" t="s">
        <v>24</v>
      </c>
      <c r="C31" s="8" t="n">
        <f aca="false">COUNTIFS(PurchaseOrders!$E$5:$E$504,"Draft")</f>
        <v>496</v>
      </c>
      <c r="D31" s="9" t="n">
        <f aca="false">SUMIFS(PurchaseOrders!$L$5:$L$504,PurchaseOrders!$E$5:$E$504,"Draft")</f>
        <v>0</v>
      </c>
    </row>
    <row r="32" customFormat="false" ht="15" hidden="false" customHeight="false" outlineLevel="0" collapsed="false">
      <c r="B32" s="7" t="s">
        <v>30</v>
      </c>
      <c r="C32" s="8" t="n">
        <f aca="false">COUNTIFS(PurchaseOrders!$E$5:$E$504,"Sent")</f>
        <v>1</v>
      </c>
      <c r="D32" s="9" t="n">
        <f aca="false">SUMIFS(PurchaseOrders!$L$5:$L$504,PurchaseOrders!$E$5:$E$504,"Sent")</f>
        <v>1728</v>
      </c>
    </row>
    <row r="33" customFormat="false" ht="15" hidden="false" customHeight="false" outlineLevel="0" collapsed="false">
      <c r="B33" s="7" t="s">
        <v>6</v>
      </c>
      <c r="C33" s="8" t="n">
        <f aca="false">COUNTIFS(PurchaseOrders!$E$5:$E$504,"Received")</f>
        <v>1</v>
      </c>
      <c r="D33" s="9" t="n">
        <f aca="false">SUMIFS(PurchaseOrders!$L$5:$L$504,PurchaseOrders!$E$5:$E$504,"Received")</f>
        <v>2724</v>
      </c>
    </row>
    <row r="34" customFormat="false" ht="15" hidden="false" customHeight="false" outlineLevel="0" collapsed="false">
      <c r="B34" s="7" t="s">
        <v>27</v>
      </c>
      <c r="C34" s="8" t="n">
        <f aca="false">COUNTIFS(PurchaseOrders!$E$5:$E$504,"Invoiced")</f>
        <v>1</v>
      </c>
      <c r="D34" s="9" t="n">
        <f aca="false">SUMIFS(PurchaseOrders!$L$5:$L$504,PurchaseOrders!$E$5:$E$504,"Invoiced")</f>
        <v>1080</v>
      </c>
    </row>
    <row r="35" customFormat="false" ht="15" hidden="false" customHeight="false" outlineLevel="0" collapsed="false">
      <c r="B35" s="7" t="s">
        <v>12</v>
      </c>
      <c r="C35" s="8" t="n">
        <f aca="false">COUNTIFS(PurchaseOrders!$E$5:$E$504,"Paid")</f>
        <v>1</v>
      </c>
      <c r="D35" s="9" t="n">
        <f aca="false">SUMIFS(PurchaseOrders!$L$5:$L$504,PurchaseOrders!$E$5:$E$504,"Paid")</f>
        <v>5088</v>
      </c>
    </row>
    <row r="36" customFormat="false" ht="15" hidden="false" customHeight="false" outlineLevel="0" collapsed="false">
      <c r="B36" s="7" t="s">
        <v>28</v>
      </c>
      <c r="C36" s="8" t="n">
        <f aca="false">COUNTIFS(PurchaseOrders!$E$5:$E$504,"Cancelled")</f>
        <v>0</v>
      </c>
      <c r="D36" s="9" t="n">
        <f aca="false">SUMIFS(PurchaseOrders!$L$5:$L$504,PurchaseOrders!$E$5:$E$504,"Cancelled")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J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3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39</v>
      </c>
      <c r="H4" s="6" t="s">
        <v>40</v>
      </c>
      <c r="I4" s="6" t="s">
        <v>41</v>
      </c>
      <c r="J4" s="6" t="s">
        <v>42</v>
      </c>
    </row>
    <row r="5" customFormat="false" ht="15" hidden="false" customHeight="false" outlineLevel="0" collapsed="false">
      <c r="A5" s="10" t="s">
        <v>43</v>
      </c>
      <c r="B5" s="10" t="s">
        <v>44</v>
      </c>
      <c r="C5" s="10" t="s">
        <v>45</v>
      </c>
      <c r="D5" s="10" t="s">
        <v>46</v>
      </c>
      <c r="E5" s="10" t="s">
        <v>47</v>
      </c>
      <c r="F5" s="10" t="s">
        <v>48</v>
      </c>
      <c r="G5" s="10" t="s">
        <v>49</v>
      </c>
      <c r="H5" s="11" t="n">
        <v>10000</v>
      </c>
      <c r="I5" s="10" t="s">
        <v>50</v>
      </c>
      <c r="J5" s="12" t="n">
        <v>45933</v>
      </c>
    </row>
    <row r="6" customFormat="false" ht="15" hidden="false" customHeight="false" outlineLevel="0" collapsed="false">
      <c r="A6" s="10" t="s">
        <v>51</v>
      </c>
      <c r="B6" s="10" t="s">
        <v>52</v>
      </c>
      <c r="C6" s="10" t="s">
        <v>53</v>
      </c>
      <c r="D6" s="10" t="s">
        <v>54</v>
      </c>
      <c r="E6" s="10" t="s">
        <v>55</v>
      </c>
      <c r="F6" s="10" t="s">
        <v>56</v>
      </c>
      <c r="G6" s="10" t="s">
        <v>57</v>
      </c>
      <c r="H6" s="11" t="n">
        <v>5000</v>
      </c>
      <c r="I6" s="10" t="s">
        <v>50</v>
      </c>
      <c r="J6" s="12" t="n">
        <v>45993</v>
      </c>
    </row>
    <row r="7" customFormat="false" ht="15" hidden="false" customHeight="false" outlineLevel="0" collapsed="false">
      <c r="A7" s="10" t="s">
        <v>58</v>
      </c>
      <c r="B7" s="10" t="s">
        <v>59</v>
      </c>
      <c r="C7" s="10" t="s">
        <v>60</v>
      </c>
      <c r="D7" s="10" t="s">
        <v>61</v>
      </c>
      <c r="E7" s="10" t="s">
        <v>62</v>
      </c>
      <c r="F7" s="10" t="s">
        <v>63</v>
      </c>
      <c r="G7" s="10"/>
      <c r="H7" s="11" t="n">
        <v>2500</v>
      </c>
      <c r="I7" s="10" t="s">
        <v>50</v>
      </c>
      <c r="J7" s="12" t="n">
        <v>46053</v>
      </c>
    </row>
    <row r="8" customFormat="false" ht="15" hidden="false" customHeight="false" outlineLevel="0" collapsed="false">
      <c r="A8" s="10" t="s">
        <v>64</v>
      </c>
      <c r="B8" s="10" t="s">
        <v>65</v>
      </c>
      <c r="C8" s="10" t="s">
        <v>66</v>
      </c>
      <c r="D8" s="10" t="s">
        <v>67</v>
      </c>
      <c r="E8" s="10" t="s">
        <v>68</v>
      </c>
      <c r="F8" s="10" t="s">
        <v>69</v>
      </c>
      <c r="G8" s="10" t="s">
        <v>70</v>
      </c>
      <c r="H8" s="11" t="n">
        <v>7500</v>
      </c>
      <c r="I8" s="10" t="s">
        <v>50</v>
      </c>
      <c r="J8" s="12" t="n">
        <v>46083</v>
      </c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1"/>
      <c r="I9" s="10" t="s">
        <v>50</v>
      </c>
      <c r="J9" s="12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1"/>
      <c r="I10" s="10" t="s">
        <v>50</v>
      </c>
      <c r="J10" s="12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1"/>
      <c r="I11" s="10" t="s">
        <v>50</v>
      </c>
      <c r="J11" s="12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1"/>
      <c r="I12" s="10" t="s">
        <v>50</v>
      </c>
      <c r="J12" s="12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1"/>
      <c r="I13" s="10" t="s">
        <v>50</v>
      </c>
      <c r="J13" s="12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1"/>
      <c r="I14" s="10" t="s">
        <v>50</v>
      </c>
      <c r="J14" s="12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1"/>
      <c r="I15" s="10" t="s">
        <v>50</v>
      </c>
      <c r="J15" s="12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1"/>
      <c r="I16" s="10" t="s">
        <v>50</v>
      </c>
      <c r="J16" s="12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1"/>
      <c r="I17" s="10" t="s">
        <v>50</v>
      </c>
      <c r="J17" s="12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1"/>
      <c r="I18" s="10" t="s">
        <v>50</v>
      </c>
      <c r="J18" s="12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1"/>
      <c r="I19" s="10" t="s">
        <v>50</v>
      </c>
      <c r="J19" s="12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1"/>
      <c r="I20" s="10" t="s">
        <v>50</v>
      </c>
      <c r="J20" s="12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1"/>
      <c r="I21" s="10" t="s">
        <v>50</v>
      </c>
      <c r="J21" s="12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1"/>
      <c r="I22" s="10" t="s">
        <v>50</v>
      </c>
      <c r="J22" s="12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1"/>
      <c r="I23" s="10" t="s">
        <v>50</v>
      </c>
      <c r="J23" s="12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1"/>
      <c r="I24" s="10" t="s">
        <v>50</v>
      </c>
      <c r="J24" s="12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1"/>
      <c r="I25" s="10" t="s">
        <v>50</v>
      </c>
      <c r="J25" s="12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1"/>
      <c r="I26" s="10" t="s">
        <v>50</v>
      </c>
      <c r="J26" s="12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1"/>
      <c r="I27" s="10" t="s">
        <v>50</v>
      </c>
      <c r="J27" s="12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1"/>
      <c r="I28" s="10" t="s">
        <v>50</v>
      </c>
      <c r="J28" s="12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1"/>
      <c r="I29" s="10" t="s">
        <v>50</v>
      </c>
      <c r="J29" s="12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1"/>
      <c r="I30" s="10" t="s">
        <v>50</v>
      </c>
      <c r="J30" s="12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1"/>
      <c r="I31" s="10" t="s">
        <v>50</v>
      </c>
      <c r="J31" s="12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1"/>
      <c r="I32" s="10" t="s">
        <v>50</v>
      </c>
      <c r="J32" s="12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1"/>
      <c r="I33" s="10" t="s">
        <v>50</v>
      </c>
      <c r="J33" s="12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1"/>
      <c r="I34" s="10" t="s">
        <v>50</v>
      </c>
      <c r="J34" s="12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1"/>
      <c r="I35" s="10" t="s">
        <v>50</v>
      </c>
      <c r="J35" s="12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1"/>
      <c r="I36" s="10" t="s">
        <v>50</v>
      </c>
      <c r="J36" s="12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1"/>
      <c r="I37" s="10" t="s">
        <v>50</v>
      </c>
      <c r="J37" s="12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1"/>
      <c r="I38" s="10" t="s">
        <v>50</v>
      </c>
      <c r="J38" s="12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1"/>
      <c r="I39" s="10" t="s">
        <v>50</v>
      </c>
      <c r="J39" s="12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1"/>
      <c r="I40" s="10" t="s">
        <v>50</v>
      </c>
      <c r="J40" s="12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1"/>
      <c r="I41" s="10" t="s">
        <v>50</v>
      </c>
      <c r="J41" s="12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1"/>
      <c r="I42" s="10" t="s">
        <v>50</v>
      </c>
      <c r="J42" s="12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1"/>
      <c r="I43" s="10" t="s">
        <v>50</v>
      </c>
      <c r="J43" s="12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1"/>
      <c r="I44" s="10" t="s">
        <v>50</v>
      </c>
      <c r="J44" s="12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1"/>
      <c r="I45" s="10" t="s">
        <v>50</v>
      </c>
      <c r="J45" s="12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1"/>
      <c r="I46" s="10" t="s">
        <v>50</v>
      </c>
      <c r="J46" s="12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1"/>
      <c r="I47" s="10" t="s">
        <v>50</v>
      </c>
      <c r="J47" s="12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1"/>
      <c r="I48" s="10" t="s">
        <v>50</v>
      </c>
      <c r="J48" s="12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1"/>
      <c r="I49" s="10" t="s">
        <v>50</v>
      </c>
      <c r="J49" s="12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1"/>
      <c r="I50" s="10" t="s">
        <v>50</v>
      </c>
      <c r="J50" s="12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1"/>
      <c r="I51" s="10" t="s">
        <v>50</v>
      </c>
      <c r="J51" s="12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1"/>
      <c r="I52" s="10" t="s">
        <v>50</v>
      </c>
      <c r="J52" s="12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1"/>
      <c r="I53" s="10" t="s">
        <v>50</v>
      </c>
      <c r="J53" s="12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1"/>
      <c r="I54" s="10" t="s">
        <v>50</v>
      </c>
      <c r="J54" s="12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1"/>
      <c r="I55" s="10" t="s">
        <v>50</v>
      </c>
      <c r="J55" s="12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1"/>
      <c r="I56" s="10" t="s">
        <v>50</v>
      </c>
      <c r="J56" s="12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1"/>
      <c r="I57" s="10" t="s">
        <v>50</v>
      </c>
      <c r="J57" s="12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1"/>
      <c r="I58" s="10" t="s">
        <v>50</v>
      </c>
      <c r="J58" s="12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1"/>
      <c r="I59" s="10" t="s">
        <v>50</v>
      </c>
      <c r="J59" s="12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1"/>
      <c r="I60" s="10" t="s">
        <v>50</v>
      </c>
      <c r="J60" s="12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1"/>
      <c r="I61" s="10" t="s">
        <v>50</v>
      </c>
      <c r="J61" s="12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1"/>
      <c r="I62" s="10" t="s">
        <v>50</v>
      </c>
      <c r="J62" s="12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1"/>
      <c r="I63" s="10" t="s">
        <v>50</v>
      </c>
      <c r="J63" s="12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1"/>
      <c r="I64" s="10" t="s">
        <v>50</v>
      </c>
      <c r="J64" s="12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1"/>
      <c r="I65" s="10" t="s">
        <v>50</v>
      </c>
      <c r="J65" s="12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1"/>
      <c r="I66" s="10" t="s">
        <v>50</v>
      </c>
      <c r="J66" s="12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1"/>
      <c r="I67" s="10" t="s">
        <v>50</v>
      </c>
      <c r="J67" s="12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1"/>
      <c r="I68" s="10" t="s">
        <v>50</v>
      </c>
      <c r="J68" s="12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1"/>
      <c r="I69" s="10" t="s">
        <v>50</v>
      </c>
      <c r="J69" s="12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1"/>
      <c r="I70" s="10" t="s">
        <v>50</v>
      </c>
      <c r="J70" s="12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1"/>
      <c r="I71" s="10" t="s">
        <v>50</v>
      </c>
      <c r="J71" s="12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1"/>
      <c r="I72" s="10" t="s">
        <v>50</v>
      </c>
      <c r="J72" s="12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1"/>
      <c r="I73" s="10" t="s">
        <v>50</v>
      </c>
      <c r="J73" s="12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1"/>
      <c r="I74" s="10" t="s">
        <v>50</v>
      </c>
      <c r="J74" s="12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1"/>
      <c r="I75" s="10" t="s">
        <v>50</v>
      </c>
      <c r="J75" s="12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1"/>
      <c r="I76" s="10" t="s">
        <v>50</v>
      </c>
      <c r="J76" s="12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1"/>
      <c r="I77" s="10" t="s">
        <v>50</v>
      </c>
      <c r="J77" s="12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1"/>
      <c r="I78" s="10" t="s">
        <v>50</v>
      </c>
      <c r="J78" s="12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1"/>
      <c r="I79" s="10" t="s">
        <v>50</v>
      </c>
      <c r="J79" s="12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1"/>
      <c r="I80" s="10" t="s">
        <v>50</v>
      </c>
      <c r="J80" s="12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1"/>
      <c r="I81" s="10" t="s">
        <v>50</v>
      </c>
      <c r="J81" s="12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1"/>
      <c r="I82" s="10" t="s">
        <v>50</v>
      </c>
      <c r="J82" s="12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1"/>
      <c r="I83" s="10" t="s">
        <v>50</v>
      </c>
      <c r="J83" s="12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1"/>
      <c r="I84" s="10" t="s">
        <v>50</v>
      </c>
      <c r="J84" s="12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1"/>
      <c r="I85" s="10" t="s">
        <v>50</v>
      </c>
      <c r="J85" s="12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1"/>
      <c r="I86" s="10" t="s">
        <v>50</v>
      </c>
      <c r="J86" s="12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1"/>
      <c r="I87" s="10" t="s">
        <v>50</v>
      </c>
      <c r="J87" s="12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1"/>
      <c r="I88" s="10" t="s">
        <v>50</v>
      </c>
      <c r="J88" s="12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1"/>
      <c r="I89" s="10" t="s">
        <v>50</v>
      </c>
      <c r="J89" s="12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1"/>
      <c r="I90" s="10" t="s">
        <v>50</v>
      </c>
      <c r="J90" s="12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1"/>
      <c r="I91" s="10" t="s">
        <v>50</v>
      </c>
      <c r="J91" s="12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1"/>
      <c r="I92" s="10" t="s">
        <v>50</v>
      </c>
      <c r="J92" s="12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1"/>
      <c r="I93" s="10" t="s">
        <v>50</v>
      </c>
      <c r="J93" s="12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1"/>
      <c r="I94" s="10" t="s">
        <v>50</v>
      </c>
      <c r="J94" s="12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1"/>
      <c r="I95" s="10" t="s">
        <v>50</v>
      </c>
      <c r="J95" s="12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1"/>
      <c r="I96" s="10" t="s">
        <v>50</v>
      </c>
      <c r="J96" s="12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1"/>
      <c r="I97" s="10" t="s">
        <v>50</v>
      </c>
      <c r="J97" s="12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1"/>
      <c r="I98" s="10" t="s">
        <v>50</v>
      </c>
      <c r="J98" s="12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1"/>
      <c r="I99" s="10" t="s">
        <v>50</v>
      </c>
      <c r="J99" s="12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1"/>
      <c r="I100" s="10" t="s">
        <v>50</v>
      </c>
      <c r="J100" s="12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1"/>
      <c r="I101" s="10" t="s">
        <v>50</v>
      </c>
      <c r="J101" s="12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1"/>
      <c r="I102" s="10" t="s">
        <v>50</v>
      </c>
      <c r="J102" s="12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1"/>
      <c r="I103" s="10" t="s">
        <v>50</v>
      </c>
      <c r="J103" s="12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1"/>
      <c r="I104" s="10" t="s">
        <v>50</v>
      </c>
      <c r="J104" s="12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1"/>
      <c r="I105" s="10" t="s">
        <v>50</v>
      </c>
      <c r="J105" s="12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1"/>
      <c r="I106" s="10" t="s">
        <v>50</v>
      </c>
      <c r="J106" s="12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1"/>
      <c r="I107" s="10" t="s">
        <v>50</v>
      </c>
      <c r="J107" s="12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1"/>
      <c r="I108" s="10" t="s">
        <v>50</v>
      </c>
      <c r="J108" s="12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1"/>
      <c r="I109" s="10" t="s">
        <v>50</v>
      </c>
      <c r="J109" s="12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1"/>
      <c r="I110" s="10" t="s">
        <v>50</v>
      </c>
      <c r="J110" s="12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1"/>
      <c r="I111" s="10" t="s">
        <v>50</v>
      </c>
      <c r="J111" s="12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1"/>
      <c r="I112" s="10" t="s">
        <v>50</v>
      </c>
      <c r="J112" s="12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1"/>
      <c r="I113" s="10" t="s">
        <v>50</v>
      </c>
      <c r="J113" s="12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1"/>
      <c r="I114" s="10" t="s">
        <v>50</v>
      </c>
      <c r="J114" s="12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1"/>
      <c r="I115" s="10" t="s">
        <v>50</v>
      </c>
      <c r="J115" s="12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1"/>
      <c r="I116" s="10" t="s">
        <v>50</v>
      </c>
      <c r="J116" s="12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1"/>
      <c r="I117" s="10" t="s">
        <v>50</v>
      </c>
      <c r="J117" s="12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1"/>
      <c r="I118" s="10" t="s">
        <v>50</v>
      </c>
      <c r="J118" s="12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1"/>
      <c r="I119" s="10" t="s">
        <v>50</v>
      </c>
      <c r="J119" s="12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1"/>
      <c r="I120" s="10" t="s">
        <v>50</v>
      </c>
      <c r="J120" s="12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1"/>
      <c r="I121" s="10" t="s">
        <v>50</v>
      </c>
      <c r="J121" s="12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1"/>
      <c r="I122" s="10" t="s">
        <v>50</v>
      </c>
      <c r="J122" s="12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1"/>
      <c r="I123" s="10" t="s">
        <v>50</v>
      </c>
      <c r="J123" s="12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1"/>
      <c r="I124" s="10" t="s">
        <v>50</v>
      </c>
      <c r="J124" s="12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1"/>
      <c r="I125" s="10" t="s">
        <v>50</v>
      </c>
      <c r="J125" s="12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1"/>
      <c r="I126" s="10" t="s">
        <v>50</v>
      </c>
      <c r="J126" s="12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1"/>
      <c r="I127" s="10" t="s">
        <v>50</v>
      </c>
      <c r="J127" s="12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1"/>
      <c r="I128" s="10" t="s">
        <v>50</v>
      </c>
      <c r="J128" s="12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1"/>
      <c r="I129" s="10" t="s">
        <v>50</v>
      </c>
      <c r="J129" s="12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1"/>
      <c r="I130" s="10" t="s">
        <v>50</v>
      </c>
      <c r="J130" s="12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1"/>
      <c r="I131" s="10" t="s">
        <v>50</v>
      </c>
      <c r="J131" s="12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1"/>
      <c r="I132" s="10" t="s">
        <v>50</v>
      </c>
      <c r="J132" s="12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1"/>
      <c r="I133" s="10" t="s">
        <v>50</v>
      </c>
      <c r="J133" s="12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1"/>
      <c r="I134" s="10" t="s">
        <v>50</v>
      </c>
      <c r="J134" s="12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1"/>
      <c r="I135" s="10" t="s">
        <v>50</v>
      </c>
      <c r="J135" s="12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1"/>
      <c r="I136" s="10" t="s">
        <v>50</v>
      </c>
      <c r="J136" s="12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1"/>
      <c r="I137" s="10" t="s">
        <v>50</v>
      </c>
      <c r="J137" s="12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1"/>
      <c r="I138" s="10" t="s">
        <v>50</v>
      </c>
      <c r="J138" s="12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1"/>
      <c r="I139" s="10" t="s">
        <v>50</v>
      </c>
      <c r="J139" s="12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1"/>
      <c r="I140" s="10" t="s">
        <v>50</v>
      </c>
      <c r="J140" s="12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1"/>
      <c r="I141" s="10" t="s">
        <v>50</v>
      </c>
      <c r="J141" s="12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1"/>
      <c r="I142" s="10" t="s">
        <v>50</v>
      </c>
      <c r="J142" s="12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1"/>
      <c r="I143" s="10" t="s">
        <v>50</v>
      </c>
      <c r="J143" s="12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1"/>
      <c r="I144" s="10" t="s">
        <v>50</v>
      </c>
      <c r="J144" s="12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1"/>
      <c r="I145" s="10" t="s">
        <v>50</v>
      </c>
      <c r="J145" s="12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1"/>
      <c r="I146" s="10" t="s">
        <v>50</v>
      </c>
      <c r="J146" s="12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1"/>
      <c r="I147" s="10" t="s">
        <v>50</v>
      </c>
      <c r="J147" s="12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1"/>
      <c r="I148" s="10" t="s">
        <v>50</v>
      </c>
      <c r="J148" s="12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1"/>
      <c r="I149" s="10" t="s">
        <v>50</v>
      </c>
      <c r="J149" s="12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1"/>
      <c r="I150" s="10" t="s">
        <v>50</v>
      </c>
      <c r="J150" s="12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1"/>
      <c r="I151" s="10" t="s">
        <v>50</v>
      </c>
      <c r="J151" s="12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1"/>
      <c r="I152" s="10" t="s">
        <v>50</v>
      </c>
      <c r="J152" s="12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1"/>
      <c r="I153" s="10" t="s">
        <v>50</v>
      </c>
      <c r="J153" s="12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1"/>
      <c r="I154" s="10" t="s">
        <v>50</v>
      </c>
      <c r="J154" s="12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1"/>
      <c r="I155" s="10" t="s">
        <v>50</v>
      </c>
      <c r="J155" s="12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1"/>
      <c r="I156" s="10" t="s">
        <v>50</v>
      </c>
      <c r="J156" s="12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1"/>
      <c r="I157" s="10" t="s">
        <v>50</v>
      </c>
      <c r="J157" s="12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1"/>
      <c r="I158" s="10" t="s">
        <v>50</v>
      </c>
      <c r="J158" s="12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1"/>
      <c r="I159" s="10" t="s">
        <v>50</v>
      </c>
      <c r="J159" s="12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1"/>
      <c r="I160" s="10" t="s">
        <v>50</v>
      </c>
      <c r="J160" s="12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1"/>
      <c r="I161" s="10" t="s">
        <v>50</v>
      </c>
      <c r="J161" s="12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1"/>
      <c r="I162" s="10" t="s">
        <v>50</v>
      </c>
      <c r="J162" s="12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1"/>
      <c r="I163" s="10" t="s">
        <v>50</v>
      </c>
      <c r="J163" s="12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1"/>
      <c r="I164" s="10" t="s">
        <v>50</v>
      </c>
      <c r="J164" s="12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1"/>
      <c r="I165" s="10" t="s">
        <v>50</v>
      </c>
      <c r="J165" s="12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1"/>
      <c r="I166" s="10" t="s">
        <v>50</v>
      </c>
      <c r="J166" s="12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1"/>
      <c r="I167" s="10" t="s">
        <v>50</v>
      </c>
      <c r="J167" s="12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1"/>
      <c r="I168" s="10" t="s">
        <v>50</v>
      </c>
      <c r="J168" s="12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1"/>
      <c r="I169" s="10" t="s">
        <v>50</v>
      </c>
      <c r="J169" s="12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1"/>
      <c r="I170" s="10" t="s">
        <v>50</v>
      </c>
      <c r="J170" s="12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1"/>
      <c r="I171" s="10" t="s">
        <v>50</v>
      </c>
      <c r="J171" s="12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1"/>
      <c r="I172" s="10" t="s">
        <v>50</v>
      </c>
      <c r="J172" s="12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1"/>
      <c r="I173" s="10" t="s">
        <v>50</v>
      </c>
      <c r="J173" s="12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1"/>
      <c r="I174" s="10" t="s">
        <v>50</v>
      </c>
      <c r="J174" s="12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1"/>
      <c r="I175" s="10" t="s">
        <v>50</v>
      </c>
      <c r="J175" s="12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1"/>
      <c r="I176" s="10" t="s">
        <v>50</v>
      </c>
      <c r="J176" s="12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1"/>
      <c r="I177" s="10" t="s">
        <v>50</v>
      </c>
      <c r="J177" s="12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1"/>
      <c r="I178" s="10" t="s">
        <v>50</v>
      </c>
      <c r="J178" s="12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1"/>
      <c r="I179" s="10" t="s">
        <v>50</v>
      </c>
      <c r="J179" s="12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1"/>
      <c r="I180" s="10" t="s">
        <v>50</v>
      </c>
      <c r="J180" s="12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1"/>
      <c r="I181" s="10" t="s">
        <v>50</v>
      </c>
      <c r="J181" s="12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1"/>
      <c r="I182" s="10" t="s">
        <v>50</v>
      </c>
      <c r="J182" s="12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1"/>
      <c r="I183" s="10" t="s">
        <v>50</v>
      </c>
      <c r="J183" s="12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1"/>
      <c r="I184" s="10" t="s">
        <v>50</v>
      </c>
      <c r="J184" s="12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1"/>
      <c r="I185" s="10" t="s">
        <v>50</v>
      </c>
      <c r="J185" s="12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1"/>
      <c r="I186" s="10" t="s">
        <v>50</v>
      </c>
      <c r="J186" s="12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1"/>
      <c r="I187" s="10" t="s">
        <v>50</v>
      </c>
      <c r="J187" s="12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1"/>
      <c r="I188" s="10" t="s">
        <v>50</v>
      </c>
      <c r="J188" s="12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1"/>
      <c r="I189" s="10" t="s">
        <v>50</v>
      </c>
      <c r="J189" s="12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1"/>
      <c r="I190" s="10" t="s">
        <v>50</v>
      </c>
      <c r="J190" s="12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1"/>
      <c r="I191" s="10" t="s">
        <v>50</v>
      </c>
      <c r="J191" s="12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1"/>
      <c r="I192" s="10" t="s">
        <v>50</v>
      </c>
      <c r="J192" s="12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1"/>
      <c r="I193" s="10" t="s">
        <v>50</v>
      </c>
      <c r="J193" s="12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1"/>
      <c r="I194" s="10" t="s">
        <v>50</v>
      </c>
      <c r="J194" s="12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1"/>
      <c r="I195" s="10" t="s">
        <v>50</v>
      </c>
      <c r="J195" s="12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1"/>
      <c r="I196" s="10" t="s">
        <v>50</v>
      </c>
      <c r="J196" s="12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1"/>
      <c r="I197" s="10" t="s">
        <v>50</v>
      </c>
      <c r="J197" s="12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1"/>
      <c r="I198" s="10" t="s">
        <v>50</v>
      </c>
      <c r="J198" s="12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1"/>
      <c r="I199" s="10" t="s">
        <v>50</v>
      </c>
      <c r="J199" s="12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1"/>
      <c r="I200" s="10" t="s">
        <v>50</v>
      </c>
      <c r="J200" s="12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1"/>
      <c r="I201" s="10" t="s">
        <v>50</v>
      </c>
      <c r="J201" s="12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1"/>
      <c r="I202" s="10" t="s">
        <v>50</v>
      </c>
      <c r="J202" s="12"/>
    </row>
    <row r="203" customFormat="false" ht="15" hidden="false" customHeight="false" outlineLevel="0" collapsed="false">
      <c r="A203" s="10"/>
      <c r="B203" s="10"/>
      <c r="C203" s="10"/>
      <c r="D203" s="10"/>
      <c r="E203" s="10"/>
      <c r="F203" s="10"/>
      <c r="G203" s="10"/>
      <c r="H203" s="11"/>
      <c r="I203" s="10" t="s">
        <v>50</v>
      </c>
      <c r="J203" s="12"/>
    </row>
    <row r="204" customFormat="false" ht="15" hidden="false" customHeight="false" outlineLevel="0" collapsed="false">
      <c r="A204" s="10"/>
      <c r="B204" s="10"/>
      <c r="C204" s="10"/>
      <c r="D204" s="10"/>
      <c r="E204" s="10"/>
      <c r="F204" s="10"/>
      <c r="G204" s="10"/>
      <c r="H204" s="11"/>
      <c r="I204" s="10" t="s">
        <v>50</v>
      </c>
      <c r="J204" s="12"/>
    </row>
    <row r="205" customFormat="false" ht="15" hidden="false" customHeight="false" outlineLevel="0" collapsed="false">
      <c r="A205" s="10"/>
      <c r="B205" s="10"/>
      <c r="C205" s="10"/>
      <c r="D205" s="10"/>
      <c r="E205" s="10"/>
      <c r="F205" s="10"/>
      <c r="G205" s="10"/>
      <c r="H205" s="11"/>
      <c r="I205" s="10" t="s">
        <v>50</v>
      </c>
      <c r="J205" s="12"/>
    </row>
    <row r="206" customFormat="false" ht="15" hidden="false" customHeight="false" outlineLevel="0" collapsed="false">
      <c r="A206" s="10"/>
      <c r="B206" s="10"/>
      <c r="C206" s="10"/>
      <c r="D206" s="10"/>
      <c r="E206" s="10"/>
      <c r="F206" s="10"/>
      <c r="G206" s="10"/>
      <c r="H206" s="11"/>
      <c r="I206" s="10" t="s">
        <v>50</v>
      </c>
      <c r="J206" s="12"/>
    </row>
    <row r="207" customFormat="false" ht="15" hidden="false" customHeight="false" outlineLevel="0" collapsed="false">
      <c r="A207" s="10"/>
      <c r="B207" s="10"/>
      <c r="C207" s="10"/>
      <c r="D207" s="10"/>
      <c r="E207" s="10"/>
      <c r="F207" s="10"/>
      <c r="G207" s="10"/>
      <c r="H207" s="11"/>
      <c r="I207" s="10" t="s">
        <v>50</v>
      </c>
      <c r="J207" s="12"/>
    </row>
    <row r="208" customFormat="false" ht="15" hidden="false" customHeight="false" outlineLevel="0" collapsed="false">
      <c r="A208" s="10"/>
      <c r="B208" s="10"/>
      <c r="C208" s="10"/>
      <c r="D208" s="10"/>
      <c r="E208" s="10"/>
      <c r="F208" s="10"/>
      <c r="G208" s="10"/>
      <c r="H208" s="11"/>
      <c r="I208" s="10" t="s">
        <v>50</v>
      </c>
      <c r="J208" s="12"/>
    </row>
    <row r="209" customFormat="false" ht="15" hidden="false" customHeight="false" outlineLevel="0" collapsed="false">
      <c r="A209" s="10"/>
      <c r="B209" s="10"/>
      <c r="C209" s="10"/>
      <c r="D209" s="10"/>
      <c r="E209" s="10"/>
      <c r="F209" s="10"/>
      <c r="G209" s="10"/>
      <c r="H209" s="11"/>
      <c r="I209" s="10" t="s">
        <v>50</v>
      </c>
      <c r="J209" s="12"/>
    </row>
    <row r="210" customFormat="false" ht="15" hidden="false" customHeight="false" outlineLevel="0" collapsed="false">
      <c r="A210" s="10"/>
      <c r="B210" s="10"/>
      <c r="C210" s="10"/>
      <c r="D210" s="10"/>
      <c r="E210" s="10"/>
      <c r="F210" s="10"/>
      <c r="G210" s="10"/>
      <c r="H210" s="11"/>
      <c r="I210" s="10" t="s">
        <v>50</v>
      </c>
      <c r="J210" s="12"/>
    </row>
    <row r="211" customFormat="false" ht="15" hidden="false" customHeight="false" outlineLevel="0" collapsed="false">
      <c r="A211" s="10"/>
      <c r="B211" s="10"/>
      <c r="C211" s="10"/>
      <c r="D211" s="10"/>
      <c r="E211" s="10"/>
      <c r="F211" s="10"/>
      <c r="G211" s="10"/>
      <c r="H211" s="11"/>
      <c r="I211" s="10" t="s">
        <v>50</v>
      </c>
      <c r="J211" s="12"/>
    </row>
    <row r="212" customFormat="false" ht="15" hidden="false" customHeight="false" outlineLevel="0" collapsed="false">
      <c r="A212" s="10"/>
      <c r="B212" s="10"/>
      <c r="C212" s="10"/>
      <c r="D212" s="10"/>
      <c r="E212" s="10"/>
      <c r="F212" s="10"/>
      <c r="G212" s="10"/>
      <c r="H212" s="11"/>
      <c r="I212" s="10" t="s">
        <v>50</v>
      </c>
      <c r="J212" s="12"/>
    </row>
    <row r="213" customFormat="false" ht="15" hidden="false" customHeight="false" outlineLevel="0" collapsed="false">
      <c r="A213" s="10"/>
      <c r="B213" s="10"/>
      <c r="C213" s="10"/>
      <c r="D213" s="10"/>
      <c r="E213" s="10"/>
      <c r="F213" s="10"/>
      <c r="G213" s="10"/>
      <c r="H213" s="11"/>
      <c r="I213" s="10" t="s">
        <v>50</v>
      </c>
      <c r="J213" s="12"/>
    </row>
    <row r="214" customFormat="false" ht="15" hidden="false" customHeight="false" outlineLevel="0" collapsed="false">
      <c r="A214" s="10"/>
      <c r="B214" s="10"/>
      <c r="C214" s="10"/>
      <c r="D214" s="10"/>
      <c r="E214" s="10"/>
      <c r="F214" s="10"/>
      <c r="G214" s="10"/>
      <c r="H214" s="11"/>
      <c r="I214" s="10" t="s">
        <v>50</v>
      </c>
      <c r="J214" s="12"/>
    </row>
    <row r="215" customFormat="false" ht="15" hidden="false" customHeight="false" outlineLevel="0" collapsed="false">
      <c r="A215" s="10"/>
      <c r="B215" s="10"/>
      <c r="C215" s="10"/>
      <c r="D215" s="10"/>
      <c r="E215" s="10"/>
      <c r="F215" s="10"/>
      <c r="G215" s="10"/>
      <c r="H215" s="11"/>
      <c r="I215" s="10" t="s">
        <v>50</v>
      </c>
      <c r="J215" s="12"/>
    </row>
    <row r="216" customFormat="false" ht="15" hidden="false" customHeight="false" outlineLevel="0" collapsed="false">
      <c r="A216" s="10"/>
      <c r="B216" s="10"/>
      <c r="C216" s="10"/>
      <c r="D216" s="10"/>
      <c r="E216" s="10"/>
      <c r="F216" s="10"/>
      <c r="G216" s="10"/>
      <c r="H216" s="11"/>
      <c r="I216" s="10" t="s">
        <v>50</v>
      </c>
      <c r="J216" s="12"/>
    </row>
    <row r="217" customFormat="false" ht="15" hidden="false" customHeight="false" outlineLevel="0" collapsed="false">
      <c r="A217" s="10"/>
      <c r="B217" s="10"/>
      <c r="C217" s="10"/>
      <c r="D217" s="10"/>
      <c r="E217" s="10"/>
      <c r="F217" s="10"/>
      <c r="G217" s="10"/>
      <c r="H217" s="11"/>
      <c r="I217" s="10" t="s">
        <v>50</v>
      </c>
      <c r="J217" s="12"/>
    </row>
    <row r="218" customFormat="false" ht="15" hidden="false" customHeight="false" outlineLevel="0" collapsed="false">
      <c r="A218" s="10"/>
      <c r="B218" s="10"/>
      <c r="C218" s="10"/>
      <c r="D218" s="10"/>
      <c r="E218" s="10"/>
      <c r="F218" s="10"/>
      <c r="G218" s="10"/>
      <c r="H218" s="11"/>
      <c r="I218" s="10" t="s">
        <v>50</v>
      </c>
      <c r="J218" s="12"/>
    </row>
    <row r="219" customFormat="false" ht="15" hidden="false" customHeight="false" outlineLevel="0" collapsed="false">
      <c r="A219" s="10"/>
      <c r="B219" s="10"/>
      <c r="C219" s="10"/>
      <c r="D219" s="10"/>
      <c r="E219" s="10"/>
      <c r="F219" s="10"/>
      <c r="G219" s="10"/>
      <c r="H219" s="11"/>
      <c r="I219" s="10" t="s">
        <v>50</v>
      </c>
      <c r="J219" s="12"/>
    </row>
    <row r="220" customFormat="false" ht="15" hidden="false" customHeight="false" outlineLevel="0" collapsed="false">
      <c r="A220" s="10"/>
      <c r="B220" s="10"/>
      <c r="C220" s="10"/>
      <c r="D220" s="10"/>
      <c r="E220" s="10"/>
      <c r="F220" s="10"/>
      <c r="G220" s="10"/>
      <c r="H220" s="11"/>
      <c r="I220" s="10" t="s">
        <v>50</v>
      </c>
      <c r="J220" s="12"/>
    </row>
    <row r="221" customFormat="false" ht="15" hidden="false" customHeight="false" outlineLevel="0" collapsed="false">
      <c r="A221" s="10"/>
      <c r="B221" s="10"/>
      <c r="C221" s="10"/>
      <c r="D221" s="10"/>
      <c r="E221" s="10"/>
      <c r="F221" s="10"/>
      <c r="G221" s="10"/>
      <c r="H221" s="11"/>
      <c r="I221" s="10" t="s">
        <v>50</v>
      </c>
      <c r="J221" s="12"/>
    </row>
    <row r="222" customFormat="false" ht="15" hidden="false" customHeight="false" outlineLevel="0" collapsed="false">
      <c r="A222" s="10"/>
      <c r="B222" s="10"/>
      <c r="C222" s="10"/>
      <c r="D222" s="10"/>
      <c r="E222" s="10"/>
      <c r="F222" s="10"/>
      <c r="G222" s="10"/>
      <c r="H222" s="11"/>
      <c r="I222" s="10" t="s">
        <v>50</v>
      </c>
      <c r="J222" s="12"/>
    </row>
    <row r="223" customFormat="false" ht="15" hidden="false" customHeight="false" outlineLevel="0" collapsed="false">
      <c r="A223" s="10"/>
      <c r="B223" s="10"/>
      <c r="C223" s="10"/>
      <c r="D223" s="10"/>
      <c r="E223" s="10"/>
      <c r="F223" s="10"/>
      <c r="G223" s="10"/>
      <c r="H223" s="11"/>
      <c r="I223" s="10" t="s">
        <v>50</v>
      </c>
      <c r="J223" s="12"/>
    </row>
    <row r="224" customFormat="false" ht="15" hidden="false" customHeight="false" outlineLevel="0" collapsed="false">
      <c r="A224" s="10"/>
      <c r="B224" s="10"/>
      <c r="C224" s="10"/>
      <c r="D224" s="10"/>
      <c r="E224" s="10"/>
      <c r="F224" s="10"/>
      <c r="G224" s="10"/>
      <c r="H224" s="11"/>
      <c r="I224" s="10" t="s">
        <v>50</v>
      </c>
      <c r="J224" s="12"/>
    </row>
    <row r="225" customFormat="false" ht="15" hidden="false" customHeight="false" outlineLevel="0" collapsed="false">
      <c r="A225" s="10"/>
      <c r="B225" s="10"/>
      <c r="C225" s="10"/>
      <c r="D225" s="10"/>
      <c r="E225" s="10"/>
      <c r="F225" s="10"/>
      <c r="G225" s="10"/>
      <c r="H225" s="11"/>
      <c r="I225" s="10" t="s">
        <v>50</v>
      </c>
      <c r="J225" s="12"/>
    </row>
    <row r="226" customFormat="false" ht="15" hidden="false" customHeight="false" outlineLevel="0" collapsed="false">
      <c r="A226" s="10"/>
      <c r="B226" s="10"/>
      <c r="C226" s="10"/>
      <c r="D226" s="10"/>
      <c r="E226" s="10"/>
      <c r="F226" s="10"/>
      <c r="G226" s="10"/>
      <c r="H226" s="11"/>
      <c r="I226" s="10" t="s">
        <v>50</v>
      </c>
      <c r="J226" s="12"/>
    </row>
    <row r="227" customFormat="false" ht="15" hidden="false" customHeight="false" outlineLevel="0" collapsed="false">
      <c r="A227" s="10"/>
      <c r="B227" s="10"/>
      <c r="C227" s="10"/>
      <c r="D227" s="10"/>
      <c r="E227" s="10"/>
      <c r="F227" s="10"/>
      <c r="G227" s="10"/>
      <c r="H227" s="11"/>
      <c r="I227" s="10" t="s">
        <v>50</v>
      </c>
      <c r="J227" s="12"/>
    </row>
    <row r="228" customFormat="false" ht="15" hidden="false" customHeight="false" outlineLevel="0" collapsed="false">
      <c r="A228" s="10"/>
      <c r="B228" s="10"/>
      <c r="C228" s="10"/>
      <c r="D228" s="10"/>
      <c r="E228" s="10"/>
      <c r="F228" s="10"/>
      <c r="G228" s="10"/>
      <c r="H228" s="11"/>
      <c r="I228" s="10" t="s">
        <v>50</v>
      </c>
      <c r="J228" s="12"/>
    </row>
    <row r="229" customFormat="false" ht="15" hidden="false" customHeight="false" outlineLevel="0" collapsed="false">
      <c r="A229" s="10"/>
      <c r="B229" s="10"/>
      <c r="C229" s="10"/>
      <c r="D229" s="10"/>
      <c r="E229" s="10"/>
      <c r="F229" s="10"/>
      <c r="G229" s="10"/>
      <c r="H229" s="11"/>
      <c r="I229" s="10" t="s">
        <v>50</v>
      </c>
      <c r="J229" s="12"/>
    </row>
    <row r="230" customFormat="false" ht="15" hidden="false" customHeight="false" outlineLevel="0" collapsed="false">
      <c r="A230" s="10"/>
      <c r="B230" s="10"/>
      <c r="C230" s="10"/>
      <c r="D230" s="10"/>
      <c r="E230" s="10"/>
      <c r="F230" s="10"/>
      <c r="G230" s="10"/>
      <c r="H230" s="11"/>
      <c r="I230" s="10" t="s">
        <v>50</v>
      </c>
      <c r="J230" s="12"/>
    </row>
    <row r="231" customFormat="false" ht="15" hidden="false" customHeight="false" outlineLevel="0" collapsed="false">
      <c r="A231" s="10"/>
      <c r="B231" s="10"/>
      <c r="C231" s="10"/>
      <c r="D231" s="10"/>
      <c r="E231" s="10"/>
      <c r="F231" s="10"/>
      <c r="G231" s="10"/>
      <c r="H231" s="11"/>
      <c r="I231" s="10" t="s">
        <v>50</v>
      </c>
      <c r="J231" s="12"/>
    </row>
    <row r="232" customFormat="false" ht="15" hidden="false" customHeight="false" outlineLevel="0" collapsed="false">
      <c r="A232" s="10"/>
      <c r="B232" s="10"/>
      <c r="C232" s="10"/>
      <c r="D232" s="10"/>
      <c r="E232" s="10"/>
      <c r="F232" s="10"/>
      <c r="G232" s="10"/>
      <c r="H232" s="11"/>
      <c r="I232" s="10" t="s">
        <v>50</v>
      </c>
      <c r="J232" s="12"/>
    </row>
    <row r="233" customFormat="false" ht="15" hidden="false" customHeight="false" outlineLevel="0" collapsed="false">
      <c r="A233" s="10"/>
      <c r="B233" s="10"/>
      <c r="C233" s="10"/>
      <c r="D233" s="10"/>
      <c r="E233" s="10"/>
      <c r="F233" s="10"/>
      <c r="G233" s="10"/>
      <c r="H233" s="11"/>
      <c r="I233" s="10" t="s">
        <v>50</v>
      </c>
      <c r="J233" s="12"/>
    </row>
    <row r="234" customFormat="false" ht="15" hidden="false" customHeight="false" outlineLevel="0" collapsed="false">
      <c r="A234" s="10"/>
      <c r="B234" s="10"/>
      <c r="C234" s="10"/>
      <c r="D234" s="10"/>
      <c r="E234" s="10"/>
      <c r="F234" s="10"/>
      <c r="G234" s="10"/>
      <c r="H234" s="11"/>
      <c r="I234" s="10" t="s">
        <v>50</v>
      </c>
      <c r="J234" s="12"/>
    </row>
    <row r="235" customFormat="false" ht="15" hidden="false" customHeight="false" outlineLevel="0" collapsed="false">
      <c r="A235" s="10"/>
      <c r="B235" s="10"/>
      <c r="C235" s="10"/>
      <c r="D235" s="10"/>
      <c r="E235" s="10"/>
      <c r="F235" s="10"/>
      <c r="G235" s="10"/>
      <c r="H235" s="11"/>
      <c r="I235" s="10" t="s">
        <v>50</v>
      </c>
      <c r="J235" s="12"/>
    </row>
    <row r="236" customFormat="false" ht="15" hidden="false" customHeight="false" outlineLevel="0" collapsed="false">
      <c r="A236" s="10"/>
      <c r="B236" s="10"/>
      <c r="C236" s="10"/>
      <c r="D236" s="10"/>
      <c r="E236" s="10"/>
      <c r="F236" s="10"/>
      <c r="G236" s="10"/>
      <c r="H236" s="11"/>
      <c r="I236" s="10" t="s">
        <v>50</v>
      </c>
      <c r="J236" s="12"/>
    </row>
    <row r="237" customFormat="false" ht="15" hidden="false" customHeight="false" outlineLevel="0" collapsed="false">
      <c r="A237" s="10"/>
      <c r="B237" s="10"/>
      <c r="C237" s="10"/>
      <c r="D237" s="10"/>
      <c r="E237" s="10"/>
      <c r="F237" s="10"/>
      <c r="G237" s="10"/>
      <c r="H237" s="11"/>
      <c r="I237" s="10" t="s">
        <v>50</v>
      </c>
      <c r="J237" s="12"/>
    </row>
    <row r="238" customFormat="false" ht="15" hidden="false" customHeight="false" outlineLevel="0" collapsed="false">
      <c r="A238" s="10"/>
      <c r="B238" s="10"/>
      <c r="C238" s="10"/>
      <c r="D238" s="10"/>
      <c r="E238" s="10"/>
      <c r="F238" s="10"/>
      <c r="G238" s="10"/>
      <c r="H238" s="11"/>
      <c r="I238" s="10" t="s">
        <v>50</v>
      </c>
      <c r="J238" s="12"/>
    </row>
    <row r="239" customFormat="false" ht="15" hidden="false" customHeight="false" outlineLevel="0" collapsed="false">
      <c r="A239" s="10"/>
      <c r="B239" s="10"/>
      <c r="C239" s="10"/>
      <c r="D239" s="10"/>
      <c r="E239" s="10"/>
      <c r="F239" s="10"/>
      <c r="G239" s="10"/>
      <c r="H239" s="11"/>
      <c r="I239" s="10" t="s">
        <v>50</v>
      </c>
      <c r="J239" s="12"/>
    </row>
    <row r="240" customFormat="false" ht="15" hidden="false" customHeight="false" outlineLevel="0" collapsed="false">
      <c r="A240" s="10"/>
      <c r="B240" s="10"/>
      <c r="C240" s="10"/>
      <c r="D240" s="10"/>
      <c r="E240" s="10"/>
      <c r="F240" s="10"/>
      <c r="G240" s="10"/>
      <c r="H240" s="11"/>
      <c r="I240" s="10" t="s">
        <v>50</v>
      </c>
      <c r="J240" s="12"/>
    </row>
    <row r="241" customFormat="false" ht="15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1"/>
      <c r="I241" s="10" t="s">
        <v>50</v>
      </c>
      <c r="J241" s="12"/>
    </row>
    <row r="242" customFormat="false" ht="15" hidden="false" customHeight="false" outlineLevel="0" collapsed="false">
      <c r="A242" s="10"/>
      <c r="B242" s="10"/>
      <c r="C242" s="10"/>
      <c r="D242" s="10"/>
      <c r="E242" s="10"/>
      <c r="F242" s="10"/>
      <c r="G242" s="10"/>
      <c r="H242" s="11"/>
      <c r="I242" s="10" t="s">
        <v>50</v>
      </c>
      <c r="J242" s="12"/>
    </row>
    <row r="243" customFormat="false" ht="15" hidden="false" customHeight="false" outlineLevel="0" collapsed="false">
      <c r="A243" s="10"/>
      <c r="B243" s="10"/>
      <c r="C243" s="10"/>
      <c r="D243" s="10"/>
      <c r="E243" s="10"/>
      <c r="F243" s="10"/>
      <c r="G243" s="10"/>
      <c r="H243" s="11"/>
      <c r="I243" s="10" t="s">
        <v>50</v>
      </c>
      <c r="J243" s="12"/>
    </row>
    <row r="244" customFormat="false" ht="15" hidden="false" customHeight="false" outlineLevel="0" collapsed="false">
      <c r="A244" s="10"/>
      <c r="B244" s="10"/>
      <c r="C244" s="10"/>
      <c r="D244" s="10"/>
      <c r="E244" s="10"/>
      <c r="F244" s="10"/>
      <c r="G244" s="10"/>
      <c r="H244" s="11"/>
      <c r="I244" s="10" t="s">
        <v>50</v>
      </c>
      <c r="J244" s="12"/>
    </row>
    <row r="245" customFormat="false" ht="15" hidden="false" customHeight="false" outlineLevel="0" collapsed="false">
      <c r="A245" s="10"/>
      <c r="B245" s="10"/>
      <c r="C245" s="10"/>
      <c r="D245" s="10"/>
      <c r="E245" s="10"/>
      <c r="F245" s="10"/>
      <c r="G245" s="10"/>
      <c r="H245" s="11"/>
      <c r="I245" s="10" t="s">
        <v>50</v>
      </c>
      <c r="J245" s="12"/>
    </row>
    <row r="246" customFormat="false" ht="15" hidden="false" customHeight="false" outlineLevel="0" collapsed="false">
      <c r="A246" s="10"/>
      <c r="B246" s="10"/>
      <c r="C246" s="10"/>
      <c r="D246" s="10"/>
      <c r="E246" s="10"/>
      <c r="F246" s="10"/>
      <c r="G246" s="10"/>
      <c r="H246" s="11"/>
      <c r="I246" s="10" t="s">
        <v>50</v>
      </c>
      <c r="J246" s="12"/>
    </row>
    <row r="247" customFormat="false" ht="15" hidden="false" customHeight="false" outlineLevel="0" collapsed="false">
      <c r="A247" s="10"/>
      <c r="B247" s="10"/>
      <c r="C247" s="10"/>
      <c r="D247" s="10"/>
      <c r="E247" s="10"/>
      <c r="F247" s="10"/>
      <c r="G247" s="10"/>
      <c r="H247" s="11"/>
      <c r="I247" s="10" t="s">
        <v>50</v>
      </c>
      <c r="J247" s="12"/>
    </row>
    <row r="248" customFormat="false" ht="15" hidden="false" customHeight="false" outlineLevel="0" collapsed="false">
      <c r="A248" s="10"/>
      <c r="B248" s="10"/>
      <c r="C248" s="10"/>
      <c r="D248" s="10"/>
      <c r="E248" s="10"/>
      <c r="F248" s="10"/>
      <c r="G248" s="10"/>
      <c r="H248" s="11"/>
      <c r="I248" s="10" t="s">
        <v>50</v>
      </c>
      <c r="J248" s="12"/>
    </row>
    <row r="249" customFormat="false" ht="15" hidden="false" customHeight="false" outlineLevel="0" collapsed="false">
      <c r="A249" s="10"/>
      <c r="B249" s="10"/>
      <c r="C249" s="10"/>
      <c r="D249" s="10"/>
      <c r="E249" s="10"/>
      <c r="F249" s="10"/>
      <c r="G249" s="10"/>
      <c r="H249" s="11"/>
      <c r="I249" s="10" t="s">
        <v>50</v>
      </c>
      <c r="J249" s="12"/>
    </row>
    <row r="250" customFormat="false" ht="15" hidden="false" customHeight="false" outlineLevel="0" collapsed="false">
      <c r="A250" s="10"/>
      <c r="B250" s="10"/>
      <c r="C250" s="10"/>
      <c r="D250" s="10"/>
      <c r="E250" s="10"/>
      <c r="F250" s="10"/>
      <c r="G250" s="10"/>
      <c r="H250" s="11"/>
      <c r="I250" s="10" t="s">
        <v>50</v>
      </c>
      <c r="J250" s="12"/>
    </row>
    <row r="251" customFormat="false" ht="15" hidden="false" customHeight="false" outlineLevel="0" collapsed="false">
      <c r="A251" s="10"/>
      <c r="B251" s="10"/>
      <c r="C251" s="10"/>
      <c r="D251" s="10"/>
      <c r="E251" s="10"/>
      <c r="F251" s="10"/>
      <c r="G251" s="10"/>
      <c r="H251" s="11"/>
      <c r="I251" s="10" t="s">
        <v>50</v>
      </c>
      <c r="J251" s="12"/>
    </row>
    <row r="252" customFormat="false" ht="15" hidden="false" customHeight="false" outlineLevel="0" collapsed="false">
      <c r="A252" s="10"/>
      <c r="B252" s="10"/>
      <c r="C252" s="10"/>
      <c r="D252" s="10"/>
      <c r="E252" s="10"/>
      <c r="F252" s="10"/>
      <c r="G252" s="10"/>
      <c r="H252" s="11"/>
      <c r="I252" s="10" t="s">
        <v>50</v>
      </c>
      <c r="J252" s="12"/>
    </row>
    <row r="253" customFormat="false" ht="15" hidden="false" customHeight="false" outlineLevel="0" collapsed="false">
      <c r="A253" s="10"/>
      <c r="B253" s="10"/>
      <c r="C253" s="10"/>
      <c r="D253" s="10"/>
      <c r="E253" s="10"/>
      <c r="F253" s="10"/>
      <c r="G253" s="10"/>
      <c r="H253" s="11"/>
      <c r="I253" s="10" t="s">
        <v>50</v>
      </c>
      <c r="J253" s="12"/>
    </row>
    <row r="254" customFormat="false" ht="15" hidden="false" customHeight="false" outlineLevel="0" collapsed="false">
      <c r="A254" s="10"/>
      <c r="B254" s="10"/>
      <c r="C254" s="10"/>
      <c r="D254" s="10"/>
      <c r="E254" s="10"/>
      <c r="F254" s="10"/>
      <c r="G254" s="10"/>
      <c r="H254" s="11"/>
      <c r="I254" s="10" t="s">
        <v>50</v>
      </c>
      <c r="J254" s="12"/>
    </row>
    <row r="255" customFormat="false" ht="15" hidden="false" customHeight="false" outlineLevel="0" collapsed="false">
      <c r="A255" s="10"/>
      <c r="B255" s="10"/>
      <c r="C255" s="10"/>
      <c r="D255" s="10"/>
      <c r="E255" s="10"/>
      <c r="F255" s="10"/>
      <c r="G255" s="10"/>
      <c r="H255" s="11"/>
      <c r="I255" s="10" t="s">
        <v>50</v>
      </c>
      <c r="J255" s="12"/>
    </row>
    <row r="256" customFormat="false" ht="15" hidden="false" customHeight="false" outlineLevel="0" collapsed="false">
      <c r="A256" s="10"/>
      <c r="B256" s="10"/>
      <c r="C256" s="10"/>
      <c r="D256" s="10"/>
      <c r="E256" s="10"/>
      <c r="F256" s="10"/>
      <c r="G256" s="10"/>
      <c r="H256" s="11"/>
      <c r="I256" s="10" t="s">
        <v>50</v>
      </c>
      <c r="J256" s="12"/>
    </row>
    <row r="257" customFormat="false" ht="15" hidden="false" customHeight="false" outlineLevel="0" collapsed="false">
      <c r="A257" s="10"/>
      <c r="B257" s="10"/>
      <c r="C257" s="10"/>
      <c r="D257" s="10"/>
      <c r="E257" s="10"/>
      <c r="F257" s="10"/>
      <c r="G257" s="10"/>
      <c r="H257" s="11"/>
      <c r="I257" s="10" t="s">
        <v>50</v>
      </c>
      <c r="J257" s="12"/>
    </row>
    <row r="258" customFormat="false" ht="15" hidden="false" customHeight="false" outlineLevel="0" collapsed="false">
      <c r="A258" s="10"/>
      <c r="B258" s="10"/>
      <c r="C258" s="10"/>
      <c r="D258" s="10"/>
      <c r="E258" s="10"/>
      <c r="F258" s="10"/>
      <c r="G258" s="10"/>
      <c r="H258" s="11"/>
      <c r="I258" s="10" t="s">
        <v>50</v>
      </c>
      <c r="J258" s="12"/>
    </row>
    <row r="259" customFormat="false" ht="15" hidden="false" customHeight="false" outlineLevel="0" collapsed="false">
      <c r="A259" s="10"/>
      <c r="B259" s="10"/>
      <c r="C259" s="10"/>
      <c r="D259" s="10"/>
      <c r="E259" s="10"/>
      <c r="F259" s="10"/>
      <c r="G259" s="10"/>
      <c r="H259" s="11"/>
      <c r="I259" s="10" t="s">
        <v>50</v>
      </c>
      <c r="J259" s="12"/>
    </row>
    <row r="260" customFormat="false" ht="15" hidden="false" customHeight="false" outlineLevel="0" collapsed="false">
      <c r="A260" s="10"/>
      <c r="B260" s="10"/>
      <c r="C260" s="10"/>
      <c r="D260" s="10"/>
      <c r="E260" s="10"/>
      <c r="F260" s="10"/>
      <c r="G260" s="10"/>
      <c r="H260" s="11"/>
      <c r="I260" s="10" t="s">
        <v>50</v>
      </c>
      <c r="J260" s="12"/>
    </row>
    <row r="261" customFormat="false" ht="15" hidden="false" customHeight="false" outlineLevel="0" collapsed="false">
      <c r="A261" s="10"/>
      <c r="B261" s="10"/>
      <c r="C261" s="10"/>
      <c r="D261" s="10"/>
      <c r="E261" s="10"/>
      <c r="F261" s="10"/>
      <c r="G261" s="10"/>
      <c r="H261" s="11"/>
      <c r="I261" s="10" t="s">
        <v>50</v>
      </c>
      <c r="J261" s="12"/>
    </row>
    <row r="262" customFormat="false" ht="15" hidden="false" customHeight="false" outlineLevel="0" collapsed="false">
      <c r="A262" s="10"/>
      <c r="B262" s="10"/>
      <c r="C262" s="10"/>
      <c r="D262" s="10"/>
      <c r="E262" s="10"/>
      <c r="F262" s="10"/>
      <c r="G262" s="10"/>
      <c r="H262" s="11"/>
      <c r="I262" s="10" t="s">
        <v>50</v>
      </c>
      <c r="J262" s="12"/>
    </row>
    <row r="263" customFormat="false" ht="15" hidden="false" customHeight="false" outlineLevel="0" collapsed="false">
      <c r="A263" s="10"/>
      <c r="B263" s="10"/>
      <c r="C263" s="10"/>
      <c r="D263" s="10"/>
      <c r="E263" s="10"/>
      <c r="F263" s="10"/>
      <c r="G263" s="10"/>
      <c r="H263" s="11"/>
      <c r="I263" s="10" t="s">
        <v>50</v>
      </c>
      <c r="J263" s="12"/>
    </row>
    <row r="264" customFormat="false" ht="15" hidden="false" customHeight="false" outlineLevel="0" collapsed="false">
      <c r="A264" s="10"/>
      <c r="B264" s="10"/>
      <c r="C264" s="10"/>
      <c r="D264" s="10"/>
      <c r="E264" s="10"/>
      <c r="F264" s="10"/>
      <c r="G264" s="10"/>
      <c r="H264" s="11"/>
      <c r="I264" s="10" t="s">
        <v>50</v>
      </c>
      <c r="J264" s="12"/>
    </row>
    <row r="265" customFormat="false" ht="15" hidden="false" customHeight="false" outlineLevel="0" collapsed="false">
      <c r="A265" s="10"/>
      <c r="B265" s="10"/>
      <c r="C265" s="10"/>
      <c r="D265" s="10"/>
      <c r="E265" s="10"/>
      <c r="F265" s="10"/>
      <c r="G265" s="10"/>
      <c r="H265" s="11"/>
      <c r="I265" s="10" t="s">
        <v>50</v>
      </c>
      <c r="J265" s="12"/>
    </row>
    <row r="266" customFormat="false" ht="15" hidden="false" customHeight="false" outlineLevel="0" collapsed="false">
      <c r="A266" s="10"/>
      <c r="B266" s="10"/>
      <c r="C266" s="10"/>
      <c r="D266" s="10"/>
      <c r="E266" s="10"/>
      <c r="F266" s="10"/>
      <c r="G266" s="10"/>
      <c r="H266" s="11"/>
      <c r="I266" s="10" t="s">
        <v>50</v>
      </c>
      <c r="J266" s="12"/>
    </row>
    <row r="267" customFormat="false" ht="15" hidden="false" customHeight="false" outlineLevel="0" collapsed="false">
      <c r="A267" s="10"/>
      <c r="B267" s="10"/>
      <c r="C267" s="10"/>
      <c r="D267" s="10"/>
      <c r="E267" s="10"/>
      <c r="F267" s="10"/>
      <c r="G267" s="10"/>
      <c r="H267" s="11"/>
      <c r="I267" s="10" t="s">
        <v>50</v>
      </c>
      <c r="J267" s="12"/>
    </row>
    <row r="268" customFormat="false" ht="15" hidden="false" customHeight="false" outlineLevel="0" collapsed="false">
      <c r="A268" s="10"/>
      <c r="B268" s="10"/>
      <c r="C268" s="10"/>
      <c r="D268" s="10"/>
      <c r="E268" s="10"/>
      <c r="F268" s="10"/>
      <c r="G268" s="10"/>
      <c r="H268" s="11"/>
      <c r="I268" s="10" t="s">
        <v>50</v>
      </c>
      <c r="J268" s="12"/>
    </row>
    <row r="269" customFormat="false" ht="15" hidden="false" customHeight="false" outlineLevel="0" collapsed="false">
      <c r="A269" s="10"/>
      <c r="B269" s="10"/>
      <c r="C269" s="10"/>
      <c r="D269" s="10"/>
      <c r="E269" s="10"/>
      <c r="F269" s="10"/>
      <c r="G269" s="10"/>
      <c r="H269" s="11"/>
      <c r="I269" s="10" t="s">
        <v>50</v>
      </c>
      <c r="J269" s="12"/>
    </row>
    <row r="270" customFormat="false" ht="15" hidden="false" customHeight="false" outlineLevel="0" collapsed="false">
      <c r="A270" s="10"/>
      <c r="B270" s="10"/>
      <c r="C270" s="10"/>
      <c r="D270" s="10"/>
      <c r="E270" s="10"/>
      <c r="F270" s="10"/>
      <c r="G270" s="10"/>
      <c r="H270" s="11"/>
      <c r="I270" s="10" t="s">
        <v>50</v>
      </c>
      <c r="J270" s="12"/>
    </row>
    <row r="271" customFormat="false" ht="15" hidden="false" customHeight="false" outlineLevel="0" collapsed="false">
      <c r="A271" s="10"/>
      <c r="B271" s="10"/>
      <c r="C271" s="10"/>
      <c r="D271" s="10"/>
      <c r="E271" s="10"/>
      <c r="F271" s="10"/>
      <c r="G271" s="10"/>
      <c r="H271" s="11"/>
      <c r="I271" s="10" t="s">
        <v>50</v>
      </c>
      <c r="J271" s="12"/>
    </row>
    <row r="272" customFormat="false" ht="15" hidden="false" customHeight="false" outlineLevel="0" collapsed="false">
      <c r="A272" s="10"/>
      <c r="B272" s="10"/>
      <c r="C272" s="10"/>
      <c r="D272" s="10"/>
      <c r="E272" s="10"/>
      <c r="F272" s="10"/>
      <c r="G272" s="10"/>
      <c r="H272" s="11"/>
      <c r="I272" s="10" t="s">
        <v>50</v>
      </c>
      <c r="J272" s="12"/>
    </row>
    <row r="273" customFormat="false" ht="15" hidden="false" customHeight="false" outlineLevel="0" collapsed="false">
      <c r="A273" s="10"/>
      <c r="B273" s="10"/>
      <c r="C273" s="10"/>
      <c r="D273" s="10"/>
      <c r="E273" s="10"/>
      <c r="F273" s="10"/>
      <c r="G273" s="10"/>
      <c r="H273" s="11"/>
      <c r="I273" s="10" t="s">
        <v>50</v>
      </c>
      <c r="J273" s="12"/>
    </row>
    <row r="274" customFormat="false" ht="15" hidden="false" customHeight="false" outlineLevel="0" collapsed="false">
      <c r="A274" s="10"/>
      <c r="B274" s="10"/>
      <c r="C274" s="10"/>
      <c r="D274" s="10"/>
      <c r="E274" s="10"/>
      <c r="F274" s="10"/>
      <c r="G274" s="10"/>
      <c r="H274" s="11"/>
      <c r="I274" s="10" t="s">
        <v>50</v>
      </c>
      <c r="J274" s="12"/>
    </row>
    <row r="275" customFormat="false" ht="15" hidden="false" customHeight="false" outlineLevel="0" collapsed="false">
      <c r="A275" s="10"/>
      <c r="B275" s="10"/>
      <c r="C275" s="10"/>
      <c r="D275" s="10"/>
      <c r="E275" s="10"/>
      <c r="F275" s="10"/>
      <c r="G275" s="10"/>
      <c r="H275" s="11"/>
      <c r="I275" s="10" t="s">
        <v>50</v>
      </c>
      <c r="J275" s="12"/>
    </row>
    <row r="276" customFormat="false" ht="15" hidden="false" customHeight="false" outlineLevel="0" collapsed="false">
      <c r="A276" s="10"/>
      <c r="B276" s="10"/>
      <c r="C276" s="10"/>
      <c r="D276" s="10"/>
      <c r="E276" s="10"/>
      <c r="F276" s="10"/>
      <c r="G276" s="10"/>
      <c r="H276" s="11"/>
      <c r="I276" s="10" t="s">
        <v>50</v>
      </c>
      <c r="J276" s="12"/>
    </row>
    <row r="277" customFormat="false" ht="15" hidden="false" customHeight="false" outlineLevel="0" collapsed="false">
      <c r="A277" s="10"/>
      <c r="B277" s="10"/>
      <c r="C277" s="10"/>
      <c r="D277" s="10"/>
      <c r="E277" s="10"/>
      <c r="F277" s="10"/>
      <c r="G277" s="10"/>
      <c r="H277" s="11"/>
      <c r="I277" s="10" t="s">
        <v>50</v>
      </c>
      <c r="J277" s="12"/>
    </row>
    <row r="278" customFormat="false" ht="15" hidden="false" customHeight="false" outlineLevel="0" collapsed="false">
      <c r="A278" s="10"/>
      <c r="B278" s="10"/>
      <c r="C278" s="10"/>
      <c r="D278" s="10"/>
      <c r="E278" s="10"/>
      <c r="F278" s="10"/>
      <c r="G278" s="10"/>
      <c r="H278" s="11"/>
      <c r="I278" s="10" t="s">
        <v>50</v>
      </c>
      <c r="J278" s="12"/>
    </row>
    <row r="279" customFormat="false" ht="15" hidden="false" customHeight="false" outlineLevel="0" collapsed="false">
      <c r="A279" s="10"/>
      <c r="B279" s="10"/>
      <c r="C279" s="10"/>
      <c r="D279" s="10"/>
      <c r="E279" s="10"/>
      <c r="F279" s="10"/>
      <c r="G279" s="10"/>
      <c r="H279" s="11"/>
      <c r="I279" s="10" t="s">
        <v>50</v>
      </c>
      <c r="J279" s="12"/>
    </row>
    <row r="280" customFormat="false" ht="15" hidden="false" customHeight="false" outlineLevel="0" collapsed="false">
      <c r="A280" s="10"/>
      <c r="B280" s="10"/>
      <c r="C280" s="10"/>
      <c r="D280" s="10"/>
      <c r="E280" s="10"/>
      <c r="F280" s="10"/>
      <c r="G280" s="10"/>
      <c r="H280" s="11"/>
      <c r="I280" s="10" t="s">
        <v>50</v>
      </c>
      <c r="J280" s="12"/>
    </row>
    <row r="281" customFormat="false" ht="15" hidden="false" customHeight="false" outlineLevel="0" collapsed="false">
      <c r="A281" s="10"/>
      <c r="B281" s="10"/>
      <c r="C281" s="10"/>
      <c r="D281" s="10"/>
      <c r="E281" s="10"/>
      <c r="F281" s="10"/>
      <c r="G281" s="10"/>
      <c r="H281" s="11"/>
      <c r="I281" s="10" t="s">
        <v>50</v>
      </c>
      <c r="J281" s="12"/>
    </row>
    <row r="282" customFormat="false" ht="15" hidden="false" customHeight="false" outlineLevel="0" collapsed="false">
      <c r="A282" s="10"/>
      <c r="B282" s="10"/>
      <c r="C282" s="10"/>
      <c r="D282" s="10"/>
      <c r="E282" s="10"/>
      <c r="F282" s="10"/>
      <c r="G282" s="10"/>
      <c r="H282" s="11"/>
      <c r="I282" s="10" t="s">
        <v>50</v>
      </c>
      <c r="J282" s="12"/>
    </row>
    <row r="283" customFormat="false" ht="15" hidden="false" customHeight="false" outlineLevel="0" collapsed="false">
      <c r="A283" s="10"/>
      <c r="B283" s="10"/>
      <c r="C283" s="10"/>
      <c r="D283" s="10"/>
      <c r="E283" s="10"/>
      <c r="F283" s="10"/>
      <c r="G283" s="10"/>
      <c r="H283" s="11"/>
      <c r="I283" s="10" t="s">
        <v>50</v>
      </c>
      <c r="J283" s="12"/>
    </row>
    <row r="284" customFormat="false" ht="15" hidden="false" customHeight="false" outlineLevel="0" collapsed="false">
      <c r="A284" s="10"/>
      <c r="B284" s="10"/>
      <c r="C284" s="10"/>
      <c r="D284" s="10"/>
      <c r="E284" s="10"/>
      <c r="F284" s="10"/>
      <c r="G284" s="10"/>
      <c r="H284" s="11"/>
      <c r="I284" s="10" t="s">
        <v>50</v>
      </c>
      <c r="J284" s="12"/>
    </row>
    <row r="285" customFormat="false" ht="15" hidden="false" customHeight="false" outlineLevel="0" collapsed="false">
      <c r="A285" s="10"/>
      <c r="B285" s="10"/>
      <c r="C285" s="10"/>
      <c r="D285" s="10"/>
      <c r="E285" s="10"/>
      <c r="F285" s="10"/>
      <c r="G285" s="10"/>
      <c r="H285" s="11"/>
      <c r="I285" s="10" t="s">
        <v>50</v>
      </c>
      <c r="J285" s="12"/>
    </row>
    <row r="286" customFormat="false" ht="15" hidden="false" customHeight="false" outlineLevel="0" collapsed="false">
      <c r="A286" s="10"/>
      <c r="B286" s="10"/>
      <c r="C286" s="10"/>
      <c r="D286" s="10"/>
      <c r="E286" s="10"/>
      <c r="F286" s="10"/>
      <c r="G286" s="10"/>
      <c r="H286" s="11"/>
      <c r="I286" s="10" t="s">
        <v>50</v>
      </c>
      <c r="J286" s="12"/>
    </row>
    <row r="287" customFormat="false" ht="15" hidden="false" customHeight="false" outlineLevel="0" collapsed="false">
      <c r="A287" s="10"/>
      <c r="B287" s="10"/>
      <c r="C287" s="10"/>
      <c r="D287" s="10"/>
      <c r="E287" s="10"/>
      <c r="F287" s="10"/>
      <c r="G287" s="10"/>
      <c r="H287" s="11"/>
      <c r="I287" s="10" t="s">
        <v>50</v>
      </c>
      <c r="J287" s="12"/>
    </row>
    <row r="288" customFormat="false" ht="15" hidden="false" customHeight="false" outlineLevel="0" collapsed="false">
      <c r="A288" s="10"/>
      <c r="B288" s="10"/>
      <c r="C288" s="10"/>
      <c r="D288" s="10"/>
      <c r="E288" s="10"/>
      <c r="F288" s="10"/>
      <c r="G288" s="10"/>
      <c r="H288" s="11"/>
      <c r="I288" s="10" t="s">
        <v>50</v>
      </c>
      <c r="J288" s="12"/>
    </row>
    <row r="289" customFormat="false" ht="15" hidden="false" customHeight="false" outlineLevel="0" collapsed="false">
      <c r="A289" s="10"/>
      <c r="B289" s="10"/>
      <c r="C289" s="10"/>
      <c r="D289" s="10"/>
      <c r="E289" s="10"/>
      <c r="F289" s="10"/>
      <c r="G289" s="10"/>
      <c r="H289" s="11"/>
      <c r="I289" s="10" t="s">
        <v>50</v>
      </c>
      <c r="J289" s="12"/>
    </row>
    <row r="290" customFormat="false" ht="15" hidden="false" customHeight="false" outlineLevel="0" collapsed="false">
      <c r="A290" s="10"/>
      <c r="B290" s="10"/>
      <c r="C290" s="10"/>
      <c r="D290" s="10"/>
      <c r="E290" s="10"/>
      <c r="F290" s="10"/>
      <c r="G290" s="10"/>
      <c r="H290" s="11"/>
      <c r="I290" s="10" t="s">
        <v>50</v>
      </c>
      <c r="J290" s="12"/>
    </row>
    <row r="291" customFormat="false" ht="15" hidden="false" customHeight="false" outlineLevel="0" collapsed="false">
      <c r="A291" s="10"/>
      <c r="B291" s="10"/>
      <c r="C291" s="10"/>
      <c r="D291" s="10"/>
      <c r="E291" s="10"/>
      <c r="F291" s="10"/>
      <c r="G291" s="10"/>
      <c r="H291" s="11"/>
      <c r="I291" s="10" t="s">
        <v>50</v>
      </c>
      <c r="J291" s="12"/>
    </row>
    <row r="292" customFormat="false" ht="15" hidden="false" customHeight="false" outlineLevel="0" collapsed="false">
      <c r="A292" s="10"/>
      <c r="B292" s="10"/>
      <c r="C292" s="10"/>
      <c r="D292" s="10"/>
      <c r="E292" s="10"/>
      <c r="F292" s="10"/>
      <c r="G292" s="10"/>
      <c r="H292" s="11"/>
      <c r="I292" s="10" t="s">
        <v>50</v>
      </c>
      <c r="J292" s="12"/>
    </row>
    <row r="293" customFormat="false" ht="15" hidden="false" customHeight="false" outlineLevel="0" collapsed="false">
      <c r="A293" s="10"/>
      <c r="B293" s="10"/>
      <c r="C293" s="10"/>
      <c r="D293" s="10"/>
      <c r="E293" s="10"/>
      <c r="F293" s="10"/>
      <c r="G293" s="10"/>
      <c r="H293" s="11"/>
      <c r="I293" s="10" t="s">
        <v>50</v>
      </c>
      <c r="J293" s="12"/>
    </row>
    <row r="294" customFormat="false" ht="15" hidden="false" customHeight="false" outlineLevel="0" collapsed="false">
      <c r="A294" s="10"/>
      <c r="B294" s="10"/>
      <c r="C294" s="10"/>
      <c r="D294" s="10"/>
      <c r="E294" s="10"/>
      <c r="F294" s="10"/>
      <c r="G294" s="10"/>
      <c r="H294" s="11"/>
      <c r="I294" s="10" t="s">
        <v>50</v>
      </c>
      <c r="J294" s="12"/>
    </row>
    <row r="295" customFormat="false" ht="15" hidden="false" customHeight="false" outlineLevel="0" collapsed="false">
      <c r="A295" s="10"/>
      <c r="B295" s="10"/>
      <c r="C295" s="10"/>
      <c r="D295" s="10"/>
      <c r="E295" s="10"/>
      <c r="F295" s="10"/>
      <c r="G295" s="10"/>
      <c r="H295" s="11"/>
      <c r="I295" s="10" t="s">
        <v>50</v>
      </c>
      <c r="J295" s="12"/>
    </row>
    <row r="296" customFormat="false" ht="15" hidden="false" customHeight="false" outlineLevel="0" collapsed="false">
      <c r="A296" s="10"/>
      <c r="B296" s="10"/>
      <c r="C296" s="10"/>
      <c r="D296" s="10"/>
      <c r="E296" s="10"/>
      <c r="F296" s="10"/>
      <c r="G296" s="10"/>
      <c r="H296" s="11"/>
      <c r="I296" s="10" t="s">
        <v>50</v>
      </c>
      <c r="J296" s="12"/>
    </row>
    <row r="297" customFormat="false" ht="15" hidden="false" customHeight="false" outlineLevel="0" collapsed="false">
      <c r="A297" s="10"/>
      <c r="B297" s="10"/>
      <c r="C297" s="10"/>
      <c r="D297" s="10"/>
      <c r="E297" s="10"/>
      <c r="F297" s="10"/>
      <c r="G297" s="10"/>
      <c r="H297" s="11"/>
      <c r="I297" s="10" t="s">
        <v>50</v>
      </c>
      <c r="J297" s="12"/>
    </row>
    <row r="298" customFormat="false" ht="15" hidden="false" customHeight="false" outlineLevel="0" collapsed="false">
      <c r="A298" s="10"/>
      <c r="B298" s="10"/>
      <c r="C298" s="10"/>
      <c r="D298" s="10"/>
      <c r="E298" s="10"/>
      <c r="F298" s="10"/>
      <c r="G298" s="10"/>
      <c r="H298" s="11"/>
      <c r="I298" s="10" t="s">
        <v>50</v>
      </c>
      <c r="J298" s="12"/>
    </row>
    <row r="299" customFormat="false" ht="15" hidden="false" customHeight="false" outlineLevel="0" collapsed="false">
      <c r="A299" s="10"/>
      <c r="B299" s="10"/>
      <c r="C299" s="10"/>
      <c r="D299" s="10"/>
      <c r="E299" s="10"/>
      <c r="F299" s="10"/>
      <c r="G299" s="10"/>
      <c r="H299" s="11"/>
      <c r="I299" s="10" t="s">
        <v>50</v>
      </c>
      <c r="J299" s="12"/>
    </row>
    <row r="300" customFormat="false" ht="15" hidden="false" customHeight="false" outlineLevel="0" collapsed="false">
      <c r="A300" s="10"/>
      <c r="B300" s="10"/>
      <c r="C300" s="10"/>
      <c r="D300" s="10"/>
      <c r="E300" s="10"/>
      <c r="F300" s="10"/>
      <c r="G300" s="10"/>
      <c r="H300" s="11"/>
      <c r="I300" s="10" t="s">
        <v>50</v>
      </c>
      <c r="J300" s="12"/>
    </row>
    <row r="301" customFormat="false" ht="15" hidden="false" customHeight="false" outlineLevel="0" collapsed="false">
      <c r="A301" s="10"/>
      <c r="B301" s="10"/>
      <c r="C301" s="10"/>
      <c r="D301" s="10"/>
      <c r="E301" s="10"/>
      <c r="F301" s="10"/>
      <c r="G301" s="10"/>
      <c r="H301" s="11"/>
      <c r="I301" s="10" t="s">
        <v>50</v>
      </c>
      <c r="J301" s="12"/>
    </row>
    <row r="302" customFormat="false" ht="15" hidden="false" customHeight="false" outlineLevel="0" collapsed="false">
      <c r="A302" s="10"/>
      <c r="B302" s="10"/>
      <c r="C302" s="10"/>
      <c r="D302" s="10"/>
      <c r="E302" s="10"/>
      <c r="F302" s="10"/>
      <c r="G302" s="10"/>
      <c r="H302" s="11"/>
      <c r="I302" s="10" t="s">
        <v>50</v>
      </c>
      <c r="J302" s="12"/>
    </row>
    <row r="303" customFormat="false" ht="15" hidden="false" customHeight="false" outlineLevel="0" collapsed="false">
      <c r="A303" s="10"/>
      <c r="B303" s="10"/>
      <c r="C303" s="10"/>
      <c r="D303" s="10"/>
      <c r="E303" s="10"/>
      <c r="F303" s="10"/>
      <c r="G303" s="10"/>
      <c r="H303" s="11"/>
      <c r="I303" s="10" t="s">
        <v>50</v>
      </c>
      <c r="J303" s="12"/>
    </row>
    <row r="304" customFormat="false" ht="15" hidden="false" customHeight="false" outlineLevel="0" collapsed="false">
      <c r="A304" s="10"/>
      <c r="B304" s="10"/>
      <c r="C304" s="10"/>
      <c r="D304" s="10"/>
      <c r="E304" s="10"/>
      <c r="F304" s="10"/>
      <c r="G304" s="10"/>
      <c r="H304" s="11"/>
      <c r="I304" s="10" t="s">
        <v>50</v>
      </c>
      <c r="J304" s="12"/>
    </row>
    <row r="305" customFormat="false" ht="15" hidden="false" customHeight="false" outlineLevel="0" collapsed="false">
      <c r="A305" s="10"/>
      <c r="B305" s="10"/>
      <c r="C305" s="10"/>
      <c r="D305" s="10"/>
      <c r="E305" s="10"/>
      <c r="F305" s="10"/>
      <c r="G305" s="10"/>
      <c r="H305" s="11"/>
      <c r="I305" s="10" t="s">
        <v>50</v>
      </c>
      <c r="J305" s="12"/>
    </row>
    <row r="306" customFormat="false" ht="15" hidden="false" customHeight="false" outlineLevel="0" collapsed="false">
      <c r="A306" s="10"/>
      <c r="B306" s="10"/>
      <c r="C306" s="10"/>
      <c r="D306" s="10"/>
      <c r="E306" s="10"/>
      <c r="F306" s="10"/>
      <c r="G306" s="10"/>
      <c r="H306" s="11"/>
      <c r="I306" s="10" t="s">
        <v>50</v>
      </c>
      <c r="J306" s="12"/>
    </row>
    <row r="307" customFormat="false" ht="15" hidden="false" customHeight="false" outlineLevel="0" collapsed="false">
      <c r="A307" s="10"/>
      <c r="B307" s="10"/>
      <c r="C307" s="10"/>
      <c r="D307" s="10"/>
      <c r="E307" s="10"/>
      <c r="F307" s="10"/>
      <c r="G307" s="10"/>
      <c r="H307" s="11"/>
      <c r="I307" s="10" t="s">
        <v>50</v>
      </c>
      <c r="J307" s="12"/>
    </row>
    <row r="308" customFormat="false" ht="15" hidden="false" customHeight="false" outlineLevel="0" collapsed="false">
      <c r="A308" s="10"/>
      <c r="B308" s="10"/>
      <c r="C308" s="10"/>
      <c r="D308" s="10"/>
      <c r="E308" s="10"/>
      <c r="F308" s="10"/>
      <c r="G308" s="10"/>
      <c r="H308" s="11"/>
      <c r="I308" s="10" t="s">
        <v>50</v>
      </c>
      <c r="J308" s="12"/>
    </row>
    <row r="309" customFormat="false" ht="15" hidden="false" customHeight="false" outlineLevel="0" collapsed="false">
      <c r="A309" s="10"/>
      <c r="B309" s="10"/>
      <c r="C309" s="10"/>
      <c r="D309" s="10"/>
      <c r="E309" s="10"/>
      <c r="F309" s="10"/>
      <c r="G309" s="10"/>
      <c r="H309" s="11"/>
      <c r="I309" s="10" t="s">
        <v>50</v>
      </c>
      <c r="J309" s="12"/>
    </row>
    <row r="310" customFormat="false" ht="15" hidden="false" customHeight="false" outlineLevel="0" collapsed="false">
      <c r="A310" s="10"/>
      <c r="B310" s="10"/>
      <c r="C310" s="10"/>
      <c r="D310" s="10"/>
      <c r="E310" s="10"/>
      <c r="F310" s="10"/>
      <c r="G310" s="10"/>
      <c r="H310" s="11"/>
      <c r="I310" s="10" t="s">
        <v>50</v>
      </c>
      <c r="J310" s="12"/>
    </row>
    <row r="311" customFormat="false" ht="15" hidden="false" customHeight="false" outlineLevel="0" collapsed="false">
      <c r="A311" s="10"/>
      <c r="B311" s="10"/>
      <c r="C311" s="10"/>
      <c r="D311" s="10"/>
      <c r="E311" s="10"/>
      <c r="F311" s="10"/>
      <c r="G311" s="10"/>
      <c r="H311" s="11"/>
      <c r="I311" s="10" t="s">
        <v>50</v>
      </c>
      <c r="J311" s="12"/>
    </row>
    <row r="312" customFormat="false" ht="15" hidden="false" customHeight="false" outlineLevel="0" collapsed="false">
      <c r="A312" s="10"/>
      <c r="B312" s="10"/>
      <c r="C312" s="10"/>
      <c r="D312" s="10"/>
      <c r="E312" s="10"/>
      <c r="F312" s="10"/>
      <c r="G312" s="10"/>
      <c r="H312" s="11"/>
      <c r="I312" s="10" t="s">
        <v>50</v>
      </c>
      <c r="J312" s="12"/>
    </row>
    <row r="313" customFormat="false" ht="15" hidden="false" customHeight="false" outlineLevel="0" collapsed="false">
      <c r="A313" s="10"/>
      <c r="B313" s="10"/>
      <c r="C313" s="10"/>
      <c r="D313" s="10"/>
      <c r="E313" s="10"/>
      <c r="F313" s="10"/>
      <c r="G313" s="10"/>
      <c r="H313" s="11"/>
      <c r="I313" s="10" t="s">
        <v>50</v>
      </c>
      <c r="J313" s="12"/>
    </row>
    <row r="314" customFormat="false" ht="15" hidden="false" customHeight="false" outlineLevel="0" collapsed="false">
      <c r="A314" s="10"/>
      <c r="B314" s="10"/>
      <c r="C314" s="10"/>
      <c r="D314" s="10"/>
      <c r="E314" s="10"/>
      <c r="F314" s="10"/>
      <c r="G314" s="10"/>
      <c r="H314" s="11"/>
      <c r="I314" s="10" t="s">
        <v>50</v>
      </c>
      <c r="J314" s="12"/>
    </row>
    <row r="315" customFormat="false" ht="15" hidden="false" customHeight="false" outlineLevel="0" collapsed="false">
      <c r="A315" s="10"/>
      <c r="B315" s="10"/>
      <c r="C315" s="10"/>
      <c r="D315" s="10"/>
      <c r="E315" s="10"/>
      <c r="F315" s="10"/>
      <c r="G315" s="10"/>
      <c r="H315" s="11"/>
      <c r="I315" s="10" t="s">
        <v>50</v>
      </c>
      <c r="J315" s="12"/>
    </row>
    <row r="316" customFormat="false" ht="15" hidden="false" customHeight="false" outlineLevel="0" collapsed="false">
      <c r="A316" s="10"/>
      <c r="B316" s="10"/>
      <c r="C316" s="10"/>
      <c r="D316" s="10"/>
      <c r="E316" s="10"/>
      <c r="F316" s="10"/>
      <c r="G316" s="10"/>
      <c r="H316" s="11"/>
      <c r="I316" s="10" t="s">
        <v>50</v>
      </c>
      <c r="J316" s="12"/>
    </row>
    <row r="317" customFormat="false" ht="15" hidden="false" customHeight="false" outlineLevel="0" collapsed="false">
      <c r="A317" s="10"/>
      <c r="B317" s="10"/>
      <c r="C317" s="10"/>
      <c r="D317" s="10"/>
      <c r="E317" s="10"/>
      <c r="F317" s="10"/>
      <c r="G317" s="10"/>
      <c r="H317" s="11"/>
      <c r="I317" s="10" t="s">
        <v>50</v>
      </c>
      <c r="J317" s="12"/>
    </row>
    <row r="318" customFormat="false" ht="15" hidden="false" customHeight="false" outlineLevel="0" collapsed="false">
      <c r="A318" s="10"/>
      <c r="B318" s="10"/>
      <c r="C318" s="10"/>
      <c r="D318" s="10"/>
      <c r="E318" s="10"/>
      <c r="F318" s="10"/>
      <c r="G318" s="10"/>
      <c r="H318" s="11"/>
      <c r="I318" s="10" t="s">
        <v>50</v>
      </c>
      <c r="J318" s="12"/>
    </row>
    <row r="319" customFormat="false" ht="15" hidden="false" customHeight="false" outlineLevel="0" collapsed="false">
      <c r="A319" s="10"/>
      <c r="B319" s="10"/>
      <c r="C319" s="10"/>
      <c r="D319" s="10"/>
      <c r="E319" s="10"/>
      <c r="F319" s="10"/>
      <c r="G319" s="10"/>
      <c r="H319" s="11"/>
      <c r="I319" s="10" t="s">
        <v>50</v>
      </c>
      <c r="J319" s="12"/>
    </row>
    <row r="320" customFormat="false" ht="15" hidden="false" customHeight="false" outlineLevel="0" collapsed="false">
      <c r="A320" s="10"/>
      <c r="B320" s="10"/>
      <c r="C320" s="10"/>
      <c r="D320" s="10"/>
      <c r="E320" s="10"/>
      <c r="F320" s="10"/>
      <c r="G320" s="10"/>
      <c r="H320" s="11"/>
      <c r="I320" s="10" t="s">
        <v>50</v>
      </c>
      <c r="J320" s="12"/>
    </row>
    <row r="321" customFormat="false" ht="15" hidden="false" customHeight="false" outlineLevel="0" collapsed="false">
      <c r="A321" s="10"/>
      <c r="B321" s="10"/>
      <c r="C321" s="10"/>
      <c r="D321" s="10"/>
      <c r="E321" s="10"/>
      <c r="F321" s="10"/>
      <c r="G321" s="10"/>
      <c r="H321" s="11"/>
      <c r="I321" s="10" t="s">
        <v>50</v>
      </c>
      <c r="J321" s="12"/>
    </row>
    <row r="322" customFormat="false" ht="15" hidden="false" customHeight="false" outlineLevel="0" collapsed="false">
      <c r="A322" s="10"/>
      <c r="B322" s="10"/>
      <c r="C322" s="10"/>
      <c r="D322" s="10"/>
      <c r="E322" s="10"/>
      <c r="F322" s="10"/>
      <c r="G322" s="10"/>
      <c r="H322" s="11"/>
      <c r="I322" s="10" t="s">
        <v>50</v>
      </c>
      <c r="J322" s="12"/>
    </row>
    <row r="323" customFormat="false" ht="15" hidden="false" customHeight="false" outlineLevel="0" collapsed="false">
      <c r="A323" s="10"/>
      <c r="B323" s="10"/>
      <c r="C323" s="10"/>
      <c r="D323" s="10"/>
      <c r="E323" s="10"/>
      <c r="F323" s="10"/>
      <c r="G323" s="10"/>
      <c r="H323" s="11"/>
      <c r="I323" s="10" t="s">
        <v>50</v>
      </c>
      <c r="J323" s="12"/>
    </row>
    <row r="324" customFormat="false" ht="15" hidden="false" customHeight="false" outlineLevel="0" collapsed="false">
      <c r="A324" s="10"/>
      <c r="B324" s="10"/>
      <c r="C324" s="10"/>
      <c r="D324" s="10"/>
      <c r="E324" s="10"/>
      <c r="F324" s="10"/>
      <c r="G324" s="10"/>
      <c r="H324" s="11"/>
      <c r="I324" s="10" t="s">
        <v>50</v>
      </c>
      <c r="J324" s="12"/>
    </row>
    <row r="325" customFormat="false" ht="15" hidden="false" customHeight="false" outlineLevel="0" collapsed="false">
      <c r="A325" s="10"/>
      <c r="B325" s="10"/>
      <c r="C325" s="10"/>
      <c r="D325" s="10"/>
      <c r="E325" s="10"/>
      <c r="F325" s="10"/>
      <c r="G325" s="10"/>
      <c r="H325" s="11"/>
      <c r="I325" s="10" t="s">
        <v>50</v>
      </c>
      <c r="J325" s="12"/>
    </row>
    <row r="326" customFormat="false" ht="15" hidden="false" customHeight="false" outlineLevel="0" collapsed="false">
      <c r="A326" s="10"/>
      <c r="B326" s="10"/>
      <c r="C326" s="10"/>
      <c r="D326" s="10"/>
      <c r="E326" s="10"/>
      <c r="F326" s="10"/>
      <c r="G326" s="10"/>
      <c r="H326" s="11"/>
      <c r="I326" s="10" t="s">
        <v>50</v>
      </c>
      <c r="J326" s="12"/>
    </row>
    <row r="327" customFormat="false" ht="15" hidden="false" customHeight="false" outlineLevel="0" collapsed="false">
      <c r="A327" s="10"/>
      <c r="B327" s="10"/>
      <c r="C327" s="10"/>
      <c r="D327" s="10"/>
      <c r="E327" s="10"/>
      <c r="F327" s="10"/>
      <c r="G327" s="10"/>
      <c r="H327" s="11"/>
      <c r="I327" s="10" t="s">
        <v>50</v>
      </c>
      <c r="J327" s="12"/>
    </row>
    <row r="328" customFormat="false" ht="15" hidden="false" customHeight="false" outlineLevel="0" collapsed="false">
      <c r="A328" s="10"/>
      <c r="B328" s="10"/>
      <c r="C328" s="10"/>
      <c r="D328" s="10"/>
      <c r="E328" s="10"/>
      <c r="F328" s="10"/>
      <c r="G328" s="10"/>
      <c r="H328" s="11"/>
      <c r="I328" s="10" t="s">
        <v>50</v>
      </c>
      <c r="J328" s="12"/>
    </row>
    <row r="329" customFormat="false" ht="15" hidden="false" customHeight="false" outlineLevel="0" collapsed="false">
      <c r="A329" s="10"/>
      <c r="B329" s="10"/>
      <c r="C329" s="10"/>
      <c r="D329" s="10"/>
      <c r="E329" s="10"/>
      <c r="F329" s="10"/>
      <c r="G329" s="10"/>
      <c r="H329" s="11"/>
      <c r="I329" s="10" t="s">
        <v>50</v>
      </c>
      <c r="J329" s="12"/>
    </row>
    <row r="330" customFormat="false" ht="15" hidden="false" customHeight="false" outlineLevel="0" collapsed="false">
      <c r="A330" s="10"/>
      <c r="B330" s="10"/>
      <c r="C330" s="10"/>
      <c r="D330" s="10"/>
      <c r="E330" s="10"/>
      <c r="F330" s="10"/>
      <c r="G330" s="10"/>
      <c r="H330" s="11"/>
      <c r="I330" s="10" t="s">
        <v>50</v>
      </c>
      <c r="J330" s="12"/>
    </row>
    <row r="331" customFormat="false" ht="15" hidden="false" customHeight="false" outlineLevel="0" collapsed="false">
      <c r="A331" s="10"/>
      <c r="B331" s="10"/>
      <c r="C331" s="10"/>
      <c r="D331" s="10"/>
      <c r="E331" s="10"/>
      <c r="F331" s="10"/>
      <c r="G331" s="10"/>
      <c r="H331" s="11"/>
      <c r="I331" s="10" t="s">
        <v>50</v>
      </c>
      <c r="J331" s="12"/>
    </row>
    <row r="332" customFormat="false" ht="15" hidden="false" customHeight="false" outlineLevel="0" collapsed="false">
      <c r="A332" s="10"/>
      <c r="B332" s="10"/>
      <c r="C332" s="10"/>
      <c r="D332" s="10"/>
      <c r="E332" s="10"/>
      <c r="F332" s="10"/>
      <c r="G332" s="10"/>
      <c r="H332" s="11"/>
      <c r="I332" s="10" t="s">
        <v>50</v>
      </c>
      <c r="J332" s="12"/>
    </row>
    <row r="333" customFormat="false" ht="15" hidden="false" customHeight="false" outlineLevel="0" collapsed="false">
      <c r="A333" s="10"/>
      <c r="B333" s="10"/>
      <c r="C333" s="10"/>
      <c r="D333" s="10"/>
      <c r="E333" s="10"/>
      <c r="F333" s="10"/>
      <c r="G333" s="10"/>
      <c r="H333" s="11"/>
      <c r="I333" s="10" t="s">
        <v>50</v>
      </c>
      <c r="J333" s="12"/>
    </row>
    <row r="334" customFormat="false" ht="15" hidden="false" customHeight="false" outlineLevel="0" collapsed="false">
      <c r="A334" s="10"/>
      <c r="B334" s="10"/>
      <c r="C334" s="10"/>
      <c r="D334" s="10"/>
      <c r="E334" s="10"/>
      <c r="F334" s="10"/>
      <c r="G334" s="10"/>
      <c r="H334" s="11"/>
      <c r="I334" s="10" t="s">
        <v>50</v>
      </c>
      <c r="J334" s="12"/>
    </row>
    <row r="335" customFormat="false" ht="15" hidden="false" customHeight="false" outlineLevel="0" collapsed="false">
      <c r="A335" s="10"/>
      <c r="B335" s="10"/>
      <c r="C335" s="10"/>
      <c r="D335" s="10"/>
      <c r="E335" s="10"/>
      <c r="F335" s="10"/>
      <c r="G335" s="10"/>
      <c r="H335" s="11"/>
      <c r="I335" s="10" t="s">
        <v>50</v>
      </c>
      <c r="J335" s="12"/>
    </row>
    <row r="336" customFormat="false" ht="15" hidden="false" customHeight="false" outlineLevel="0" collapsed="false">
      <c r="A336" s="10"/>
      <c r="B336" s="10"/>
      <c r="C336" s="10"/>
      <c r="D336" s="10"/>
      <c r="E336" s="10"/>
      <c r="F336" s="10"/>
      <c r="G336" s="10"/>
      <c r="H336" s="11"/>
      <c r="I336" s="10" t="s">
        <v>50</v>
      </c>
      <c r="J336" s="12"/>
    </row>
    <row r="337" customFormat="false" ht="15" hidden="false" customHeight="false" outlineLevel="0" collapsed="false">
      <c r="A337" s="10"/>
      <c r="B337" s="10"/>
      <c r="C337" s="10"/>
      <c r="D337" s="10"/>
      <c r="E337" s="10"/>
      <c r="F337" s="10"/>
      <c r="G337" s="10"/>
      <c r="H337" s="11"/>
      <c r="I337" s="10" t="s">
        <v>50</v>
      </c>
      <c r="J337" s="12"/>
    </row>
    <row r="338" customFormat="false" ht="15" hidden="false" customHeight="false" outlineLevel="0" collapsed="false">
      <c r="A338" s="10"/>
      <c r="B338" s="10"/>
      <c r="C338" s="10"/>
      <c r="D338" s="10"/>
      <c r="E338" s="10"/>
      <c r="F338" s="10"/>
      <c r="G338" s="10"/>
      <c r="H338" s="11"/>
      <c r="I338" s="10" t="s">
        <v>50</v>
      </c>
      <c r="J338" s="12"/>
    </row>
    <row r="339" customFormat="false" ht="15" hidden="false" customHeight="false" outlineLevel="0" collapsed="false">
      <c r="A339" s="10"/>
      <c r="B339" s="10"/>
      <c r="C339" s="10"/>
      <c r="D339" s="10"/>
      <c r="E339" s="10"/>
      <c r="F339" s="10"/>
      <c r="G339" s="10"/>
      <c r="H339" s="11"/>
      <c r="I339" s="10" t="s">
        <v>50</v>
      </c>
      <c r="J339" s="12"/>
    </row>
    <row r="340" customFormat="false" ht="15" hidden="false" customHeight="false" outlineLevel="0" collapsed="false">
      <c r="A340" s="10"/>
      <c r="B340" s="10"/>
      <c r="C340" s="10"/>
      <c r="D340" s="10"/>
      <c r="E340" s="10"/>
      <c r="F340" s="10"/>
      <c r="G340" s="10"/>
      <c r="H340" s="11"/>
      <c r="I340" s="10" t="s">
        <v>50</v>
      </c>
      <c r="J340" s="12"/>
    </row>
    <row r="341" customFormat="false" ht="15" hidden="false" customHeight="false" outlineLevel="0" collapsed="false">
      <c r="A341" s="10"/>
      <c r="B341" s="10"/>
      <c r="C341" s="10"/>
      <c r="D341" s="10"/>
      <c r="E341" s="10"/>
      <c r="F341" s="10"/>
      <c r="G341" s="10"/>
      <c r="H341" s="11"/>
      <c r="I341" s="10" t="s">
        <v>50</v>
      </c>
      <c r="J341" s="12"/>
    </row>
    <row r="342" customFormat="false" ht="15" hidden="false" customHeight="false" outlineLevel="0" collapsed="false">
      <c r="A342" s="10"/>
      <c r="B342" s="10"/>
      <c r="C342" s="10"/>
      <c r="D342" s="10"/>
      <c r="E342" s="10"/>
      <c r="F342" s="10"/>
      <c r="G342" s="10"/>
      <c r="H342" s="11"/>
      <c r="I342" s="10" t="s">
        <v>50</v>
      </c>
      <c r="J342" s="12"/>
    </row>
    <row r="343" customFormat="false" ht="15" hidden="false" customHeight="false" outlineLevel="0" collapsed="false">
      <c r="A343" s="10"/>
      <c r="B343" s="10"/>
      <c r="C343" s="10"/>
      <c r="D343" s="10"/>
      <c r="E343" s="10"/>
      <c r="F343" s="10"/>
      <c r="G343" s="10"/>
      <c r="H343" s="11"/>
      <c r="I343" s="10" t="s">
        <v>50</v>
      </c>
      <c r="J343" s="12"/>
    </row>
    <row r="344" customFormat="false" ht="15" hidden="false" customHeight="false" outlineLevel="0" collapsed="false">
      <c r="A344" s="10"/>
      <c r="B344" s="10"/>
      <c r="C344" s="10"/>
      <c r="D344" s="10"/>
      <c r="E344" s="10"/>
      <c r="F344" s="10"/>
      <c r="G344" s="10"/>
      <c r="H344" s="11"/>
      <c r="I344" s="10" t="s">
        <v>50</v>
      </c>
      <c r="J344" s="12"/>
    </row>
    <row r="345" customFormat="false" ht="15" hidden="false" customHeight="false" outlineLevel="0" collapsed="false">
      <c r="A345" s="10"/>
      <c r="B345" s="10"/>
      <c r="C345" s="10"/>
      <c r="D345" s="10"/>
      <c r="E345" s="10"/>
      <c r="F345" s="10"/>
      <c r="G345" s="10"/>
      <c r="H345" s="11"/>
      <c r="I345" s="10" t="s">
        <v>50</v>
      </c>
      <c r="J345" s="12"/>
    </row>
    <row r="346" customFormat="false" ht="15" hidden="false" customHeight="false" outlineLevel="0" collapsed="false">
      <c r="A346" s="10"/>
      <c r="B346" s="10"/>
      <c r="C346" s="10"/>
      <c r="D346" s="10"/>
      <c r="E346" s="10"/>
      <c r="F346" s="10"/>
      <c r="G346" s="10"/>
      <c r="H346" s="11"/>
      <c r="I346" s="10" t="s">
        <v>50</v>
      </c>
      <c r="J346" s="12"/>
    </row>
    <row r="347" customFormat="false" ht="15" hidden="false" customHeight="false" outlineLevel="0" collapsed="false">
      <c r="A347" s="10"/>
      <c r="B347" s="10"/>
      <c r="C347" s="10"/>
      <c r="D347" s="10"/>
      <c r="E347" s="10"/>
      <c r="F347" s="10"/>
      <c r="G347" s="10"/>
      <c r="H347" s="11"/>
      <c r="I347" s="10" t="s">
        <v>50</v>
      </c>
      <c r="J347" s="12"/>
    </row>
    <row r="348" customFormat="false" ht="15" hidden="false" customHeight="false" outlineLevel="0" collapsed="false">
      <c r="A348" s="10"/>
      <c r="B348" s="10"/>
      <c r="C348" s="10"/>
      <c r="D348" s="10"/>
      <c r="E348" s="10"/>
      <c r="F348" s="10"/>
      <c r="G348" s="10"/>
      <c r="H348" s="11"/>
      <c r="I348" s="10" t="s">
        <v>50</v>
      </c>
      <c r="J348" s="12"/>
    </row>
    <row r="349" customFormat="false" ht="15" hidden="false" customHeight="false" outlineLevel="0" collapsed="false">
      <c r="A349" s="10"/>
      <c r="B349" s="10"/>
      <c r="C349" s="10"/>
      <c r="D349" s="10"/>
      <c r="E349" s="10"/>
      <c r="F349" s="10"/>
      <c r="G349" s="10"/>
      <c r="H349" s="11"/>
      <c r="I349" s="10" t="s">
        <v>50</v>
      </c>
      <c r="J349" s="12"/>
    </row>
    <row r="350" customFormat="false" ht="15" hidden="false" customHeight="false" outlineLevel="0" collapsed="false">
      <c r="A350" s="10"/>
      <c r="B350" s="10"/>
      <c r="C350" s="10"/>
      <c r="D350" s="10"/>
      <c r="E350" s="10"/>
      <c r="F350" s="10"/>
      <c r="G350" s="10"/>
      <c r="H350" s="11"/>
      <c r="I350" s="10" t="s">
        <v>50</v>
      </c>
      <c r="J350" s="12"/>
    </row>
    <row r="351" customFormat="false" ht="15" hidden="false" customHeight="false" outlineLevel="0" collapsed="false">
      <c r="A351" s="10"/>
      <c r="B351" s="10"/>
      <c r="C351" s="10"/>
      <c r="D351" s="10"/>
      <c r="E351" s="10"/>
      <c r="F351" s="10"/>
      <c r="G351" s="10"/>
      <c r="H351" s="11"/>
      <c r="I351" s="10" t="s">
        <v>50</v>
      </c>
      <c r="J351" s="12"/>
    </row>
    <row r="352" customFormat="false" ht="15" hidden="false" customHeight="false" outlineLevel="0" collapsed="false">
      <c r="A352" s="10"/>
      <c r="B352" s="10"/>
      <c r="C352" s="10"/>
      <c r="D352" s="10"/>
      <c r="E352" s="10"/>
      <c r="F352" s="10"/>
      <c r="G352" s="10"/>
      <c r="H352" s="11"/>
      <c r="I352" s="10" t="s">
        <v>50</v>
      </c>
      <c r="J352" s="12"/>
    </row>
    <row r="353" customFormat="false" ht="15" hidden="false" customHeight="false" outlineLevel="0" collapsed="false">
      <c r="A353" s="10"/>
      <c r="B353" s="10"/>
      <c r="C353" s="10"/>
      <c r="D353" s="10"/>
      <c r="E353" s="10"/>
      <c r="F353" s="10"/>
      <c r="G353" s="10"/>
      <c r="H353" s="11"/>
      <c r="I353" s="10" t="s">
        <v>50</v>
      </c>
      <c r="J353" s="12"/>
    </row>
    <row r="354" customFormat="false" ht="15" hidden="false" customHeight="false" outlineLevel="0" collapsed="false">
      <c r="A354" s="10"/>
      <c r="B354" s="10"/>
      <c r="C354" s="10"/>
      <c r="D354" s="10"/>
      <c r="E354" s="10"/>
      <c r="F354" s="10"/>
      <c r="G354" s="10"/>
      <c r="H354" s="11"/>
      <c r="I354" s="10" t="s">
        <v>50</v>
      </c>
      <c r="J354" s="12"/>
    </row>
    <row r="355" customFormat="false" ht="15" hidden="false" customHeight="false" outlineLevel="0" collapsed="false">
      <c r="A355" s="10"/>
      <c r="B355" s="10"/>
      <c r="C355" s="10"/>
      <c r="D355" s="10"/>
      <c r="E355" s="10"/>
      <c r="F355" s="10"/>
      <c r="G355" s="10"/>
      <c r="H355" s="11"/>
      <c r="I355" s="10" t="s">
        <v>50</v>
      </c>
      <c r="J355" s="12"/>
    </row>
    <row r="356" customFormat="false" ht="15" hidden="false" customHeight="false" outlineLevel="0" collapsed="false">
      <c r="A356" s="10"/>
      <c r="B356" s="10"/>
      <c r="C356" s="10"/>
      <c r="D356" s="10"/>
      <c r="E356" s="10"/>
      <c r="F356" s="10"/>
      <c r="G356" s="10"/>
      <c r="H356" s="11"/>
      <c r="I356" s="10" t="s">
        <v>50</v>
      </c>
      <c r="J356" s="12"/>
    </row>
    <row r="357" customFormat="false" ht="15" hidden="false" customHeight="false" outlineLevel="0" collapsed="false">
      <c r="A357" s="10"/>
      <c r="B357" s="10"/>
      <c r="C357" s="10"/>
      <c r="D357" s="10"/>
      <c r="E357" s="10"/>
      <c r="F357" s="10"/>
      <c r="G357" s="10"/>
      <c r="H357" s="11"/>
      <c r="I357" s="10" t="s">
        <v>50</v>
      </c>
      <c r="J357" s="12"/>
    </row>
    <row r="358" customFormat="false" ht="15" hidden="false" customHeight="false" outlineLevel="0" collapsed="false">
      <c r="A358" s="10"/>
      <c r="B358" s="10"/>
      <c r="C358" s="10"/>
      <c r="D358" s="10"/>
      <c r="E358" s="10"/>
      <c r="F358" s="10"/>
      <c r="G358" s="10"/>
      <c r="H358" s="11"/>
      <c r="I358" s="10" t="s">
        <v>50</v>
      </c>
      <c r="J358" s="12"/>
    </row>
    <row r="359" customFormat="false" ht="15" hidden="false" customHeight="false" outlineLevel="0" collapsed="false">
      <c r="A359" s="10"/>
      <c r="B359" s="10"/>
      <c r="C359" s="10"/>
      <c r="D359" s="10"/>
      <c r="E359" s="10"/>
      <c r="F359" s="10"/>
      <c r="G359" s="10"/>
      <c r="H359" s="11"/>
      <c r="I359" s="10" t="s">
        <v>50</v>
      </c>
      <c r="J359" s="12"/>
    </row>
    <row r="360" customFormat="false" ht="15" hidden="false" customHeight="false" outlineLevel="0" collapsed="false">
      <c r="A360" s="10"/>
      <c r="B360" s="10"/>
      <c r="C360" s="10"/>
      <c r="D360" s="10"/>
      <c r="E360" s="10"/>
      <c r="F360" s="10"/>
      <c r="G360" s="10"/>
      <c r="H360" s="11"/>
      <c r="I360" s="10" t="s">
        <v>50</v>
      </c>
      <c r="J360" s="12"/>
    </row>
    <row r="361" customFormat="false" ht="15" hidden="false" customHeight="false" outlineLevel="0" collapsed="false">
      <c r="A361" s="10"/>
      <c r="B361" s="10"/>
      <c r="C361" s="10"/>
      <c r="D361" s="10"/>
      <c r="E361" s="10"/>
      <c r="F361" s="10"/>
      <c r="G361" s="10"/>
      <c r="H361" s="11"/>
      <c r="I361" s="10" t="s">
        <v>50</v>
      </c>
      <c r="J361" s="12"/>
    </row>
    <row r="362" customFormat="false" ht="15" hidden="false" customHeight="false" outlineLevel="0" collapsed="false">
      <c r="A362" s="10"/>
      <c r="B362" s="10"/>
      <c r="C362" s="10"/>
      <c r="D362" s="10"/>
      <c r="E362" s="10"/>
      <c r="F362" s="10"/>
      <c r="G362" s="10"/>
      <c r="H362" s="11"/>
      <c r="I362" s="10" t="s">
        <v>50</v>
      </c>
      <c r="J362" s="12"/>
    </row>
    <row r="363" customFormat="false" ht="15" hidden="false" customHeight="false" outlineLevel="0" collapsed="false">
      <c r="A363" s="10"/>
      <c r="B363" s="10"/>
      <c r="C363" s="10"/>
      <c r="D363" s="10"/>
      <c r="E363" s="10"/>
      <c r="F363" s="10"/>
      <c r="G363" s="10"/>
      <c r="H363" s="11"/>
      <c r="I363" s="10" t="s">
        <v>50</v>
      </c>
      <c r="J363" s="12"/>
    </row>
    <row r="364" customFormat="false" ht="15" hidden="false" customHeight="false" outlineLevel="0" collapsed="false">
      <c r="A364" s="10"/>
      <c r="B364" s="10"/>
      <c r="C364" s="10"/>
      <c r="D364" s="10"/>
      <c r="E364" s="10"/>
      <c r="F364" s="10"/>
      <c r="G364" s="10"/>
      <c r="H364" s="11"/>
      <c r="I364" s="10" t="s">
        <v>50</v>
      </c>
      <c r="J364" s="12"/>
    </row>
    <row r="365" customFormat="false" ht="15" hidden="false" customHeight="false" outlineLevel="0" collapsed="false">
      <c r="A365" s="10"/>
      <c r="B365" s="10"/>
      <c r="C365" s="10"/>
      <c r="D365" s="10"/>
      <c r="E365" s="10"/>
      <c r="F365" s="10"/>
      <c r="G365" s="10"/>
      <c r="H365" s="11"/>
      <c r="I365" s="10" t="s">
        <v>50</v>
      </c>
      <c r="J365" s="12"/>
    </row>
    <row r="366" customFormat="false" ht="15" hidden="false" customHeight="false" outlineLevel="0" collapsed="false">
      <c r="A366" s="10"/>
      <c r="B366" s="10"/>
      <c r="C366" s="10"/>
      <c r="D366" s="10"/>
      <c r="E366" s="10"/>
      <c r="F366" s="10"/>
      <c r="G366" s="10"/>
      <c r="H366" s="11"/>
      <c r="I366" s="10" t="s">
        <v>50</v>
      </c>
      <c r="J366" s="12"/>
    </row>
    <row r="367" customFormat="false" ht="15" hidden="false" customHeight="false" outlineLevel="0" collapsed="false">
      <c r="A367" s="10"/>
      <c r="B367" s="10"/>
      <c r="C367" s="10"/>
      <c r="D367" s="10"/>
      <c r="E367" s="10"/>
      <c r="F367" s="10"/>
      <c r="G367" s="10"/>
      <c r="H367" s="11"/>
      <c r="I367" s="10" t="s">
        <v>50</v>
      </c>
      <c r="J367" s="12"/>
    </row>
    <row r="368" customFormat="false" ht="15" hidden="false" customHeight="false" outlineLevel="0" collapsed="false">
      <c r="A368" s="10"/>
      <c r="B368" s="10"/>
      <c r="C368" s="10"/>
      <c r="D368" s="10"/>
      <c r="E368" s="10"/>
      <c r="F368" s="10"/>
      <c r="G368" s="10"/>
      <c r="H368" s="11"/>
      <c r="I368" s="10" t="s">
        <v>50</v>
      </c>
      <c r="J368" s="12"/>
    </row>
    <row r="369" customFormat="false" ht="15" hidden="false" customHeight="false" outlineLevel="0" collapsed="false">
      <c r="A369" s="10"/>
      <c r="B369" s="10"/>
      <c r="C369" s="10"/>
      <c r="D369" s="10"/>
      <c r="E369" s="10"/>
      <c r="F369" s="10"/>
      <c r="G369" s="10"/>
      <c r="H369" s="11"/>
      <c r="I369" s="10" t="s">
        <v>50</v>
      </c>
      <c r="J369" s="12"/>
    </row>
    <row r="370" customFormat="false" ht="15" hidden="false" customHeight="false" outlineLevel="0" collapsed="false">
      <c r="A370" s="10"/>
      <c r="B370" s="10"/>
      <c r="C370" s="10"/>
      <c r="D370" s="10"/>
      <c r="E370" s="10"/>
      <c r="F370" s="10"/>
      <c r="G370" s="10"/>
      <c r="H370" s="11"/>
      <c r="I370" s="10" t="s">
        <v>50</v>
      </c>
      <c r="J370" s="12"/>
    </row>
    <row r="371" customFormat="false" ht="15" hidden="false" customHeight="false" outlineLevel="0" collapsed="false">
      <c r="A371" s="10"/>
      <c r="B371" s="10"/>
      <c r="C371" s="10"/>
      <c r="D371" s="10"/>
      <c r="E371" s="10"/>
      <c r="F371" s="10"/>
      <c r="G371" s="10"/>
      <c r="H371" s="11"/>
      <c r="I371" s="10" t="s">
        <v>50</v>
      </c>
      <c r="J371" s="12"/>
    </row>
    <row r="372" customFormat="false" ht="15" hidden="false" customHeight="false" outlineLevel="0" collapsed="false">
      <c r="A372" s="10"/>
      <c r="B372" s="10"/>
      <c r="C372" s="10"/>
      <c r="D372" s="10"/>
      <c r="E372" s="10"/>
      <c r="F372" s="10"/>
      <c r="G372" s="10"/>
      <c r="H372" s="11"/>
      <c r="I372" s="10" t="s">
        <v>50</v>
      </c>
      <c r="J372" s="12"/>
    </row>
    <row r="373" customFormat="false" ht="15" hidden="false" customHeight="false" outlineLevel="0" collapsed="false">
      <c r="A373" s="10"/>
      <c r="B373" s="10"/>
      <c r="C373" s="10"/>
      <c r="D373" s="10"/>
      <c r="E373" s="10"/>
      <c r="F373" s="10"/>
      <c r="G373" s="10"/>
      <c r="H373" s="11"/>
      <c r="I373" s="10" t="s">
        <v>50</v>
      </c>
      <c r="J373" s="12"/>
    </row>
    <row r="374" customFormat="false" ht="15" hidden="false" customHeight="false" outlineLevel="0" collapsed="false">
      <c r="A374" s="10"/>
      <c r="B374" s="10"/>
      <c r="C374" s="10"/>
      <c r="D374" s="10"/>
      <c r="E374" s="10"/>
      <c r="F374" s="10"/>
      <c r="G374" s="10"/>
      <c r="H374" s="11"/>
      <c r="I374" s="10" t="s">
        <v>50</v>
      </c>
      <c r="J374" s="12"/>
    </row>
    <row r="375" customFormat="false" ht="15" hidden="false" customHeight="false" outlineLevel="0" collapsed="false">
      <c r="A375" s="10"/>
      <c r="B375" s="10"/>
      <c r="C375" s="10"/>
      <c r="D375" s="10"/>
      <c r="E375" s="10"/>
      <c r="F375" s="10"/>
      <c r="G375" s="10"/>
      <c r="H375" s="11"/>
      <c r="I375" s="10" t="s">
        <v>50</v>
      </c>
      <c r="J375" s="12"/>
    </row>
    <row r="376" customFormat="false" ht="15" hidden="false" customHeight="false" outlineLevel="0" collapsed="false">
      <c r="A376" s="10"/>
      <c r="B376" s="10"/>
      <c r="C376" s="10"/>
      <c r="D376" s="10"/>
      <c r="E376" s="10"/>
      <c r="F376" s="10"/>
      <c r="G376" s="10"/>
      <c r="H376" s="11"/>
      <c r="I376" s="10" t="s">
        <v>50</v>
      </c>
      <c r="J376" s="12"/>
    </row>
    <row r="377" customFormat="false" ht="15" hidden="false" customHeight="false" outlineLevel="0" collapsed="false">
      <c r="A377" s="10"/>
      <c r="B377" s="10"/>
      <c r="C377" s="10"/>
      <c r="D377" s="10"/>
      <c r="E377" s="10"/>
      <c r="F377" s="10"/>
      <c r="G377" s="10"/>
      <c r="H377" s="11"/>
      <c r="I377" s="10" t="s">
        <v>50</v>
      </c>
      <c r="J377" s="12"/>
    </row>
    <row r="378" customFormat="false" ht="15" hidden="false" customHeight="false" outlineLevel="0" collapsed="false">
      <c r="A378" s="10"/>
      <c r="B378" s="10"/>
      <c r="C378" s="10"/>
      <c r="D378" s="10"/>
      <c r="E378" s="10"/>
      <c r="F378" s="10"/>
      <c r="G378" s="10"/>
      <c r="H378" s="11"/>
      <c r="I378" s="10" t="s">
        <v>50</v>
      </c>
      <c r="J378" s="12"/>
    </row>
    <row r="379" customFormat="false" ht="15" hidden="false" customHeight="false" outlineLevel="0" collapsed="false">
      <c r="A379" s="10"/>
      <c r="B379" s="10"/>
      <c r="C379" s="10"/>
      <c r="D379" s="10"/>
      <c r="E379" s="10"/>
      <c r="F379" s="10"/>
      <c r="G379" s="10"/>
      <c r="H379" s="11"/>
      <c r="I379" s="10" t="s">
        <v>50</v>
      </c>
      <c r="J379" s="12"/>
    </row>
    <row r="380" customFormat="false" ht="15" hidden="false" customHeight="false" outlineLevel="0" collapsed="false">
      <c r="A380" s="10"/>
      <c r="B380" s="10"/>
      <c r="C380" s="10"/>
      <c r="D380" s="10"/>
      <c r="E380" s="10"/>
      <c r="F380" s="10"/>
      <c r="G380" s="10"/>
      <c r="H380" s="11"/>
      <c r="I380" s="10" t="s">
        <v>50</v>
      </c>
      <c r="J380" s="12"/>
    </row>
    <row r="381" customFormat="false" ht="15" hidden="false" customHeight="false" outlineLevel="0" collapsed="false">
      <c r="A381" s="10"/>
      <c r="B381" s="10"/>
      <c r="C381" s="10"/>
      <c r="D381" s="10"/>
      <c r="E381" s="10"/>
      <c r="F381" s="10"/>
      <c r="G381" s="10"/>
      <c r="H381" s="11"/>
      <c r="I381" s="10" t="s">
        <v>50</v>
      </c>
      <c r="J381" s="12"/>
    </row>
    <row r="382" customFormat="false" ht="15" hidden="false" customHeight="false" outlineLevel="0" collapsed="false">
      <c r="A382" s="10"/>
      <c r="B382" s="10"/>
      <c r="C382" s="10"/>
      <c r="D382" s="10"/>
      <c r="E382" s="10"/>
      <c r="F382" s="10"/>
      <c r="G382" s="10"/>
      <c r="H382" s="11"/>
      <c r="I382" s="10" t="s">
        <v>50</v>
      </c>
      <c r="J382" s="12"/>
    </row>
    <row r="383" customFormat="false" ht="15" hidden="false" customHeight="false" outlineLevel="0" collapsed="false">
      <c r="A383" s="10"/>
      <c r="B383" s="10"/>
      <c r="C383" s="10"/>
      <c r="D383" s="10"/>
      <c r="E383" s="10"/>
      <c r="F383" s="10"/>
      <c r="G383" s="10"/>
      <c r="H383" s="11"/>
      <c r="I383" s="10" t="s">
        <v>50</v>
      </c>
      <c r="J383" s="12"/>
    </row>
    <row r="384" customFormat="false" ht="15" hidden="false" customHeight="false" outlineLevel="0" collapsed="false">
      <c r="A384" s="10"/>
      <c r="B384" s="10"/>
      <c r="C384" s="10"/>
      <c r="D384" s="10"/>
      <c r="E384" s="10"/>
      <c r="F384" s="10"/>
      <c r="G384" s="10"/>
      <c r="H384" s="11"/>
      <c r="I384" s="10" t="s">
        <v>50</v>
      </c>
      <c r="J384" s="12"/>
    </row>
    <row r="385" customFormat="false" ht="15" hidden="false" customHeight="false" outlineLevel="0" collapsed="false">
      <c r="A385" s="10"/>
      <c r="B385" s="10"/>
      <c r="C385" s="10"/>
      <c r="D385" s="10"/>
      <c r="E385" s="10"/>
      <c r="F385" s="10"/>
      <c r="G385" s="10"/>
      <c r="H385" s="11"/>
      <c r="I385" s="10" t="s">
        <v>50</v>
      </c>
      <c r="J385" s="12"/>
    </row>
    <row r="386" customFormat="false" ht="15" hidden="false" customHeight="false" outlineLevel="0" collapsed="false">
      <c r="A386" s="10"/>
      <c r="B386" s="10"/>
      <c r="C386" s="10"/>
      <c r="D386" s="10"/>
      <c r="E386" s="10"/>
      <c r="F386" s="10"/>
      <c r="G386" s="10"/>
      <c r="H386" s="11"/>
      <c r="I386" s="10" t="s">
        <v>50</v>
      </c>
      <c r="J386" s="12"/>
    </row>
    <row r="387" customFormat="false" ht="15" hidden="false" customHeight="false" outlineLevel="0" collapsed="false">
      <c r="A387" s="10"/>
      <c r="B387" s="10"/>
      <c r="C387" s="10"/>
      <c r="D387" s="10"/>
      <c r="E387" s="10"/>
      <c r="F387" s="10"/>
      <c r="G387" s="10"/>
      <c r="H387" s="11"/>
      <c r="I387" s="10" t="s">
        <v>50</v>
      </c>
      <c r="J387" s="12"/>
    </row>
    <row r="388" customFormat="false" ht="15" hidden="false" customHeight="false" outlineLevel="0" collapsed="false">
      <c r="A388" s="10"/>
      <c r="B388" s="10"/>
      <c r="C388" s="10"/>
      <c r="D388" s="10"/>
      <c r="E388" s="10"/>
      <c r="F388" s="10"/>
      <c r="G388" s="10"/>
      <c r="H388" s="11"/>
      <c r="I388" s="10" t="s">
        <v>50</v>
      </c>
      <c r="J388" s="12"/>
    </row>
    <row r="389" customFormat="false" ht="15" hidden="false" customHeight="false" outlineLevel="0" collapsed="false">
      <c r="A389" s="10"/>
      <c r="B389" s="10"/>
      <c r="C389" s="10"/>
      <c r="D389" s="10"/>
      <c r="E389" s="10"/>
      <c r="F389" s="10"/>
      <c r="G389" s="10"/>
      <c r="H389" s="11"/>
      <c r="I389" s="10" t="s">
        <v>50</v>
      </c>
      <c r="J389" s="12"/>
    </row>
    <row r="390" customFormat="false" ht="15" hidden="false" customHeight="false" outlineLevel="0" collapsed="false">
      <c r="A390" s="10"/>
      <c r="B390" s="10"/>
      <c r="C390" s="10"/>
      <c r="D390" s="10"/>
      <c r="E390" s="10"/>
      <c r="F390" s="10"/>
      <c r="G390" s="10"/>
      <c r="H390" s="11"/>
      <c r="I390" s="10" t="s">
        <v>50</v>
      </c>
      <c r="J390" s="12"/>
    </row>
    <row r="391" customFormat="false" ht="15" hidden="false" customHeight="false" outlineLevel="0" collapsed="false">
      <c r="A391" s="10"/>
      <c r="B391" s="10"/>
      <c r="C391" s="10"/>
      <c r="D391" s="10"/>
      <c r="E391" s="10"/>
      <c r="F391" s="10"/>
      <c r="G391" s="10"/>
      <c r="H391" s="11"/>
      <c r="I391" s="10" t="s">
        <v>50</v>
      </c>
      <c r="J391" s="12"/>
    </row>
    <row r="392" customFormat="false" ht="15" hidden="false" customHeight="false" outlineLevel="0" collapsed="false">
      <c r="A392" s="10"/>
      <c r="B392" s="10"/>
      <c r="C392" s="10"/>
      <c r="D392" s="10"/>
      <c r="E392" s="10"/>
      <c r="F392" s="10"/>
      <c r="G392" s="10"/>
      <c r="H392" s="11"/>
      <c r="I392" s="10" t="s">
        <v>50</v>
      </c>
      <c r="J392" s="12"/>
    </row>
    <row r="393" customFormat="false" ht="15" hidden="false" customHeight="false" outlineLevel="0" collapsed="false">
      <c r="A393" s="10"/>
      <c r="B393" s="10"/>
      <c r="C393" s="10"/>
      <c r="D393" s="10"/>
      <c r="E393" s="10"/>
      <c r="F393" s="10"/>
      <c r="G393" s="10"/>
      <c r="H393" s="11"/>
      <c r="I393" s="10" t="s">
        <v>50</v>
      </c>
      <c r="J393" s="12"/>
    </row>
    <row r="394" customFormat="false" ht="15" hidden="false" customHeight="false" outlineLevel="0" collapsed="false">
      <c r="A394" s="10"/>
      <c r="B394" s="10"/>
      <c r="C394" s="10"/>
      <c r="D394" s="10"/>
      <c r="E394" s="10"/>
      <c r="F394" s="10"/>
      <c r="G394" s="10"/>
      <c r="H394" s="11"/>
      <c r="I394" s="10" t="s">
        <v>50</v>
      </c>
      <c r="J394" s="12"/>
    </row>
    <row r="395" customFormat="false" ht="15" hidden="false" customHeight="false" outlineLevel="0" collapsed="false">
      <c r="A395" s="10"/>
      <c r="B395" s="10"/>
      <c r="C395" s="10"/>
      <c r="D395" s="10"/>
      <c r="E395" s="10"/>
      <c r="F395" s="10"/>
      <c r="G395" s="10"/>
      <c r="H395" s="11"/>
      <c r="I395" s="10" t="s">
        <v>50</v>
      </c>
      <c r="J395" s="12"/>
    </row>
    <row r="396" customFormat="false" ht="15" hidden="false" customHeight="false" outlineLevel="0" collapsed="false">
      <c r="A396" s="10"/>
      <c r="B396" s="10"/>
      <c r="C396" s="10"/>
      <c r="D396" s="10"/>
      <c r="E396" s="10"/>
      <c r="F396" s="10"/>
      <c r="G396" s="10"/>
      <c r="H396" s="11"/>
      <c r="I396" s="10" t="s">
        <v>50</v>
      </c>
      <c r="J396" s="12"/>
    </row>
    <row r="397" customFormat="false" ht="15" hidden="false" customHeight="false" outlineLevel="0" collapsed="false">
      <c r="A397" s="10"/>
      <c r="B397" s="10"/>
      <c r="C397" s="10"/>
      <c r="D397" s="10"/>
      <c r="E397" s="10"/>
      <c r="F397" s="10"/>
      <c r="G397" s="10"/>
      <c r="H397" s="11"/>
      <c r="I397" s="10" t="s">
        <v>50</v>
      </c>
      <c r="J397" s="12"/>
    </row>
    <row r="398" customFormat="false" ht="15" hidden="false" customHeight="false" outlineLevel="0" collapsed="false">
      <c r="A398" s="10"/>
      <c r="B398" s="10"/>
      <c r="C398" s="10"/>
      <c r="D398" s="10"/>
      <c r="E398" s="10"/>
      <c r="F398" s="10"/>
      <c r="G398" s="10"/>
      <c r="H398" s="11"/>
      <c r="I398" s="10" t="s">
        <v>50</v>
      </c>
      <c r="J398" s="12"/>
    </row>
    <row r="399" customFormat="false" ht="15" hidden="false" customHeight="false" outlineLevel="0" collapsed="false">
      <c r="A399" s="10"/>
      <c r="B399" s="10"/>
      <c r="C399" s="10"/>
      <c r="D399" s="10"/>
      <c r="E399" s="10"/>
      <c r="F399" s="10"/>
      <c r="G399" s="10"/>
      <c r="H399" s="11"/>
      <c r="I399" s="10" t="s">
        <v>50</v>
      </c>
      <c r="J399" s="12"/>
    </row>
    <row r="400" customFormat="false" ht="15" hidden="false" customHeight="false" outlineLevel="0" collapsed="false">
      <c r="A400" s="10"/>
      <c r="B400" s="10"/>
      <c r="C400" s="10"/>
      <c r="D400" s="10"/>
      <c r="E400" s="10"/>
      <c r="F400" s="10"/>
      <c r="G400" s="10"/>
      <c r="H400" s="11"/>
      <c r="I400" s="10" t="s">
        <v>50</v>
      </c>
      <c r="J400" s="12"/>
    </row>
    <row r="401" customFormat="false" ht="15" hidden="false" customHeight="false" outlineLevel="0" collapsed="false">
      <c r="A401" s="10"/>
      <c r="B401" s="10"/>
      <c r="C401" s="10"/>
      <c r="D401" s="10"/>
      <c r="E401" s="10"/>
      <c r="F401" s="10"/>
      <c r="G401" s="10"/>
      <c r="H401" s="11"/>
      <c r="I401" s="10" t="s">
        <v>50</v>
      </c>
      <c r="J401" s="12"/>
    </row>
    <row r="402" customFormat="false" ht="15" hidden="false" customHeight="false" outlineLevel="0" collapsed="false">
      <c r="A402" s="10"/>
      <c r="B402" s="10"/>
      <c r="C402" s="10"/>
      <c r="D402" s="10"/>
      <c r="E402" s="10"/>
      <c r="F402" s="10"/>
      <c r="G402" s="10"/>
      <c r="H402" s="11"/>
      <c r="I402" s="10" t="s">
        <v>50</v>
      </c>
      <c r="J402" s="12"/>
    </row>
    <row r="403" customFormat="false" ht="15" hidden="false" customHeight="false" outlineLevel="0" collapsed="false">
      <c r="A403" s="10"/>
      <c r="B403" s="10"/>
      <c r="C403" s="10"/>
      <c r="D403" s="10"/>
      <c r="E403" s="10"/>
      <c r="F403" s="10"/>
      <c r="G403" s="10"/>
      <c r="H403" s="11"/>
      <c r="I403" s="10" t="s">
        <v>50</v>
      </c>
      <c r="J403" s="12"/>
    </row>
    <row r="404" customFormat="false" ht="15" hidden="false" customHeight="false" outlineLevel="0" collapsed="false">
      <c r="A404" s="10"/>
      <c r="B404" s="10"/>
      <c r="C404" s="10"/>
      <c r="D404" s="10"/>
      <c r="E404" s="10"/>
      <c r="F404" s="10"/>
      <c r="G404" s="10"/>
      <c r="H404" s="11"/>
      <c r="I404" s="10" t="s">
        <v>50</v>
      </c>
      <c r="J404" s="12"/>
    </row>
    <row r="405" customFormat="false" ht="15" hidden="false" customHeight="false" outlineLevel="0" collapsed="false">
      <c r="A405" s="10"/>
      <c r="B405" s="10"/>
      <c r="C405" s="10"/>
      <c r="D405" s="10"/>
      <c r="E405" s="10"/>
      <c r="F405" s="10"/>
      <c r="G405" s="10"/>
      <c r="H405" s="11"/>
      <c r="I405" s="10" t="s">
        <v>50</v>
      </c>
      <c r="J405" s="12"/>
    </row>
    <row r="406" customFormat="false" ht="15" hidden="false" customHeight="false" outlineLevel="0" collapsed="false">
      <c r="A406" s="10"/>
      <c r="B406" s="10"/>
      <c r="C406" s="10"/>
      <c r="D406" s="10"/>
      <c r="E406" s="10"/>
      <c r="F406" s="10"/>
      <c r="G406" s="10"/>
      <c r="H406" s="11"/>
      <c r="I406" s="10" t="s">
        <v>50</v>
      </c>
      <c r="J406" s="12"/>
    </row>
    <row r="407" customFormat="false" ht="15" hidden="false" customHeight="false" outlineLevel="0" collapsed="false">
      <c r="A407" s="10"/>
      <c r="B407" s="10"/>
      <c r="C407" s="10"/>
      <c r="D407" s="10"/>
      <c r="E407" s="10"/>
      <c r="F407" s="10"/>
      <c r="G407" s="10"/>
      <c r="H407" s="11"/>
      <c r="I407" s="10" t="s">
        <v>50</v>
      </c>
      <c r="J407" s="12"/>
    </row>
    <row r="408" customFormat="false" ht="15" hidden="false" customHeight="false" outlineLevel="0" collapsed="false">
      <c r="A408" s="10"/>
      <c r="B408" s="10"/>
      <c r="C408" s="10"/>
      <c r="D408" s="10"/>
      <c r="E408" s="10"/>
      <c r="F408" s="10"/>
      <c r="G408" s="10"/>
      <c r="H408" s="11"/>
      <c r="I408" s="10" t="s">
        <v>50</v>
      </c>
      <c r="J408" s="12"/>
    </row>
    <row r="409" customFormat="false" ht="15" hidden="false" customHeight="false" outlineLevel="0" collapsed="false">
      <c r="A409" s="10"/>
      <c r="B409" s="10"/>
      <c r="C409" s="10"/>
      <c r="D409" s="10"/>
      <c r="E409" s="10"/>
      <c r="F409" s="10"/>
      <c r="G409" s="10"/>
      <c r="H409" s="11"/>
      <c r="I409" s="10" t="s">
        <v>50</v>
      </c>
      <c r="J409" s="12"/>
    </row>
    <row r="410" customFormat="false" ht="15" hidden="false" customHeight="false" outlineLevel="0" collapsed="false">
      <c r="A410" s="10"/>
      <c r="B410" s="10"/>
      <c r="C410" s="10"/>
      <c r="D410" s="10"/>
      <c r="E410" s="10"/>
      <c r="F410" s="10"/>
      <c r="G410" s="10"/>
      <c r="H410" s="11"/>
      <c r="I410" s="10" t="s">
        <v>50</v>
      </c>
      <c r="J410" s="12"/>
    </row>
    <row r="411" customFormat="false" ht="15" hidden="false" customHeight="false" outlineLevel="0" collapsed="false">
      <c r="A411" s="10"/>
      <c r="B411" s="10"/>
      <c r="C411" s="10"/>
      <c r="D411" s="10"/>
      <c r="E411" s="10"/>
      <c r="F411" s="10"/>
      <c r="G411" s="10"/>
      <c r="H411" s="11"/>
      <c r="I411" s="10" t="s">
        <v>50</v>
      </c>
      <c r="J411" s="12"/>
    </row>
    <row r="412" customFormat="false" ht="15" hidden="false" customHeight="false" outlineLevel="0" collapsed="false">
      <c r="A412" s="10"/>
      <c r="B412" s="10"/>
      <c r="C412" s="10"/>
      <c r="D412" s="10"/>
      <c r="E412" s="10"/>
      <c r="F412" s="10"/>
      <c r="G412" s="10"/>
      <c r="H412" s="11"/>
      <c r="I412" s="10" t="s">
        <v>50</v>
      </c>
      <c r="J412" s="12"/>
    </row>
    <row r="413" customFormat="false" ht="15" hidden="false" customHeight="false" outlineLevel="0" collapsed="false">
      <c r="A413" s="10"/>
      <c r="B413" s="10"/>
      <c r="C413" s="10"/>
      <c r="D413" s="10"/>
      <c r="E413" s="10"/>
      <c r="F413" s="10"/>
      <c r="G413" s="10"/>
      <c r="H413" s="11"/>
      <c r="I413" s="10" t="s">
        <v>50</v>
      </c>
      <c r="J413" s="12"/>
    </row>
    <row r="414" customFormat="false" ht="15" hidden="false" customHeight="false" outlineLevel="0" collapsed="false">
      <c r="A414" s="10"/>
      <c r="B414" s="10"/>
      <c r="C414" s="10"/>
      <c r="D414" s="10"/>
      <c r="E414" s="10"/>
      <c r="F414" s="10"/>
      <c r="G414" s="10"/>
      <c r="H414" s="11"/>
      <c r="I414" s="10" t="s">
        <v>50</v>
      </c>
      <c r="J414" s="12"/>
    </row>
    <row r="415" customFormat="false" ht="15" hidden="false" customHeight="false" outlineLevel="0" collapsed="false">
      <c r="A415" s="10"/>
      <c r="B415" s="10"/>
      <c r="C415" s="10"/>
      <c r="D415" s="10"/>
      <c r="E415" s="10"/>
      <c r="F415" s="10"/>
      <c r="G415" s="10"/>
      <c r="H415" s="11"/>
      <c r="I415" s="10" t="s">
        <v>50</v>
      </c>
      <c r="J415" s="12"/>
    </row>
    <row r="416" customFormat="false" ht="15" hidden="false" customHeight="false" outlineLevel="0" collapsed="false">
      <c r="A416" s="10"/>
      <c r="B416" s="10"/>
      <c r="C416" s="10"/>
      <c r="D416" s="10"/>
      <c r="E416" s="10"/>
      <c r="F416" s="10"/>
      <c r="G416" s="10"/>
      <c r="H416" s="11"/>
      <c r="I416" s="10" t="s">
        <v>50</v>
      </c>
      <c r="J416" s="12"/>
    </row>
    <row r="417" customFormat="false" ht="15" hidden="false" customHeight="false" outlineLevel="0" collapsed="false">
      <c r="A417" s="10"/>
      <c r="B417" s="10"/>
      <c r="C417" s="10"/>
      <c r="D417" s="10"/>
      <c r="E417" s="10"/>
      <c r="F417" s="10"/>
      <c r="G417" s="10"/>
      <c r="H417" s="11"/>
      <c r="I417" s="10" t="s">
        <v>50</v>
      </c>
      <c r="J417" s="12"/>
    </row>
    <row r="418" customFormat="false" ht="15" hidden="false" customHeight="false" outlineLevel="0" collapsed="false">
      <c r="A418" s="10"/>
      <c r="B418" s="10"/>
      <c r="C418" s="10"/>
      <c r="D418" s="10"/>
      <c r="E418" s="10"/>
      <c r="F418" s="10"/>
      <c r="G418" s="10"/>
      <c r="H418" s="11"/>
      <c r="I418" s="10" t="s">
        <v>50</v>
      </c>
      <c r="J418" s="12"/>
    </row>
    <row r="419" customFormat="false" ht="15" hidden="false" customHeight="false" outlineLevel="0" collapsed="false">
      <c r="A419" s="10"/>
      <c r="B419" s="10"/>
      <c r="C419" s="10"/>
      <c r="D419" s="10"/>
      <c r="E419" s="10"/>
      <c r="F419" s="10"/>
      <c r="G419" s="10"/>
      <c r="H419" s="11"/>
      <c r="I419" s="10" t="s">
        <v>50</v>
      </c>
      <c r="J419" s="12"/>
    </row>
    <row r="420" customFormat="false" ht="15" hidden="false" customHeight="false" outlineLevel="0" collapsed="false">
      <c r="A420" s="10"/>
      <c r="B420" s="10"/>
      <c r="C420" s="10"/>
      <c r="D420" s="10"/>
      <c r="E420" s="10"/>
      <c r="F420" s="10"/>
      <c r="G420" s="10"/>
      <c r="H420" s="11"/>
      <c r="I420" s="10" t="s">
        <v>50</v>
      </c>
      <c r="J420" s="12"/>
    </row>
    <row r="421" customFormat="false" ht="15" hidden="false" customHeight="false" outlineLevel="0" collapsed="false">
      <c r="A421" s="10"/>
      <c r="B421" s="10"/>
      <c r="C421" s="10"/>
      <c r="D421" s="10"/>
      <c r="E421" s="10"/>
      <c r="F421" s="10"/>
      <c r="G421" s="10"/>
      <c r="H421" s="11"/>
      <c r="I421" s="10" t="s">
        <v>50</v>
      </c>
      <c r="J421" s="12"/>
    </row>
    <row r="422" customFormat="false" ht="15" hidden="false" customHeight="false" outlineLevel="0" collapsed="false">
      <c r="A422" s="10"/>
      <c r="B422" s="10"/>
      <c r="C422" s="10"/>
      <c r="D422" s="10"/>
      <c r="E422" s="10"/>
      <c r="F422" s="10"/>
      <c r="G422" s="10"/>
      <c r="H422" s="11"/>
      <c r="I422" s="10" t="s">
        <v>50</v>
      </c>
      <c r="J422" s="12"/>
    </row>
    <row r="423" customFormat="false" ht="15" hidden="false" customHeight="false" outlineLevel="0" collapsed="false">
      <c r="A423" s="10"/>
      <c r="B423" s="10"/>
      <c r="C423" s="10"/>
      <c r="D423" s="10"/>
      <c r="E423" s="10"/>
      <c r="F423" s="10"/>
      <c r="G423" s="10"/>
      <c r="H423" s="11"/>
      <c r="I423" s="10" t="s">
        <v>50</v>
      </c>
      <c r="J423" s="12"/>
    </row>
    <row r="424" customFormat="false" ht="15" hidden="false" customHeight="false" outlineLevel="0" collapsed="false">
      <c r="A424" s="10"/>
      <c r="B424" s="10"/>
      <c r="C424" s="10"/>
      <c r="D424" s="10"/>
      <c r="E424" s="10"/>
      <c r="F424" s="10"/>
      <c r="G424" s="10"/>
      <c r="H424" s="11"/>
      <c r="I424" s="10" t="s">
        <v>50</v>
      </c>
      <c r="J424" s="12"/>
    </row>
    <row r="425" customFormat="false" ht="15" hidden="false" customHeight="false" outlineLevel="0" collapsed="false">
      <c r="A425" s="10"/>
      <c r="B425" s="10"/>
      <c r="C425" s="10"/>
      <c r="D425" s="10"/>
      <c r="E425" s="10"/>
      <c r="F425" s="10"/>
      <c r="G425" s="10"/>
      <c r="H425" s="11"/>
      <c r="I425" s="10" t="s">
        <v>50</v>
      </c>
      <c r="J425" s="12"/>
    </row>
    <row r="426" customFormat="false" ht="15" hidden="false" customHeight="false" outlineLevel="0" collapsed="false">
      <c r="A426" s="10"/>
      <c r="B426" s="10"/>
      <c r="C426" s="10"/>
      <c r="D426" s="10"/>
      <c r="E426" s="10"/>
      <c r="F426" s="10"/>
      <c r="G426" s="10"/>
      <c r="H426" s="11"/>
      <c r="I426" s="10" t="s">
        <v>50</v>
      </c>
      <c r="J426" s="12"/>
    </row>
    <row r="427" customFormat="false" ht="15" hidden="false" customHeight="false" outlineLevel="0" collapsed="false">
      <c r="A427" s="10"/>
      <c r="B427" s="10"/>
      <c r="C427" s="10"/>
      <c r="D427" s="10"/>
      <c r="E427" s="10"/>
      <c r="F427" s="10"/>
      <c r="G427" s="10"/>
      <c r="H427" s="11"/>
      <c r="I427" s="10" t="s">
        <v>50</v>
      </c>
      <c r="J427" s="12"/>
    </row>
    <row r="428" customFormat="false" ht="15" hidden="false" customHeight="false" outlineLevel="0" collapsed="false">
      <c r="A428" s="10"/>
      <c r="B428" s="10"/>
      <c r="C428" s="10"/>
      <c r="D428" s="10"/>
      <c r="E428" s="10"/>
      <c r="F428" s="10"/>
      <c r="G428" s="10"/>
      <c r="H428" s="11"/>
      <c r="I428" s="10" t="s">
        <v>50</v>
      </c>
      <c r="J428" s="12"/>
    </row>
    <row r="429" customFormat="false" ht="15" hidden="false" customHeight="false" outlineLevel="0" collapsed="false">
      <c r="A429" s="10"/>
      <c r="B429" s="10"/>
      <c r="C429" s="10"/>
      <c r="D429" s="10"/>
      <c r="E429" s="10"/>
      <c r="F429" s="10"/>
      <c r="G429" s="10"/>
      <c r="H429" s="11"/>
      <c r="I429" s="10" t="s">
        <v>50</v>
      </c>
      <c r="J429" s="12"/>
    </row>
    <row r="430" customFormat="false" ht="15" hidden="false" customHeight="false" outlineLevel="0" collapsed="false">
      <c r="A430" s="10"/>
      <c r="B430" s="10"/>
      <c r="C430" s="10"/>
      <c r="D430" s="10"/>
      <c r="E430" s="10"/>
      <c r="F430" s="10"/>
      <c r="G430" s="10"/>
      <c r="H430" s="11"/>
      <c r="I430" s="10" t="s">
        <v>50</v>
      </c>
      <c r="J430" s="12"/>
    </row>
    <row r="431" customFormat="false" ht="15" hidden="false" customHeight="false" outlineLevel="0" collapsed="false">
      <c r="A431" s="10"/>
      <c r="B431" s="10"/>
      <c r="C431" s="10"/>
      <c r="D431" s="10"/>
      <c r="E431" s="10"/>
      <c r="F431" s="10"/>
      <c r="G431" s="10"/>
      <c r="H431" s="11"/>
      <c r="I431" s="10" t="s">
        <v>50</v>
      </c>
      <c r="J431" s="12"/>
    </row>
    <row r="432" customFormat="false" ht="15" hidden="false" customHeight="false" outlineLevel="0" collapsed="false">
      <c r="A432" s="10"/>
      <c r="B432" s="10"/>
      <c r="C432" s="10"/>
      <c r="D432" s="10"/>
      <c r="E432" s="10"/>
      <c r="F432" s="10"/>
      <c r="G432" s="10"/>
      <c r="H432" s="11"/>
      <c r="I432" s="10" t="s">
        <v>50</v>
      </c>
      <c r="J432" s="12"/>
    </row>
    <row r="433" customFormat="false" ht="15" hidden="false" customHeight="false" outlineLevel="0" collapsed="false">
      <c r="A433" s="10"/>
      <c r="B433" s="10"/>
      <c r="C433" s="10"/>
      <c r="D433" s="10"/>
      <c r="E433" s="10"/>
      <c r="F433" s="10"/>
      <c r="G433" s="10"/>
      <c r="H433" s="11"/>
      <c r="I433" s="10" t="s">
        <v>50</v>
      </c>
      <c r="J433" s="12"/>
    </row>
    <row r="434" customFormat="false" ht="15" hidden="false" customHeight="false" outlineLevel="0" collapsed="false">
      <c r="A434" s="10"/>
      <c r="B434" s="10"/>
      <c r="C434" s="10"/>
      <c r="D434" s="10"/>
      <c r="E434" s="10"/>
      <c r="F434" s="10"/>
      <c r="G434" s="10"/>
      <c r="H434" s="11"/>
      <c r="I434" s="10" t="s">
        <v>50</v>
      </c>
      <c r="J434" s="12"/>
    </row>
    <row r="435" customFormat="false" ht="15" hidden="false" customHeight="false" outlineLevel="0" collapsed="false">
      <c r="A435" s="10"/>
      <c r="B435" s="10"/>
      <c r="C435" s="10"/>
      <c r="D435" s="10"/>
      <c r="E435" s="10"/>
      <c r="F435" s="10"/>
      <c r="G435" s="10"/>
      <c r="H435" s="11"/>
      <c r="I435" s="10" t="s">
        <v>50</v>
      </c>
      <c r="J435" s="12"/>
    </row>
    <row r="436" customFormat="false" ht="15" hidden="false" customHeight="false" outlineLevel="0" collapsed="false">
      <c r="A436" s="10"/>
      <c r="B436" s="10"/>
      <c r="C436" s="10"/>
      <c r="D436" s="10"/>
      <c r="E436" s="10"/>
      <c r="F436" s="10"/>
      <c r="G436" s="10"/>
      <c r="H436" s="11"/>
      <c r="I436" s="10" t="s">
        <v>50</v>
      </c>
      <c r="J436" s="12"/>
    </row>
    <row r="437" customFormat="false" ht="15" hidden="false" customHeight="false" outlineLevel="0" collapsed="false">
      <c r="A437" s="10"/>
      <c r="B437" s="10"/>
      <c r="C437" s="10"/>
      <c r="D437" s="10"/>
      <c r="E437" s="10"/>
      <c r="F437" s="10"/>
      <c r="G437" s="10"/>
      <c r="H437" s="11"/>
      <c r="I437" s="10" t="s">
        <v>50</v>
      </c>
      <c r="J437" s="12"/>
    </row>
    <row r="438" customFormat="false" ht="15" hidden="false" customHeight="false" outlineLevel="0" collapsed="false">
      <c r="A438" s="10"/>
      <c r="B438" s="10"/>
      <c r="C438" s="10"/>
      <c r="D438" s="10"/>
      <c r="E438" s="10"/>
      <c r="F438" s="10"/>
      <c r="G438" s="10"/>
      <c r="H438" s="11"/>
      <c r="I438" s="10" t="s">
        <v>50</v>
      </c>
      <c r="J438" s="12"/>
    </row>
    <row r="439" customFormat="false" ht="15" hidden="false" customHeight="false" outlineLevel="0" collapsed="false">
      <c r="A439" s="10"/>
      <c r="B439" s="10"/>
      <c r="C439" s="10"/>
      <c r="D439" s="10"/>
      <c r="E439" s="10"/>
      <c r="F439" s="10"/>
      <c r="G439" s="10"/>
      <c r="H439" s="11"/>
      <c r="I439" s="10" t="s">
        <v>50</v>
      </c>
      <c r="J439" s="12"/>
    </row>
    <row r="440" customFormat="false" ht="15" hidden="false" customHeight="false" outlineLevel="0" collapsed="false">
      <c r="A440" s="10"/>
      <c r="B440" s="10"/>
      <c r="C440" s="10"/>
      <c r="D440" s="10"/>
      <c r="E440" s="10"/>
      <c r="F440" s="10"/>
      <c r="G440" s="10"/>
      <c r="H440" s="11"/>
      <c r="I440" s="10" t="s">
        <v>50</v>
      </c>
      <c r="J440" s="12"/>
    </row>
    <row r="441" customFormat="false" ht="15" hidden="false" customHeight="false" outlineLevel="0" collapsed="false">
      <c r="A441" s="10"/>
      <c r="B441" s="10"/>
      <c r="C441" s="10"/>
      <c r="D441" s="10"/>
      <c r="E441" s="10"/>
      <c r="F441" s="10"/>
      <c r="G441" s="10"/>
      <c r="H441" s="11"/>
      <c r="I441" s="10" t="s">
        <v>50</v>
      </c>
      <c r="J441" s="12"/>
    </row>
    <row r="442" customFormat="false" ht="15" hidden="false" customHeight="false" outlineLevel="0" collapsed="false">
      <c r="A442" s="10"/>
      <c r="B442" s="10"/>
      <c r="C442" s="10"/>
      <c r="D442" s="10"/>
      <c r="E442" s="10"/>
      <c r="F442" s="10"/>
      <c r="G442" s="10"/>
      <c r="H442" s="11"/>
      <c r="I442" s="10" t="s">
        <v>50</v>
      </c>
      <c r="J442" s="12"/>
    </row>
    <row r="443" customFormat="false" ht="15" hidden="false" customHeight="false" outlineLevel="0" collapsed="false">
      <c r="A443" s="10"/>
      <c r="B443" s="10"/>
      <c r="C443" s="10"/>
      <c r="D443" s="10"/>
      <c r="E443" s="10"/>
      <c r="F443" s="10"/>
      <c r="G443" s="10"/>
      <c r="H443" s="11"/>
      <c r="I443" s="10" t="s">
        <v>50</v>
      </c>
      <c r="J443" s="12"/>
    </row>
    <row r="444" customFormat="false" ht="15" hidden="false" customHeight="false" outlineLevel="0" collapsed="false">
      <c r="A444" s="10"/>
      <c r="B444" s="10"/>
      <c r="C444" s="10"/>
      <c r="D444" s="10"/>
      <c r="E444" s="10"/>
      <c r="F444" s="10"/>
      <c r="G444" s="10"/>
      <c r="H444" s="11"/>
      <c r="I444" s="10" t="s">
        <v>50</v>
      </c>
      <c r="J444" s="12"/>
    </row>
    <row r="445" customFormat="false" ht="15" hidden="false" customHeight="false" outlineLevel="0" collapsed="false">
      <c r="A445" s="10"/>
      <c r="B445" s="10"/>
      <c r="C445" s="10"/>
      <c r="D445" s="10"/>
      <c r="E445" s="10"/>
      <c r="F445" s="10"/>
      <c r="G445" s="10"/>
      <c r="H445" s="11"/>
      <c r="I445" s="10" t="s">
        <v>50</v>
      </c>
      <c r="J445" s="12"/>
    </row>
    <row r="446" customFormat="false" ht="15" hidden="false" customHeight="false" outlineLevel="0" collapsed="false">
      <c r="A446" s="10"/>
      <c r="B446" s="10"/>
      <c r="C446" s="10"/>
      <c r="D446" s="10"/>
      <c r="E446" s="10"/>
      <c r="F446" s="10"/>
      <c r="G446" s="10"/>
      <c r="H446" s="11"/>
      <c r="I446" s="10" t="s">
        <v>50</v>
      </c>
      <c r="J446" s="12"/>
    </row>
    <row r="447" customFormat="false" ht="15" hidden="false" customHeight="false" outlineLevel="0" collapsed="false">
      <c r="A447" s="10"/>
      <c r="B447" s="10"/>
      <c r="C447" s="10"/>
      <c r="D447" s="10"/>
      <c r="E447" s="10"/>
      <c r="F447" s="10"/>
      <c r="G447" s="10"/>
      <c r="H447" s="11"/>
      <c r="I447" s="10" t="s">
        <v>50</v>
      </c>
      <c r="J447" s="12"/>
    </row>
    <row r="448" customFormat="false" ht="15" hidden="false" customHeight="false" outlineLevel="0" collapsed="false">
      <c r="A448" s="10"/>
      <c r="B448" s="10"/>
      <c r="C448" s="10"/>
      <c r="D448" s="10"/>
      <c r="E448" s="10"/>
      <c r="F448" s="10"/>
      <c r="G448" s="10"/>
      <c r="H448" s="11"/>
      <c r="I448" s="10" t="s">
        <v>50</v>
      </c>
      <c r="J448" s="12"/>
    </row>
    <row r="449" customFormat="false" ht="15" hidden="false" customHeight="false" outlineLevel="0" collapsed="false">
      <c r="A449" s="10"/>
      <c r="B449" s="10"/>
      <c r="C449" s="10"/>
      <c r="D449" s="10"/>
      <c r="E449" s="10"/>
      <c r="F449" s="10"/>
      <c r="G449" s="10"/>
      <c r="H449" s="11"/>
      <c r="I449" s="10" t="s">
        <v>50</v>
      </c>
      <c r="J449" s="12"/>
    </row>
    <row r="450" customFormat="false" ht="15" hidden="false" customHeight="false" outlineLevel="0" collapsed="false">
      <c r="A450" s="10"/>
      <c r="B450" s="10"/>
      <c r="C450" s="10"/>
      <c r="D450" s="10"/>
      <c r="E450" s="10"/>
      <c r="F450" s="10"/>
      <c r="G450" s="10"/>
      <c r="H450" s="11"/>
      <c r="I450" s="10" t="s">
        <v>50</v>
      </c>
      <c r="J450" s="12"/>
    </row>
    <row r="451" customFormat="false" ht="15" hidden="false" customHeight="false" outlineLevel="0" collapsed="false">
      <c r="A451" s="10"/>
      <c r="B451" s="10"/>
      <c r="C451" s="10"/>
      <c r="D451" s="10"/>
      <c r="E451" s="10"/>
      <c r="F451" s="10"/>
      <c r="G451" s="10"/>
      <c r="H451" s="11"/>
      <c r="I451" s="10" t="s">
        <v>50</v>
      </c>
      <c r="J451" s="12"/>
    </row>
    <row r="452" customFormat="false" ht="15" hidden="false" customHeight="false" outlineLevel="0" collapsed="false">
      <c r="A452" s="10"/>
      <c r="B452" s="10"/>
      <c r="C452" s="10"/>
      <c r="D452" s="10"/>
      <c r="E452" s="10"/>
      <c r="F452" s="10"/>
      <c r="G452" s="10"/>
      <c r="H452" s="11"/>
      <c r="I452" s="10" t="s">
        <v>50</v>
      </c>
      <c r="J452" s="12"/>
    </row>
    <row r="453" customFormat="false" ht="15" hidden="false" customHeight="false" outlineLevel="0" collapsed="false">
      <c r="A453" s="10"/>
      <c r="B453" s="10"/>
      <c r="C453" s="10"/>
      <c r="D453" s="10"/>
      <c r="E453" s="10"/>
      <c r="F453" s="10"/>
      <c r="G453" s="10"/>
      <c r="H453" s="11"/>
      <c r="I453" s="10" t="s">
        <v>50</v>
      </c>
      <c r="J453" s="12"/>
    </row>
    <row r="454" customFormat="false" ht="15" hidden="false" customHeight="false" outlineLevel="0" collapsed="false">
      <c r="A454" s="10"/>
      <c r="B454" s="10"/>
      <c r="C454" s="10"/>
      <c r="D454" s="10"/>
      <c r="E454" s="10"/>
      <c r="F454" s="10"/>
      <c r="G454" s="10"/>
      <c r="H454" s="11"/>
      <c r="I454" s="10" t="s">
        <v>50</v>
      </c>
      <c r="J454" s="12"/>
    </row>
    <row r="455" customFormat="false" ht="15" hidden="false" customHeight="false" outlineLevel="0" collapsed="false">
      <c r="A455" s="10"/>
      <c r="B455" s="10"/>
      <c r="C455" s="10"/>
      <c r="D455" s="10"/>
      <c r="E455" s="10"/>
      <c r="F455" s="10"/>
      <c r="G455" s="10"/>
      <c r="H455" s="11"/>
      <c r="I455" s="10" t="s">
        <v>50</v>
      </c>
      <c r="J455" s="12"/>
    </row>
    <row r="456" customFormat="false" ht="15" hidden="false" customHeight="false" outlineLevel="0" collapsed="false">
      <c r="A456" s="10"/>
      <c r="B456" s="10"/>
      <c r="C456" s="10"/>
      <c r="D456" s="10"/>
      <c r="E456" s="10"/>
      <c r="F456" s="10"/>
      <c r="G456" s="10"/>
      <c r="H456" s="11"/>
      <c r="I456" s="10" t="s">
        <v>50</v>
      </c>
      <c r="J456" s="12"/>
    </row>
    <row r="457" customFormat="false" ht="15" hidden="false" customHeight="false" outlineLevel="0" collapsed="false">
      <c r="A457" s="10"/>
      <c r="B457" s="10"/>
      <c r="C457" s="10"/>
      <c r="D457" s="10"/>
      <c r="E457" s="10"/>
      <c r="F457" s="10"/>
      <c r="G457" s="10"/>
      <c r="H457" s="11"/>
      <c r="I457" s="10" t="s">
        <v>50</v>
      </c>
      <c r="J457" s="12"/>
    </row>
    <row r="458" customFormat="false" ht="15" hidden="false" customHeight="false" outlineLevel="0" collapsed="false">
      <c r="A458" s="10"/>
      <c r="B458" s="10"/>
      <c r="C458" s="10"/>
      <c r="D458" s="10"/>
      <c r="E458" s="10"/>
      <c r="F458" s="10"/>
      <c r="G458" s="10"/>
      <c r="H458" s="11"/>
      <c r="I458" s="10" t="s">
        <v>50</v>
      </c>
      <c r="J458" s="12"/>
    </row>
    <row r="459" customFormat="false" ht="15" hidden="false" customHeight="false" outlineLevel="0" collapsed="false">
      <c r="A459" s="10"/>
      <c r="B459" s="10"/>
      <c r="C459" s="10"/>
      <c r="D459" s="10"/>
      <c r="E459" s="10"/>
      <c r="F459" s="10"/>
      <c r="G459" s="10"/>
      <c r="H459" s="11"/>
      <c r="I459" s="10" t="s">
        <v>50</v>
      </c>
      <c r="J459" s="12"/>
    </row>
    <row r="460" customFormat="false" ht="15" hidden="false" customHeight="false" outlineLevel="0" collapsed="false">
      <c r="A460" s="10"/>
      <c r="B460" s="10"/>
      <c r="C460" s="10"/>
      <c r="D460" s="10"/>
      <c r="E460" s="10"/>
      <c r="F460" s="10"/>
      <c r="G460" s="10"/>
      <c r="H460" s="11"/>
      <c r="I460" s="10" t="s">
        <v>50</v>
      </c>
      <c r="J460" s="12"/>
    </row>
    <row r="461" customFormat="false" ht="15" hidden="false" customHeight="false" outlineLevel="0" collapsed="false">
      <c r="A461" s="10"/>
      <c r="B461" s="10"/>
      <c r="C461" s="10"/>
      <c r="D461" s="10"/>
      <c r="E461" s="10"/>
      <c r="F461" s="10"/>
      <c r="G461" s="10"/>
      <c r="H461" s="11"/>
      <c r="I461" s="10" t="s">
        <v>50</v>
      </c>
      <c r="J461" s="12"/>
    </row>
    <row r="462" customFormat="false" ht="15" hidden="false" customHeight="false" outlineLevel="0" collapsed="false">
      <c r="A462" s="10"/>
      <c r="B462" s="10"/>
      <c r="C462" s="10"/>
      <c r="D462" s="10"/>
      <c r="E462" s="10"/>
      <c r="F462" s="10"/>
      <c r="G462" s="10"/>
      <c r="H462" s="11"/>
      <c r="I462" s="10" t="s">
        <v>50</v>
      </c>
      <c r="J462" s="12"/>
    </row>
    <row r="463" customFormat="false" ht="15" hidden="false" customHeight="false" outlineLevel="0" collapsed="false">
      <c r="A463" s="10"/>
      <c r="B463" s="10"/>
      <c r="C463" s="10"/>
      <c r="D463" s="10"/>
      <c r="E463" s="10"/>
      <c r="F463" s="10"/>
      <c r="G463" s="10"/>
      <c r="H463" s="11"/>
      <c r="I463" s="10" t="s">
        <v>50</v>
      </c>
      <c r="J463" s="12"/>
    </row>
    <row r="464" customFormat="false" ht="15" hidden="false" customHeight="false" outlineLevel="0" collapsed="false">
      <c r="A464" s="10"/>
      <c r="B464" s="10"/>
      <c r="C464" s="10"/>
      <c r="D464" s="10"/>
      <c r="E464" s="10"/>
      <c r="F464" s="10"/>
      <c r="G464" s="10"/>
      <c r="H464" s="11"/>
      <c r="I464" s="10" t="s">
        <v>50</v>
      </c>
      <c r="J464" s="12"/>
    </row>
    <row r="465" customFormat="false" ht="15" hidden="false" customHeight="false" outlineLevel="0" collapsed="false">
      <c r="A465" s="10"/>
      <c r="B465" s="10"/>
      <c r="C465" s="10"/>
      <c r="D465" s="10"/>
      <c r="E465" s="10"/>
      <c r="F465" s="10"/>
      <c r="G465" s="10"/>
      <c r="H465" s="11"/>
      <c r="I465" s="10" t="s">
        <v>50</v>
      </c>
      <c r="J465" s="12"/>
    </row>
    <row r="466" customFormat="false" ht="15" hidden="false" customHeight="false" outlineLevel="0" collapsed="false">
      <c r="A466" s="10"/>
      <c r="B466" s="10"/>
      <c r="C466" s="10"/>
      <c r="D466" s="10"/>
      <c r="E466" s="10"/>
      <c r="F466" s="10"/>
      <c r="G466" s="10"/>
      <c r="H466" s="11"/>
      <c r="I466" s="10" t="s">
        <v>50</v>
      </c>
      <c r="J466" s="12"/>
    </row>
    <row r="467" customFormat="false" ht="15" hidden="false" customHeight="false" outlineLevel="0" collapsed="false">
      <c r="A467" s="10"/>
      <c r="B467" s="10"/>
      <c r="C467" s="10"/>
      <c r="D467" s="10"/>
      <c r="E467" s="10"/>
      <c r="F467" s="10"/>
      <c r="G467" s="10"/>
      <c r="H467" s="11"/>
      <c r="I467" s="10" t="s">
        <v>50</v>
      </c>
      <c r="J467" s="12"/>
    </row>
    <row r="468" customFormat="false" ht="15" hidden="false" customHeight="false" outlineLevel="0" collapsed="false">
      <c r="A468" s="10"/>
      <c r="B468" s="10"/>
      <c r="C468" s="10"/>
      <c r="D468" s="10"/>
      <c r="E468" s="10"/>
      <c r="F468" s="10"/>
      <c r="G468" s="10"/>
      <c r="H468" s="11"/>
      <c r="I468" s="10" t="s">
        <v>50</v>
      </c>
      <c r="J468" s="12"/>
    </row>
    <row r="469" customFormat="false" ht="15" hidden="false" customHeight="false" outlineLevel="0" collapsed="false">
      <c r="A469" s="10"/>
      <c r="B469" s="10"/>
      <c r="C469" s="10"/>
      <c r="D469" s="10"/>
      <c r="E469" s="10"/>
      <c r="F469" s="10"/>
      <c r="G469" s="10"/>
      <c r="H469" s="11"/>
      <c r="I469" s="10" t="s">
        <v>50</v>
      </c>
      <c r="J469" s="12"/>
    </row>
    <row r="470" customFormat="false" ht="15" hidden="false" customHeight="false" outlineLevel="0" collapsed="false">
      <c r="A470" s="10"/>
      <c r="B470" s="10"/>
      <c r="C470" s="10"/>
      <c r="D470" s="10"/>
      <c r="E470" s="10"/>
      <c r="F470" s="10"/>
      <c r="G470" s="10"/>
      <c r="H470" s="11"/>
      <c r="I470" s="10" t="s">
        <v>50</v>
      </c>
      <c r="J470" s="12"/>
    </row>
    <row r="471" customFormat="false" ht="15" hidden="false" customHeight="false" outlineLevel="0" collapsed="false">
      <c r="A471" s="10"/>
      <c r="B471" s="10"/>
      <c r="C471" s="10"/>
      <c r="D471" s="10"/>
      <c r="E471" s="10"/>
      <c r="F471" s="10"/>
      <c r="G471" s="10"/>
      <c r="H471" s="11"/>
      <c r="I471" s="10" t="s">
        <v>50</v>
      </c>
      <c r="J471" s="12"/>
    </row>
    <row r="472" customFormat="false" ht="15" hidden="false" customHeight="false" outlineLevel="0" collapsed="false">
      <c r="A472" s="10"/>
      <c r="B472" s="10"/>
      <c r="C472" s="10"/>
      <c r="D472" s="10"/>
      <c r="E472" s="10"/>
      <c r="F472" s="10"/>
      <c r="G472" s="10"/>
      <c r="H472" s="11"/>
      <c r="I472" s="10" t="s">
        <v>50</v>
      </c>
      <c r="J472" s="12"/>
    </row>
    <row r="473" customFormat="false" ht="15" hidden="false" customHeight="false" outlineLevel="0" collapsed="false">
      <c r="A473" s="10"/>
      <c r="B473" s="10"/>
      <c r="C473" s="10"/>
      <c r="D473" s="10"/>
      <c r="E473" s="10"/>
      <c r="F473" s="10"/>
      <c r="G473" s="10"/>
      <c r="H473" s="11"/>
      <c r="I473" s="10" t="s">
        <v>50</v>
      </c>
      <c r="J473" s="12"/>
    </row>
    <row r="474" customFormat="false" ht="15" hidden="false" customHeight="false" outlineLevel="0" collapsed="false">
      <c r="A474" s="10"/>
      <c r="B474" s="10"/>
      <c r="C474" s="10"/>
      <c r="D474" s="10"/>
      <c r="E474" s="10"/>
      <c r="F474" s="10"/>
      <c r="G474" s="10"/>
      <c r="H474" s="11"/>
      <c r="I474" s="10" t="s">
        <v>50</v>
      </c>
      <c r="J474" s="12"/>
    </row>
    <row r="475" customFormat="false" ht="15" hidden="false" customHeight="false" outlineLevel="0" collapsed="false">
      <c r="A475" s="10"/>
      <c r="B475" s="10"/>
      <c r="C475" s="10"/>
      <c r="D475" s="10"/>
      <c r="E475" s="10"/>
      <c r="F475" s="10"/>
      <c r="G475" s="10"/>
      <c r="H475" s="11"/>
      <c r="I475" s="10" t="s">
        <v>50</v>
      </c>
      <c r="J475" s="12"/>
    </row>
    <row r="476" customFormat="false" ht="15" hidden="false" customHeight="false" outlineLevel="0" collapsed="false">
      <c r="A476" s="10"/>
      <c r="B476" s="10"/>
      <c r="C476" s="10"/>
      <c r="D476" s="10"/>
      <c r="E476" s="10"/>
      <c r="F476" s="10"/>
      <c r="G476" s="10"/>
      <c r="H476" s="11"/>
      <c r="I476" s="10" t="s">
        <v>50</v>
      </c>
      <c r="J476" s="12"/>
    </row>
    <row r="477" customFormat="false" ht="15" hidden="false" customHeight="false" outlineLevel="0" collapsed="false">
      <c r="A477" s="10"/>
      <c r="B477" s="10"/>
      <c r="C477" s="10"/>
      <c r="D477" s="10"/>
      <c r="E477" s="10"/>
      <c r="F477" s="10"/>
      <c r="G477" s="10"/>
      <c r="H477" s="11"/>
      <c r="I477" s="10" t="s">
        <v>50</v>
      </c>
      <c r="J477" s="12"/>
    </row>
    <row r="478" customFormat="false" ht="15" hidden="false" customHeight="false" outlineLevel="0" collapsed="false">
      <c r="A478" s="10"/>
      <c r="B478" s="10"/>
      <c r="C478" s="10"/>
      <c r="D478" s="10"/>
      <c r="E478" s="10"/>
      <c r="F478" s="10"/>
      <c r="G478" s="10"/>
      <c r="H478" s="11"/>
      <c r="I478" s="10" t="s">
        <v>50</v>
      </c>
      <c r="J478" s="12"/>
    </row>
    <row r="479" customFormat="false" ht="15" hidden="false" customHeight="false" outlineLevel="0" collapsed="false">
      <c r="A479" s="10"/>
      <c r="B479" s="10"/>
      <c r="C479" s="10"/>
      <c r="D479" s="10"/>
      <c r="E479" s="10"/>
      <c r="F479" s="10"/>
      <c r="G479" s="10"/>
      <c r="H479" s="11"/>
      <c r="I479" s="10" t="s">
        <v>50</v>
      </c>
      <c r="J479" s="12"/>
    </row>
    <row r="480" customFormat="false" ht="15" hidden="false" customHeight="false" outlineLevel="0" collapsed="false">
      <c r="A480" s="10"/>
      <c r="B480" s="10"/>
      <c r="C480" s="10"/>
      <c r="D480" s="10"/>
      <c r="E480" s="10"/>
      <c r="F480" s="10"/>
      <c r="G480" s="10"/>
      <c r="H480" s="11"/>
      <c r="I480" s="10" t="s">
        <v>50</v>
      </c>
      <c r="J480" s="12"/>
    </row>
    <row r="481" customFormat="false" ht="15" hidden="false" customHeight="false" outlineLevel="0" collapsed="false">
      <c r="A481" s="10"/>
      <c r="B481" s="10"/>
      <c r="C481" s="10"/>
      <c r="D481" s="10"/>
      <c r="E481" s="10"/>
      <c r="F481" s="10"/>
      <c r="G481" s="10"/>
      <c r="H481" s="11"/>
      <c r="I481" s="10" t="s">
        <v>50</v>
      </c>
      <c r="J481" s="12"/>
    </row>
    <row r="482" customFormat="false" ht="15" hidden="false" customHeight="false" outlineLevel="0" collapsed="false">
      <c r="A482" s="10"/>
      <c r="B482" s="10"/>
      <c r="C482" s="10"/>
      <c r="D482" s="10"/>
      <c r="E482" s="10"/>
      <c r="F482" s="10"/>
      <c r="G482" s="10"/>
      <c r="H482" s="11"/>
      <c r="I482" s="10" t="s">
        <v>50</v>
      </c>
      <c r="J482" s="12"/>
    </row>
    <row r="483" customFormat="false" ht="15" hidden="false" customHeight="false" outlineLevel="0" collapsed="false">
      <c r="A483" s="10"/>
      <c r="B483" s="10"/>
      <c r="C483" s="10"/>
      <c r="D483" s="10"/>
      <c r="E483" s="10"/>
      <c r="F483" s="10"/>
      <c r="G483" s="10"/>
      <c r="H483" s="11"/>
      <c r="I483" s="10" t="s">
        <v>50</v>
      </c>
      <c r="J483" s="12"/>
    </row>
    <row r="484" customFormat="false" ht="15" hidden="false" customHeight="false" outlineLevel="0" collapsed="false">
      <c r="A484" s="10"/>
      <c r="B484" s="10"/>
      <c r="C484" s="10"/>
      <c r="D484" s="10"/>
      <c r="E484" s="10"/>
      <c r="F484" s="10"/>
      <c r="G484" s="10"/>
      <c r="H484" s="11"/>
      <c r="I484" s="10" t="s">
        <v>50</v>
      </c>
      <c r="J484" s="12"/>
    </row>
    <row r="485" customFormat="false" ht="15" hidden="false" customHeight="false" outlineLevel="0" collapsed="false">
      <c r="A485" s="10"/>
      <c r="B485" s="10"/>
      <c r="C485" s="10"/>
      <c r="D485" s="10"/>
      <c r="E485" s="10"/>
      <c r="F485" s="10"/>
      <c r="G485" s="10"/>
      <c r="H485" s="11"/>
      <c r="I485" s="10" t="s">
        <v>50</v>
      </c>
      <c r="J485" s="12"/>
    </row>
    <row r="486" customFormat="false" ht="15" hidden="false" customHeight="false" outlineLevel="0" collapsed="false">
      <c r="A486" s="10"/>
      <c r="B486" s="10"/>
      <c r="C486" s="10"/>
      <c r="D486" s="10"/>
      <c r="E486" s="10"/>
      <c r="F486" s="10"/>
      <c r="G486" s="10"/>
      <c r="H486" s="11"/>
      <c r="I486" s="10" t="s">
        <v>50</v>
      </c>
      <c r="J486" s="12"/>
    </row>
    <row r="487" customFormat="false" ht="15" hidden="false" customHeight="false" outlineLevel="0" collapsed="false">
      <c r="A487" s="10"/>
      <c r="B487" s="10"/>
      <c r="C487" s="10"/>
      <c r="D487" s="10"/>
      <c r="E487" s="10"/>
      <c r="F487" s="10"/>
      <c r="G487" s="10"/>
      <c r="H487" s="11"/>
      <c r="I487" s="10" t="s">
        <v>50</v>
      </c>
      <c r="J487" s="12"/>
    </row>
    <row r="488" customFormat="false" ht="15" hidden="false" customHeight="false" outlineLevel="0" collapsed="false">
      <c r="A488" s="10"/>
      <c r="B488" s="10"/>
      <c r="C488" s="10"/>
      <c r="D488" s="10"/>
      <c r="E488" s="10"/>
      <c r="F488" s="10"/>
      <c r="G488" s="10"/>
      <c r="H488" s="11"/>
      <c r="I488" s="10" t="s">
        <v>50</v>
      </c>
      <c r="J488" s="12"/>
    </row>
    <row r="489" customFormat="false" ht="15" hidden="false" customHeight="false" outlineLevel="0" collapsed="false">
      <c r="A489" s="10"/>
      <c r="B489" s="10"/>
      <c r="C489" s="10"/>
      <c r="D489" s="10"/>
      <c r="E489" s="10"/>
      <c r="F489" s="10"/>
      <c r="G489" s="10"/>
      <c r="H489" s="11"/>
      <c r="I489" s="10" t="s">
        <v>50</v>
      </c>
      <c r="J489" s="12"/>
    </row>
    <row r="490" customFormat="false" ht="15" hidden="false" customHeight="false" outlineLevel="0" collapsed="false">
      <c r="A490" s="10"/>
      <c r="B490" s="10"/>
      <c r="C490" s="10"/>
      <c r="D490" s="10"/>
      <c r="E490" s="10"/>
      <c r="F490" s="10"/>
      <c r="G490" s="10"/>
      <c r="H490" s="11"/>
      <c r="I490" s="10" t="s">
        <v>50</v>
      </c>
      <c r="J490" s="12"/>
    </row>
    <row r="491" customFormat="false" ht="15" hidden="false" customHeight="false" outlineLevel="0" collapsed="false">
      <c r="A491" s="10"/>
      <c r="B491" s="10"/>
      <c r="C491" s="10"/>
      <c r="D491" s="10"/>
      <c r="E491" s="10"/>
      <c r="F491" s="10"/>
      <c r="G491" s="10"/>
      <c r="H491" s="11"/>
      <c r="I491" s="10" t="s">
        <v>50</v>
      </c>
      <c r="J491" s="12"/>
    </row>
    <row r="492" customFormat="false" ht="15" hidden="false" customHeight="false" outlineLevel="0" collapsed="false">
      <c r="A492" s="10"/>
      <c r="B492" s="10"/>
      <c r="C492" s="10"/>
      <c r="D492" s="10"/>
      <c r="E492" s="10"/>
      <c r="F492" s="10"/>
      <c r="G492" s="10"/>
      <c r="H492" s="11"/>
      <c r="I492" s="10" t="s">
        <v>50</v>
      </c>
      <c r="J492" s="12"/>
    </row>
    <row r="493" customFormat="false" ht="15" hidden="false" customHeight="false" outlineLevel="0" collapsed="false">
      <c r="A493" s="10"/>
      <c r="B493" s="10"/>
      <c r="C493" s="10"/>
      <c r="D493" s="10"/>
      <c r="E493" s="10"/>
      <c r="F493" s="10"/>
      <c r="G493" s="10"/>
      <c r="H493" s="11"/>
      <c r="I493" s="10" t="s">
        <v>50</v>
      </c>
      <c r="J493" s="12"/>
    </row>
    <row r="494" customFormat="false" ht="15" hidden="false" customHeight="false" outlineLevel="0" collapsed="false">
      <c r="A494" s="10"/>
      <c r="B494" s="10"/>
      <c r="C494" s="10"/>
      <c r="D494" s="10"/>
      <c r="E494" s="10"/>
      <c r="F494" s="10"/>
      <c r="G494" s="10"/>
      <c r="H494" s="11"/>
      <c r="I494" s="10" t="s">
        <v>50</v>
      </c>
      <c r="J494" s="12"/>
    </row>
    <row r="495" customFormat="false" ht="15" hidden="false" customHeight="false" outlineLevel="0" collapsed="false">
      <c r="A495" s="10"/>
      <c r="B495" s="10"/>
      <c r="C495" s="10"/>
      <c r="D495" s="10"/>
      <c r="E495" s="10"/>
      <c r="F495" s="10"/>
      <c r="G495" s="10"/>
      <c r="H495" s="11"/>
      <c r="I495" s="10" t="s">
        <v>50</v>
      </c>
      <c r="J495" s="12"/>
    </row>
    <row r="496" customFormat="false" ht="15" hidden="false" customHeight="false" outlineLevel="0" collapsed="false">
      <c r="A496" s="10"/>
      <c r="B496" s="10"/>
      <c r="C496" s="10"/>
      <c r="D496" s="10"/>
      <c r="E496" s="10"/>
      <c r="F496" s="10"/>
      <c r="G496" s="10"/>
      <c r="H496" s="11"/>
      <c r="I496" s="10" t="s">
        <v>50</v>
      </c>
      <c r="J496" s="12"/>
    </row>
    <row r="497" customFormat="false" ht="15" hidden="false" customHeight="false" outlineLevel="0" collapsed="false">
      <c r="A497" s="10"/>
      <c r="B497" s="10"/>
      <c r="C497" s="10"/>
      <c r="D497" s="10"/>
      <c r="E497" s="10"/>
      <c r="F497" s="10"/>
      <c r="G497" s="10"/>
      <c r="H497" s="11"/>
      <c r="I497" s="10" t="s">
        <v>50</v>
      </c>
      <c r="J497" s="12"/>
    </row>
    <row r="498" customFormat="false" ht="15" hidden="false" customHeight="false" outlineLevel="0" collapsed="false">
      <c r="A498" s="10"/>
      <c r="B498" s="10"/>
      <c r="C498" s="10"/>
      <c r="D498" s="10"/>
      <c r="E498" s="10"/>
      <c r="F498" s="10"/>
      <c r="G498" s="10"/>
      <c r="H498" s="11"/>
      <c r="I498" s="10" t="s">
        <v>50</v>
      </c>
      <c r="J498" s="12"/>
    </row>
    <row r="499" customFormat="false" ht="15" hidden="false" customHeight="false" outlineLevel="0" collapsed="false">
      <c r="A499" s="10"/>
      <c r="B499" s="10"/>
      <c r="C499" s="10"/>
      <c r="D499" s="10"/>
      <c r="E499" s="10"/>
      <c r="F499" s="10"/>
      <c r="G499" s="10"/>
      <c r="H499" s="11"/>
      <c r="I499" s="10" t="s">
        <v>50</v>
      </c>
      <c r="J499" s="12"/>
    </row>
    <row r="500" customFormat="false" ht="15" hidden="false" customHeight="false" outlineLevel="0" collapsed="false">
      <c r="A500" s="10"/>
      <c r="B500" s="10"/>
      <c r="C500" s="10"/>
      <c r="D500" s="10"/>
      <c r="E500" s="10"/>
      <c r="F500" s="10"/>
      <c r="G500" s="10"/>
      <c r="H500" s="11"/>
      <c r="I500" s="10" t="s">
        <v>50</v>
      </c>
      <c r="J500" s="12"/>
    </row>
    <row r="501" customFormat="false" ht="15" hidden="false" customHeight="false" outlineLevel="0" collapsed="false">
      <c r="A501" s="10"/>
      <c r="B501" s="10"/>
      <c r="C501" s="10"/>
      <c r="D501" s="10"/>
      <c r="E501" s="10"/>
      <c r="F501" s="10"/>
      <c r="G501" s="10"/>
      <c r="H501" s="11"/>
      <c r="I501" s="10" t="s">
        <v>50</v>
      </c>
      <c r="J501" s="12"/>
    </row>
    <row r="502" customFormat="false" ht="15" hidden="false" customHeight="false" outlineLevel="0" collapsed="false">
      <c r="A502" s="10"/>
      <c r="B502" s="10"/>
      <c r="C502" s="10"/>
      <c r="D502" s="10"/>
      <c r="E502" s="10"/>
      <c r="F502" s="10"/>
      <c r="G502" s="10"/>
      <c r="H502" s="11"/>
      <c r="I502" s="10" t="s">
        <v>50</v>
      </c>
      <c r="J502" s="12"/>
    </row>
    <row r="503" customFormat="false" ht="15" hidden="false" customHeight="false" outlineLevel="0" collapsed="false">
      <c r="A503" s="10"/>
      <c r="B503" s="10"/>
      <c r="C503" s="10"/>
      <c r="D503" s="10"/>
      <c r="E503" s="10"/>
      <c r="F503" s="10"/>
      <c r="G503" s="10"/>
      <c r="H503" s="11"/>
      <c r="I503" s="10" t="s">
        <v>50</v>
      </c>
      <c r="J503" s="12"/>
    </row>
    <row r="504" customFormat="false" ht="15" hidden="false" customHeight="false" outlineLevel="0" collapsed="false">
      <c r="A504" s="10"/>
      <c r="B504" s="10"/>
      <c r="C504" s="10"/>
      <c r="D504" s="10"/>
      <c r="E504" s="10"/>
      <c r="F504" s="10"/>
      <c r="G504" s="10"/>
      <c r="H504" s="11"/>
      <c r="I504" s="10" t="s">
        <v>50</v>
      </c>
      <c r="J504" s="12"/>
    </row>
  </sheetData>
  <dataValidations count="1">
    <dataValidation allowBlank="true" errorStyle="stop" operator="between" showDropDown="false" showErrorMessage="false" showInputMessage="false" sqref="I5:I5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J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35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6" t="s">
        <v>73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74</v>
      </c>
      <c r="G4" s="6" t="s">
        <v>39</v>
      </c>
      <c r="H4" s="6" t="s">
        <v>75</v>
      </c>
      <c r="I4" s="6" t="s">
        <v>41</v>
      </c>
      <c r="J4" s="6" t="s">
        <v>42</v>
      </c>
    </row>
    <row r="5" customFormat="false" ht="15" hidden="false" customHeight="false" outlineLevel="0" collapsed="false">
      <c r="A5" s="10" t="s">
        <v>76</v>
      </c>
      <c r="B5" s="10" t="s">
        <v>77</v>
      </c>
      <c r="C5" s="10" t="s">
        <v>78</v>
      </c>
      <c r="D5" s="10" t="s">
        <v>79</v>
      </c>
      <c r="E5" s="10" t="s">
        <v>80</v>
      </c>
      <c r="F5" s="10" t="s">
        <v>81</v>
      </c>
      <c r="G5" s="10" t="s">
        <v>82</v>
      </c>
      <c r="H5" s="13" t="n">
        <v>30</v>
      </c>
      <c r="I5" s="10" t="s">
        <v>50</v>
      </c>
      <c r="J5" s="12" t="n">
        <v>45913</v>
      </c>
    </row>
    <row r="6" customFormat="false" ht="15" hidden="false" customHeight="false" outlineLevel="0" collapsed="false">
      <c r="A6" s="10" t="s">
        <v>83</v>
      </c>
      <c r="B6" s="10" t="s">
        <v>84</v>
      </c>
      <c r="C6" s="10" t="s">
        <v>85</v>
      </c>
      <c r="D6" s="10" t="s">
        <v>86</v>
      </c>
      <c r="E6" s="10" t="s">
        <v>87</v>
      </c>
      <c r="F6" s="10" t="s">
        <v>88</v>
      </c>
      <c r="G6" s="10" t="s">
        <v>89</v>
      </c>
      <c r="H6" s="13" t="n">
        <v>45</v>
      </c>
      <c r="I6" s="10" t="s">
        <v>50</v>
      </c>
      <c r="J6" s="12" t="n">
        <v>45963</v>
      </c>
    </row>
    <row r="7" customFormat="false" ht="15" hidden="false" customHeight="false" outlineLevel="0" collapsed="false">
      <c r="A7" s="10" t="s">
        <v>90</v>
      </c>
      <c r="B7" s="10" t="s">
        <v>91</v>
      </c>
      <c r="C7" s="10" t="s">
        <v>92</v>
      </c>
      <c r="D7" s="10" t="s">
        <v>93</v>
      </c>
      <c r="E7" s="10" t="s">
        <v>94</v>
      </c>
      <c r="F7" s="10" t="s">
        <v>95</v>
      </c>
      <c r="G7" s="10" t="s">
        <v>96</v>
      </c>
      <c r="H7" s="13" t="n">
        <v>14</v>
      </c>
      <c r="I7" s="10" t="s">
        <v>50</v>
      </c>
      <c r="J7" s="12" t="n">
        <v>46023</v>
      </c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3" t="n">
        <v>30</v>
      </c>
      <c r="I8" s="10" t="s">
        <v>50</v>
      </c>
      <c r="J8" s="12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3" t="n">
        <v>30</v>
      </c>
      <c r="I9" s="10" t="s">
        <v>50</v>
      </c>
      <c r="J9" s="12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3" t="n">
        <v>30</v>
      </c>
      <c r="I10" s="10" t="s">
        <v>50</v>
      </c>
      <c r="J10" s="12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3" t="n">
        <v>30</v>
      </c>
      <c r="I11" s="10" t="s">
        <v>50</v>
      </c>
      <c r="J11" s="12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3" t="n">
        <v>30</v>
      </c>
      <c r="I12" s="10" t="s">
        <v>50</v>
      </c>
      <c r="J12" s="12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3" t="n">
        <v>30</v>
      </c>
      <c r="I13" s="10" t="s">
        <v>50</v>
      </c>
      <c r="J13" s="12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3" t="n">
        <v>30</v>
      </c>
      <c r="I14" s="10" t="s">
        <v>50</v>
      </c>
      <c r="J14" s="12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3" t="n">
        <v>30</v>
      </c>
      <c r="I15" s="10" t="s">
        <v>50</v>
      </c>
      <c r="J15" s="12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3" t="n">
        <v>30</v>
      </c>
      <c r="I16" s="10" t="s">
        <v>50</v>
      </c>
      <c r="J16" s="12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3" t="n">
        <v>30</v>
      </c>
      <c r="I17" s="10" t="s">
        <v>50</v>
      </c>
      <c r="J17" s="12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3" t="n">
        <v>30</v>
      </c>
      <c r="I18" s="10" t="s">
        <v>50</v>
      </c>
      <c r="J18" s="12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3" t="n">
        <v>30</v>
      </c>
      <c r="I19" s="10" t="s">
        <v>50</v>
      </c>
      <c r="J19" s="12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3" t="n">
        <v>30</v>
      </c>
      <c r="I20" s="10" t="s">
        <v>50</v>
      </c>
      <c r="J20" s="12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3" t="n">
        <v>30</v>
      </c>
      <c r="I21" s="10" t="s">
        <v>50</v>
      </c>
      <c r="J21" s="12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3" t="n">
        <v>30</v>
      </c>
      <c r="I22" s="10" t="s">
        <v>50</v>
      </c>
      <c r="J22" s="12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3" t="n">
        <v>30</v>
      </c>
      <c r="I23" s="10" t="s">
        <v>50</v>
      </c>
      <c r="J23" s="12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3" t="n">
        <v>30</v>
      </c>
      <c r="I24" s="10" t="s">
        <v>50</v>
      </c>
      <c r="J24" s="12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3" t="n">
        <v>30</v>
      </c>
      <c r="I25" s="10" t="s">
        <v>50</v>
      </c>
      <c r="J25" s="12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3" t="n">
        <v>30</v>
      </c>
      <c r="I26" s="10" t="s">
        <v>50</v>
      </c>
      <c r="J26" s="12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3" t="n">
        <v>30</v>
      </c>
      <c r="I27" s="10" t="s">
        <v>50</v>
      </c>
      <c r="J27" s="12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3" t="n">
        <v>30</v>
      </c>
      <c r="I28" s="10" t="s">
        <v>50</v>
      </c>
      <c r="J28" s="12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3" t="n">
        <v>30</v>
      </c>
      <c r="I29" s="10" t="s">
        <v>50</v>
      </c>
      <c r="J29" s="12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3" t="n">
        <v>30</v>
      </c>
      <c r="I30" s="10" t="s">
        <v>50</v>
      </c>
      <c r="J30" s="12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3" t="n">
        <v>30</v>
      </c>
      <c r="I31" s="10" t="s">
        <v>50</v>
      </c>
      <c r="J31" s="12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3" t="n">
        <v>30</v>
      </c>
      <c r="I32" s="10" t="s">
        <v>50</v>
      </c>
      <c r="J32" s="12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3" t="n">
        <v>30</v>
      </c>
      <c r="I33" s="10" t="s">
        <v>50</v>
      </c>
      <c r="J33" s="12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3" t="n">
        <v>30</v>
      </c>
      <c r="I34" s="10" t="s">
        <v>50</v>
      </c>
      <c r="J34" s="12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3" t="n">
        <v>30</v>
      </c>
      <c r="I35" s="10" t="s">
        <v>50</v>
      </c>
      <c r="J35" s="12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3" t="n">
        <v>30</v>
      </c>
      <c r="I36" s="10" t="s">
        <v>50</v>
      </c>
      <c r="J36" s="12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3" t="n">
        <v>30</v>
      </c>
      <c r="I37" s="10" t="s">
        <v>50</v>
      </c>
      <c r="J37" s="12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3" t="n">
        <v>30</v>
      </c>
      <c r="I38" s="10" t="s">
        <v>50</v>
      </c>
      <c r="J38" s="12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3" t="n">
        <v>30</v>
      </c>
      <c r="I39" s="10" t="s">
        <v>50</v>
      </c>
      <c r="J39" s="12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3" t="n">
        <v>30</v>
      </c>
      <c r="I40" s="10" t="s">
        <v>50</v>
      </c>
      <c r="J40" s="12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3" t="n">
        <v>30</v>
      </c>
      <c r="I41" s="10" t="s">
        <v>50</v>
      </c>
      <c r="J41" s="12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3" t="n">
        <v>30</v>
      </c>
      <c r="I42" s="10" t="s">
        <v>50</v>
      </c>
      <c r="J42" s="12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3" t="n">
        <v>30</v>
      </c>
      <c r="I43" s="10" t="s">
        <v>50</v>
      </c>
      <c r="J43" s="12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3" t="n">
        <v>30</v>
      </c>
      <c r="I44" s="10" t="s">
        <v>50</v>
      </c>
      <c r="J44" s="12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3" t="n">
        <v>30</v>
      </c>
      <c r="I45" s="10" t="s">
        <v>50</v>
      </c>
      <c r="J45" s="12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3" t="n">
        <v>30</v>
      </c>
      <c r="I46" s="10" t="s">
        <v>50</v>
      </c>
      <c r="J46" s="12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3" t="n">
        <v>30</v>
      </c>
      <c r="I47" s="10" t="s">
        <v>50</v>
      </c>
      <c r="J47" s="12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3" t="n">
        <v>30</v>
      </c>
      <c r="I48" s="10" t="s">
        <v>50</v>
      </c>
      <c r="J48" s="12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3" t="n">
        <v>30</v>
      </c>
      <c r="I49" s="10" t="s">
        <v>50</v>
      </c>
      <c r="J49" s="12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3" t="n">
        <v>30</v>
      </c>
      <c r="I50" s="10" t="s">
        <v>50</v>
      </c>
      <c r="J50" s="12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3" t="n">
        <v>30</v>
      </c>
      <c r="I51" s="10" t="s">
        <v>50</v>
      </c>
      <c r="J51" s="12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3" t="n">
        <v>30</v>
      </c>
      <c r="I52" s="10" t="s">
        <v>50</v>
      </c>
      <c r="J52" s="12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3" t="n">
        <v>30</v>
      </c>
      <c r="I53" s="10" t="s">
        <v>50</v>
      </c>
      <c r="J53" s="12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3" t="n">
        <v>30</v>
      </c>
      <c r="I54" s="10" t="s">
        <v>50</v>
      </c>
      <c r="J54" s="12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3" t="n">
        <v>30</v>
      </c>
      <c r="I55" s="10" t="s">
        <v>50</v>
      </c>
      <c r="J55" s="12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3" t="n">
        <v>30</v>
      </c>
      <c r="I56" s="10" t="s">
        <v>50</v>
      </c>
      <c r="J56" s="12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3" t="n">
        <v>30</v>
      </c>
      <c r="I57" s="10" t="s">
        <v>50</v>
      </c>
      <c r="J57" s="12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3" t="n">
        <v>30</v>
      </c>
      <c r="I58" s="10" t="s">
        <v>50</v>
      </c>
      <c r="J58" s="12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3" t="n">
        <v>30</v>
      </c>
      <c r="I59" s="10" t="s">
        <v>50</v>
      </c>
      <c r="J59" s="12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3" t="n">
        <v>30</v>
      </c>
      <c r="I60" s="10" t="s">
        <v>50</v>
      </c>
      <c r="J60" s="12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3" t="n">
        <v>30</v>
      </c>
      <c r="I61" s="10" t="s">
        <v>50</v>
      </c>
      <c r="J61" s="12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3" t="n">
        <v>30</v>
      </c>
      <c r="I62" s="10" t="s">
        <v>50</v>
      </c>
      <c r="J62" s="12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3" t="n">
        <v>30</v>
      </c>
      <c r="I63" s="10" t="s">
        <v>50</v>
      </c>
      <c r="J63" s="12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3" t="n">
        <v>30</v>
      </c>
      <c r="I64" s="10" t="s">
        <v>50</v>
      </c>
      <c r="J64" s="12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3" t="n">
        <v>30</v>
      </c>
      <c r="I65" s="10" t="s">
        <v>50</v>
      </c>
      <c r="J65" s="12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3" t="n">
        <v>30</v>
      </c>
      <c r="I66" s="10" t="s">
        <v>50</v>
      </c>
      <c r="J66" s="12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3" t="n">
        <v>30</v>
      </c>
      <c r="I67" s="10" t="s">
        <v>50</v>
      </c>
      <c r="J67" s="12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3" t="n">
        <v>30</v>
      </c>
      <c r="I68" s="10" t="s">
        <v>50</v>
      </c>
      <c r="J68" s="12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3" t="n">
        <v>30</v>
      </c>
      <c r="I69" s="10" t="s">
        <v>50</v>
      </c>
      <c r="J69" s="12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3" t="n">
        <v>30</v>
      </c>
      <c r="I70" s="10" t="s">
        <v>50</v>
      </c>
      <c r="J70" s="12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3" t="n">
        <v>30</v>
      </c>
      <c r="I71" s="10" t="s">
        <v>50</v>
      </c>
      <c r="J71" s="12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3" t="n">
        <v>30</v>
      </c>
      <c r="I72" s="10" t="s">
        <v>50</v>
      </c>
      <c r="J72" s="12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3" t="n">
        <v>30</v>
      </c>
      <c r="I73" s="10" t="s">
        <v>50</v>
      </c>
      <c r="J73" s="12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3" t="n">
        <v>30</v>
      </c>
      <c r="I74" s="10" t="s">
        <v>50</v>
      </c>
      <c r="J74" s="12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3" t="n">
        <v>30</v>
      </c>
      <c r="I75" s="10" t="s">
        <v>50</v>
      </c>
      <c r="J75" s="12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3" t="n">
        <v>30</v>
      </c>
      <c r="I76" s="10" t="s">
        <v>50</v>
      </c>
      <c r="J76" s="12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3" t="n">
        <v>30</v>
      </c>
      <c r="I77" s="10" t="s">
        <v>50</v>
      </c>
      <c r="J77" s="12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3" t="n">
        <v>30</v>
      </c>
      <c r="I78" s="10" t="s">
        <v>50</v>
      </c>
      <c r="J78" s="12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3" t="n">
        <v>30</v>
      </c>
      <c r="I79" s="10" t="s">
        <v>50</v>
      </c>
      <c r="J79" s="12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3" t="n">
        <v>30</v>
      </c>
      <c r="I80" s="10" t="s">
        <v>50</v>
      </c>
      <c r="J80" s="12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3" t="n">
        <v>30</v>
      </c>
      <c r="I81" s="10" t="s">
        <v>50</v>
      </c>
      <c r="J81" s="12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3" t="n">
        <v>30</v>
      </c>
      <c r="I82" s="10" t="s">
        <v>50</v>
      </c>
      <c r="J82" s="12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3" t="n">
        <v>30</v>
      </c>
      <c r="I83" s="10" t="s">
        <v>50</v>
      </c>
      <c r="J83" s="12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3" t="n">
        <v>30</v>
      </c>
      <c r="I84" s="10" t="s">
        <v>50</v>
      </c>
      <c r="J84" s="12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3" t="n">
        <v>30</v>
      </c>
      <c r="I85" s="10" t="s">
        <v>50</v>
      </c>
      <c r="J85" s="12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3" t="n">
        <v>30</v>
      </c>
      <c r="I86" s="10" t="s">
        <v>50</v>
      </c>
      <c r="J86" s="12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3" t="n">
        <v>30</v>
      </c>
      <c r="I87" s="10" t="s">
        <v>50</v>
      </c>
      <c r="J87" s="12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3" t="n">
        <v>30</v>
      </c>
      <c r="I88" s="10" t="s">
        <v>50</v>
      </c>
      <c r="J88" s="12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3" t="n">
        <v>30</v>
      </c>
      <c r="I89" s="10" t="s">
        <v>50</v>
      </c>
      <c r="J89" s="12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3" t="n">
        <v>30</v>
      </c>
      <c r="I90" s="10" t="s">
        <v>50</v>
      </c>
      <c r="J90" s="12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3" t="n">
        <v>30</v>
      </c>
      <c r="I91" s="10" t="s">
        <v>50</v>
      </c>
      <c r="J91" s="12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3" t="n">
        <v>30</v>
      </c>
      <c r="I92" s="10" t="s">
        <v>50</v>
      </c>
      <c r="J92" s="12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3" t="n">
        <v>30</v>
      </c>
      <c r="I93" s="10" t="s">
        <v>50</v>
      </c>
      <c r="J93" s="12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3" t="n">
        <v>30</v>
      </c>
      <c r="I94" s="10" t="s">
        <v>50</v>
      </c>
      <c r="J94" s="12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3" t="n">
        <v>30</v>
      </c>
      <c r="I95" s="10" t="s">
        <v>50</v>
      </c>
      <c r="J95" s="12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3" t="n">
        <v>30</v>
      </c>
      <c r="I96" s="10" t="s">
        <v>50</v>
      </c>
      <c r="J96" s="12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3" t="n">
        <v>30</v>
      </c>
      <c r="I97" s="10" t="s">
        <v>50</v>
      </c>
      <c r="J97" s="12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3" t="n">
        <v>30</v>
      </c>
      <c r="I98" s="10" t="s">
        <v>50</v>
      </c>
      <c r="J98" s="12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3" t="n">
        <v>30</v>
      </c>
      <c r="I99" s="10" t="s">
        <v>50</v>
      </c>
      <c r="J99" s="12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3" t="n">
        <v>30</v>
      </c>
      <c r="I100" s="10" t="s">
        <v>50</v>
      </c>
      <c r="J100" s="12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3" t="n">
        <v>30</v>
      </c>
      <c r="I101" s="10" t="s">
        <v>50</v>
      </c>
      <c r="J101" s="12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3" t="n">
        <v>30</v>
      </c>
      <c r="I102" s="10" t="s">
        <v>50</v>
      </c>
      <c r="J102" s="12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3" t="n">
        <v>30</v>
      </c>
      <c r="I103" s="10" t="s">
        <v>50</v>
      </c>
      <c r="J103" s="12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3" t="n">
        <v>30</v>
      </c>
      <c r="I104" s="10" t="s">
        <v>50</v>
      </c>
      <c r="J104" s="12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3" t="n">
        <v>30</v>
      </c>
      <c r="I105" s="10" t="s">
        <v>50</v>
      </c>
      <c r="J105" s="12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3" t="n">
        <v>30</v>
      </c>
      <c r="I106" s="10" t="s">
        <v>50</v>
      </c>
      <c r="J106" s="12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3" t="n">
        <v>30</v>
      </c>
      <c r="I107" s="10" t="s">
        <v>50</v>
      </c>
      <c r="J107" s="12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3" t="n">
        <v>30</v>
      </c>
      <c r="I108" s="10" t="s">
        <v>50</v>
      </c>
      <c r="J108" s="12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3" t="n">
        <v>30</v>
      </c>
      <c r="I109" s="10" t="s">
        <v>50</v>
      </c>
      <c r="J109" s="12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3" t="n">
        <v>30</v>
      </c>
      <c r="I110" s="10" t="s">
        <v>50</v>
      </c>
      <c r="J110" s="12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3" t="n">
        <v>30</v>
      </c>
      <c r="I111" s="10" t="s">
        <v>50</v>
      </c>
      <c r="J111" s="12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3" t="n">
        <v>30</v>
      </c>
      <c r="I112" s="10" t="s">
        <v>50</v>
      </c>
      <c r="J112" s="12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3" t="n">
        <v>30</v>
      </c>
      <c r="I113" s="10" t="s">
        <v>50</v>
      </c>
      <c r="J113" s="12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3" t="n">
        <v>30</v>
      </c>
      <c r="I114" s="10" t="s">
        <v>50</v>
      </c>
      <c r="J114" s="12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3" t="n">
        <v>30</v>
      </c>
      <c r="I115" s="10" t="s">
        <v>50</v>
      </c>
      <c r="J115" s="12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3" t="n">
        <v>30</v>
      </c>
      <c r="I116" s="10" t="s">
        <v>50</v>
      </c>
      <c r="J116" s="12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3" t="n">
        <v>30</v>
      </c>
      <c r="I117" s="10" t="s">
        <v>50</v>
      </c>
      <c r="J117" s="12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3" t="n">
        <v>30</v>
      </c>
      <c r="I118" s="10" t="s">
        <v>50</v>
      </c>
      <c r="J118" s="12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3" t="n">
        <v>30</v>
      </c>
      <c r="I119" s="10" t="s">
        <v>50</v>
      </c>
      <c r="J119" s="12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3" t="n">
        <v>30</v>
      </c>
      <c r="I120" s="10" t="s">
        <v>50</v>
      </c>
      <c r="J120" s="12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3" t="n">
        <v>30</v>
      </c>
      <c r="I121" s="10" t="s">
        <v>50</v>
      </c>
      <c r="J121" s="12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3" t="n">
        <v>30</v>
      </c>
      <c r="I122" s="10" t="s">
        <v>50</v>
      </c>
      <c r="J122" s="12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3" t="n">
        <v>30</v>
      </c>
      <c r="I123" s="10" t="s">
        <v>50</v>
      </c>
      <c r="J123" s="12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3" t="n">
        <v>30</v>
      </c>
      <c r="I124" s="10" t="s">
        <v>50</v>
      </c>
      <c r="J124" s="12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3" t="n">
        <v>30</v>
      </c>
      <c r="I125" s="10" t="s">
        <v>50</v>
      </c>
      <c r="J125" s="12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3" t="n">
        <v>30</v>
      </c>
      <c r="I126" s="10" t="s">
        <v>50</v>
      </c>
      <c r="J126" s="12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3" t="n">
        <v>30</v>
      </c>
      <c r="I127" s="10" t="s">
        <v>50</v>
      </c>
      <c r="J127" s="12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3" t="n">
        <v>30</v>
      </c>
      <c r="I128" s="10" t="s">
        <v>50</v>
      </c>
      <c r="J128" s="12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3" t="n">
        <v>30</v>
      </c>
      <c r="I129" s="10" t="s">
        <v>50</v>
      </c>
      <c r="J129" s="12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3" t="n">
        <v>30</v>
      </c>
      <c r="I130" s="10" t="s">
        <v>50</v>
      </c>
      <c r="J130" s="12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3" t="n">
        <v>30</v>
      </c>
      <c r="I131" s="10" t="s">
        <v>50</v>
      </c>
      <c r="J131" s="12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3" t="n">
        <v>30</v>
      </c>
      <c r="I132" s="10" t="s">
        <v>50</v>
      </c>
      <c r="J132" s="12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3" t="n">
        <v>30</v>
      </c>
      <c r="I133" s="10" t="s">
        <v>50</v>
      </c>
      <c r="J133" s="12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3" t="n">
        <v>30</v>
      </c>
      <c r="I134" s="10" t="s">
        <v>50</v>
      </c>
      <c r="J134" s="12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3" t="n">
        <v>30</v>
      </c>
      <c r="I135" s="10" t="s">
        <v>50</v>
      </c>
      <c r="J135" s="12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3" t="n">
        <v>30</v>
      </c>
      <c r="I136" s="10" t="s">
        <v>50</v>
      </c>
      <c r="J136" s="12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3" t="n">
        <v>30</v>
      </c>
      <c r="I137" s="10" t="s">
        <v>50</v>
      </c>
      <c r="J137" s="12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3" t="n">
        <v>30</v>
      </c>
      <c r="I138" s="10" t="s">
        <v>50</v>
      </c>
      <c r="J138" s="12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3" t="n">
        <v>30</v>
      </c>
      <c r="I139" s="10" t="s">
        <v>50</v>
      </c>
      <c r="J139" s="12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3" t="n">
        <v>30</v>
      </c>
      <c r="I140" s="10" t="s">
        <v>50</v>
      </c>
      <c r="J140" s="12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3" t="n">
        <v>30</v>
      </c>
      <c r="I141" s="10" t="s">
        <v>50</v>
      </c>
      <c r="J141" s="12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3" t="n">
        <v>30</v>
      </c>
      <c r="I142" s="10" t="s">
        <v>50</v>
      </c>
      <c r="J142" s="12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3" t="n">
        <v>30</v>
      </c>
      <c r="I143" s="10" t="s">
        <v>50</v>
      </c>
      <c r="J143" s="12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3" t="n">
        <v>30</v>
      </c>
      <c r="I144" s="10" t="s">
        <v>50</v>
      </c>
      <c r="J144" s="12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3" t="n">
        <v>30</v>
      </c>
      <c r="I145" s="10" t="s">
        <v>50</v>
      </c>
      <c r="J145" s="12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3" t="n">
        <v>30</v>
      </c>
      <c r="I146" s="10" t="s">
        <v>50</v>
      </c>
      <c r="J146" s="12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3" t="n">
        <v>30</v>
      </c>
      <c r="I147" s="10" t="s">
        <v>50</v>
      </c>
      <c r="J147" s="12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3" t="n">
        <v>30</v>
      </c>
      <c r="I148" s="10" t="s">
        <v>50</v>
      </c>
      <c r="J148" s="12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3" t="n">
        <v>30</v>
      </c>
      <c r="I149" s="10" t="s">
        <v>50</v>
      </c>
      <c r="J149" s="12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3" t="n">
        <v>30</v>
      </c>
      <c r="I150" s="10" t="s">
        <v>50</v>
      </c>
      <c r="J150" s="12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3" t="n">
        <v>30</v>
      </c>
      <c r="I151" s="10" t="s">
        <v>50</v>
      </c>
      <c r="J151" s="12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3" t="n">
        <v>30</v>
      </c>
      <c r="I152" s="10" t="s">
        <v>50</v>
      </c>
      <c r="J152" s="12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3" t="n">
        <v>30</v>
      </c>
      <c r="I153" s="10" t="s">
        <v>50</v>
      </c>
      <c r="J153" s="12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3" t="n">
        <v>30</v>
      </c>
      <c r="I154" s="10" t="s">
        <v>50</v>
      </c>
      <c r="J154" s="12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3" t="n">
        <v>30</v>
      </c>
      <c r="I155" s="10" t="s">
        <v>50</v>
      </c>
      <c r="J155" s="12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3" t="n">
        <v>30</v>
      </c>
      <c r="I156" s="10" t="s">
        <v>50</v>
      </c>
      <c r="J156" s="12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3" t="n">
        <v>30</v>
      </c>
      <c r="I157" s="10" t="s">
        <v>50</v>
      </c>
      <c r="J157" s="12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3" t="n">
        <v>30</v>
      </c>
      <c r="I158" s="10" t="s">
        <v>50</v>
      </c>
      <c r="J158" s="12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3" t="n">
        <v>30</v>
      </c>
      <c r="I159" s="10" t="s">
        <v>50</v>
      </c>
      <c r="J159" s="12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3" t="n">
        <v>30</v>
      </c>
      <c r="I160" s="10" t="s">
        <v>50</v>
      </c>
      <c r="J160" s="12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3" t="n">
        <v>30</v>
      </c>
      <c r="I161" s="10" t="s">
        <v>50</v>
      </c>
      <c r="J161" s="12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3" t="n">
        <v>30</v>
      </c>
      <c r="I162" s="10" t="s">
        <v>50</v>
      </c>
      <c r="J162" s="12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3" t="n">
        <v>30</v>
      </c>
      <c r="I163" s="10" t="s">
        <v>50</v>
      </c>
      <c r="J163" s="12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3" t="n">
        <v>30</v>
      </c>
      <c r="I164" s="10" t="s">
        <v>50</v>
      </c>
      <c r="J164" s="12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3" t="n">
        <v>30</v>
      </c>
      <c r="I165" s="10" t="s">
        <v>50</v>
      </c>
      <c r="J165" s="12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3" t="n">
        <v>30</v>
      </c>
      <c r="I166" s="10" t="s">
        <v>50</v>
      </c>
      <c r="J166" s="12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3" t="n">
        <v>30</v>
      </c>
      <c r="I167" s="10" t="s">
        <v>50</v>
      </c>
      <c r="J167" s="12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3" t="n">
        <v>30</v>
      </c>
      <c r="I168" s="10" t="s">
        <v>50</v>
      </c>
      <c r="J168" s="12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3" t="n">
        <v>30</v>
      </c>
      <c r="I169" s="10" t="s">
        <v>50</v>
      </c>
      <c r="J169" s="12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3" t="n">
        <v>30</v>
      </c>
      <c r="I170" s="10" t="s">
        <v>50</v>
      </c>
      <c r="J170" s="12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3" t="n">
        <v>30</v>
      </c>
      <c r="I171" s="10" t="s">
        <v>50</v>
      </c>
      <c r="J171" s="12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3" t="n">
        <v>30</v>
      </c>
      <c r="I172" s="10" t="s">
        <v>50</v>
      </c>
      <c r="J172" s="12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3" t="n">
        <v>30</v>
      </c>
      <c r="I173" s="10" t="s">
        <v>50</v>
      </c>
      <c r="J173" s="12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3" t="n">
        <v>30</v>
      </c>
      <c r="I174" s="10" t="s">
        <v>50</v>
      </c>
      <c r="J174" s="12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3" t="n">
        <v>30</v>
      </c>
      <c r="I175" s="10" t="s">
        <v>50</v>
      </c>
      <c r="J175" s="12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3" t="n">
        <v>30</v>
      </c>
      <c r="I176" s="10" t="s">
        <v>50</v>
      </c>
      <c r="J176" s="12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3" t="n">
        <v>30</v>
      </c>
      <c r="I177" s="10" t="s">
        <v>50</v>
      </c>
      <c r="J177" s="12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3" t="n">
        <v>30</v>
      </c>
      <c r="I178" s="10" t="s">
        <v>50</v>
      </c>
      <c r="J178" s="12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3" t="n">
        <v>30</v>
      </c>
      <c r="I179" s="10" t="s">
        <v>50</v>
      </c>
      <c r="J179" s="12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3" t="n">
        <v>30</v>
      </c>
      <c r="I180" s="10" t="s">
        <v>50</v>
      </c>
      <c r="J180" s="12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3" t="n">
        <v>30</v>
      </c>
      <c r="I181" s="10" t="s">
        <v>50</v>
      </c>
      <c r="J181" s="12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3" t="n">
        <v>30</v>
      </c>
      <c r="I182" s="10" t="s">
        <v>50</v>
      </c>
      <c r="J182" s="12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3" t="n">
        <v>30</v>
      </c>
      <c r="I183" s="10" t="s">
        <v>50</v>
      </c>
      <c r="J183" s="12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3" t="n">
        <v>30</v>
      </c>
      <c r="I184" s="10" t="s">
        <v>50</v>
      </c>
      <c r="J184" s="12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3" t="n">
        <v>30</v>
      </c>
      <c r="I185" s="10" t="s">
        <v>50</v>
      </c>
      <c r="J185" s="12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3" t="n">
        <v>30</v>
      </c>
      <c r="I186" s="10" t="s">
        <v>50</v>
      </c>
      <c r="J186" s="12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3" t="n">
        <v>30</v>
      </c>
      <c r="I187" s="10" t="s">
        <v>50</v>
      </c>
      <c r="J187" s="12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3" t="n">
        <v>30</v>
      </c>
      <c r="I188" s="10" t="s">
        <v>50</v>
      </c>
      <c r="J188" s="12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3" t="n">
        <v>30</v>
      </c>
      <c r="I189" s="10" t="s">
        <v>50</v>
      </c>
      <c r="J189" s="12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3" t="n">
        <v>30</v>
      </c>
      <c r="I190" s="10" t="s">
        <v>50</v>
      </c>
      <c r="J190" s="12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3" t="n">
        <v>30</v>
      </c>
      <c r="I191" s="10" t="s">
        <v>50</v>
      </c>
      <c r="J191" s="12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3" t="n">
        <v>30</v>
      </c>
      <c r="I192" s="10" t="s">
        <v>50</v>
      </c>
      <c r="J192" s="12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3" t="n">
        <v>30</v>
      </c>
      <c r="I193" s="10" t="s">
        <v>50</v>
      </c>
      <c r="J193" s="12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3" t="n">
        <v>30</v>
      </c>
      <c r="I194" s="10" t="s">
        <v>50</v>
      </c>
      <c r="J194" s="12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3" t="n">
        <v>30</v>
      </c>
      <c r="I195" s="10" t="s">
        <v>50</v>
      </c>
      <c r="J195" s="12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3" t="n">
        <v>30</v>
      </c>
      <c r="I196" s="10" t="s">
        <v>50</v>
      </c>
      <c r="J196" s="12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3" t="n">
        <v>30</v>
      </c>
      <c r="I197" s="10" t="s">
        <v>50</v>
      </c>
      <c r="J197" s="12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3" t="n">
        <v>30</v>
      </c>
      <c r="I198" s="10" t="s">
        <v>50</v>
      </c>
      <c r="J198" s="12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3" t="n">
        <v>30</v>
      </c>
      <c r="I199" s="10" t="s">
        <v>50</v>
      </c>
      <c r="J199" s="12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3" t="n">
        <v>30</v>
      </c>
      <c r="I200" s="10" t="s">
        <v>50</v>
      </c>
      <c r="J200" s="12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3" t="n">
        <v>30</v>
      </c>
      <c r="I201" s="10" t="s">
        <v>50</v>
      </c>
      <c r="J201" s="12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3" t="n">
        <v>30</v>
      </c>
      <c r="I202" s="10" t="s">
        <v>50</v>
      </c>
      <c r="J202" s="12"/>
    </row>
    <row r="203" customFormat="false" ht="15" hidden="false" customHeight="false" outlineLevel="0" collapsed="false">
      <c r="A203" s="10"/>
      <c r="B203" s="10"/>
      <c r="C203" s="10"/>
      <c r="D203" s="10"/>
      <c r="E203" s="10"/>
      <c r="F203" s="10"/>
      <c r="G203" s="10"/>
      <c r="H203" s="13" t="n">
        <v>30</v>
      </c>
      <c r="I203" s="10" t="s">
        <v>50</v>
      </c>
      <c r="J203" s="12"/>
    </row>
    <row r="204" customFormat="false" ht="15" hidden="false" customHeight="false" outlineLevel="0" collapsed="false">
      <c r="A204" s="10"/>
      <c r="B204" s="10"/>
      <c r="C204" s="10"/>
      <c r="D204" s="10"/>
      <c r="E204" s="10"/>
      <c r="F204" s="10"/>
      <c r="G204" s="10"/>
      <c r="H204" s="13" t="n">
        <v>30</v>
      </c>
      <c r="I204" s="10" t="s">
        <v>50</v>
      </c>
      <c r="J204" s="12"/>
    </row>
    <row r="205" customFormat="false" ht="15" hidden="false" customHeight="false" outlineLevel="0" collapsed="false">
      <c r="A205" s="10"/>
      <c r="B205" s="10"/>
      <c r="C205" s="10"/>
      <c r="D205" s="10"/>
      <c r="E205" s="10"/>
      <c r="F205" s="10"/>
      <c r="G205" s="10"/>
      <c r="H205" s="13" t="n">
        <v>30</v>
      </c>
      <c r="I205" s="10" t="s">
        <v>50</v>
      </c>
      <c r="J205" s="12"/>
    </row>
    <row r="206" customFormat="false" ht="15" hidden="false" customHeight="false" outlineLevel="0" collapsed="false">
      <c r="A206" s="10"/>
      <c r="B206" s="10"/>
      <c r="C206" s="10"/>
      <c r="D206" s="10"/>
      <c r="E206" s="10"/>
      <c r="F206" s="10"/>
      <c r="G206" s="10"/>
      <c r="H206" s="13" t="n">
        <v>30</v>
      </c>
      <c r="I206" s="10" t="s">
        <v>50</v>
      </c>
      <c r="J206" s="12"/>
    </row>
    <row r="207" customFormat="false" ht="15" hidden="false" customHeight="false" outlineLevel="0" collapsed="false">
      <c r="A207" s="10"/>
      <c r="B207" s="10"/>
      <c r="C207" s="10"/>
      <c r="D207" s="10"/>
      <c r="E207" s="10"/>
      <c r="F207" s="10"/>
      <c r="G207" s="10"/>
      <c r="H207" s="13" t="n">
        <v>30</v>
      </c>
      <c r="I207" s="10" t="s">
        <v>50</v>
      </c>
      <c r="J207" s="12"/>
    </row>
    <row r="208" customFormat="false" ht="15" hidden="false" customHeight="false" outlineLevel="0" collapsed="false">
      <c r="A208" s="10"/>
      <c r="B208" s="10"/>
      <c r="C208" s="10"/>
      <c r="D208" s="10"/>
      <c r="E208" s="10"/>
      <c r="F208" s="10"/>
      <c r="G208" s="10"/>
      <c r="H208" s="13" t="n">
        <v>30</v>
      </c>
      <c r="I208" s="10" t="s">
        <v>50</v>
      </c>
      <c r="J208" s="12"/>
    </row>
    <row r="209" customFormat="false" ht="15" hidden="false" customHeight="false" outlineLevel="0" collapsed="false">
      <c r="A209" s="10"/>
      <c r="B209" s="10"/>
      <c r="C209" s="10"/>
      <c r="D209" s="10"/>
      <c r="E209" s="10"/>
      <c r="F209" s="10"/>
      <c r="G209" s="10"/>
      <c r="H209" s="13" t="n">
        <v>30</v>
      </c>
      <c r="I209" s="10" t="s">
        <v>50</v>
      </c>
      <c r="J209" s="12"/>
    </row>
    <row r="210" customFormat="false" ht="15" hidden="false" customHeight="false" outlineLevel="0" collapsed="false">
      <c r="A210" s="10"/>
      <c r="B210" s="10"/>
      <c r="C210" s="10"/>
      <c r="D210" s="10"/>
      <c r="E210" s="10"/>
      <c r="F210" s="10"/>
      <c r="G210" s="10"/>
      <c r="H210" s="13" t="n">
        <v>30</v>
      </c>
      <c r="I210" s="10" t="s">
        <v>50</v>
      </c>
      <c r="J210" s="12"/>
    </row>
    <row r="211" customFormat="false" ht="15" hidden="false" customHeight="false" outlineLevel="0" collapsed="false">
      <c r="A211" s="10"/>
      <c r="B211" s="10"/>
      <c r="C211" s="10"/>
      <c r="D211" s="10"/>
      <c r="E211" s="10"/>
      <c r="F211" s="10"/>
      <c r="G211" s="10"/>
      <c r="H211" s="13" t="n">
        <v>30</v>
      </c>
      <c r="I211" s="10" t="s">
        <v>50</v>
      </c>
      <c r="J211" s="12"/>
    </row>
    <row r="212" customFormat="false" ht="15" hidden="false" customHeight="false" outlineLevel="0" collapsed="false">
      <c r="A212" s="10"/>
      <c r="B212" s="10"/>
      <c r="C212" s="10"/>
      <c r="D212" s="10"/>
      <c r="E212" s="10"/>
      <c r="F212" s="10"/>
      <c r="G212" s="10"/>
      <c r="H212" s="13" t="n">
        <v>30</v>
      </c>
      <c r="I212" s="10" t="s">
        <v>50</v>
      </c>
      <c r="J212" s="12"/>
    </row>
    <row r="213" customFormat="false" ht="15" hidden="false" customHeight="false" outlineLevel="0" collapsed="false">
      <c r="A213" s="10"/>
      <c r="B213" s="10"/>
      <c r="C213" s="10"/>
      <c r="D213" s="10"/>
      <c r="E213" s="10"/>
      <c r="F213" s="10"/>
      <c r="G213" s="10"/>
      <c r="H213" s="13" t="n">
        <v>30</v>
      </c>
      <c r="I213" s="10" t="s">
        <v>50</v>
      </c>
      <c r="J213" s="12"/>
    </row>
    <row r="214" customFormat="false" ht="15" hidden="false" customHeight="false" outlineLevel="0" collapsed="false">
      <c r="A214" s="10"/>
      <c r="B214" s="10"/>
      <c r="C214" s="10"/>
      <c r="D214" s="10"/>
      <c r="E214" s="10"/>
      <c r="F214" s="10"/>
      <c r="G214" s="10"/>
      <c r="H214" s="13" t="n">
        <v>30</v>
      </c>
      <c r="I214" s="10" t="s">
        <v>50</v>
      </c>
      <c r="J214" s="12"/>
    </row>
    <row r="215" customFormat="false" ht="15" hidden="false" customHeight="false" outlineLevel="0" collapsed="false">
      <c r="A215" s="10"/>
      <c r="B215" s="10"/>
      <c r="C215" s="10"/>
      <c r="D215" s="10"/>
      <c r="E215" s="10"/>
      <c r="F215" s="10"/>
      <c r="G215" s="10"/>
      <c r="H215" s="13" t="n">
        <v>30</v>
      </c>
      <c r="I215" s="10" t="s">
        <v>50</v>
      </c>
      <c r="J215" s="12"/>
    </row>
    <row r="216" customFormat="false" ht="15" hidden="false" customHeight="false" outlineLevel="0" collapsed="false">
      <c r="A216" s="10"/>
      <c r="B216" s="10"/>
      <c r="C216" s="10"/>
      <c r="D216" s="10"/>
      <c r="E216" s="10"/>
      <c r="F216" s="10"/>
      <c r="G216" s="10"/>
      <c r="H216" s="13" t="n">
        <v>30</v>
      </c>
      <c r="I216" s="10" t="s">
        <v>50</v>
      </c>
      <c r="J216" s="12"/>
    </row>
    <row r="217" customFormat="false" ht="15" hidden="false" customHeight="false" outlineLevel="0" collapsed="false">
      <c r="A217" s="10"/>
      <c r="B217" s="10"/>
      <c r="C217" s="10"/>
      <c r="D217" s="10"/>
      <c r="E217" s="10"/>
      <c r="F217" s="10"/>
      <c r="G217" s="10"/>
      <c r="H217" s="13" t="n">
        <v>30</v>
      </c>
      <c r="I217" s="10" t="s">
        <v>50</v>
      </c>
      <c r="J217" s="12"/>
    </row>
    <row r="218" customFormat="false" ht="15" hidden="false" customHeight="false" outlineLevel="0" collapsed="false">
      <c r="A218" s="10"/>
      <c r="B218" s="10"/>
      <c r="C218" s="10"/>
      <c r="D218" s="10"/>
      <c r="E218" s="10"/>
      <c r="F218" s="10"/>
      <c r="G218" s="10"/>
      <c r="H218" s="13" t="n">
        <v>30</v>
      </c>
      <c r="I218" s="10" t="s">
        <v>50</v>
      </c>
      <c r="J218" s="12"/>
    </row>
    <row r="219" customFormat="false" ht="15" hidden="false" customHeight="false" outlineLevel="0" collapsed="false">
      <c r="A219" s="10"/>
      <c r="B219" s="10"/>
      <c r="C219" s="10"/>
      <c r="D219" s="10"/>
      <c r="E219" s="10"/>
      <c r="F219" s="10"/>
      <c r="G219" s="10"/>
      <c r="H219" s="13" t="n">
        <v>30</v>
      </c>
      <c r="I219" s="10" t="s">
        <v>50</v>
      </c>
      <c r="J219" s="12"/>
    </row>
    <row r="220" customFormat="false" ht="15" hidden="false" customHeight="false" outlineLevel="0" collapsed="false">
      <c r="A220" s="10"/>
      <c r="B220" s="10"/>
      <c r="C220" s="10"/>
      <c r="D220" s="10"/>
      <c r="E220" s="10"/>
      <c r="F220" s="10"/>
      <c r="G220" s="10"/>
      <c r="H220" s="13" t="n">
        <v>30</v>
      </c>
      <c r="I220" s="10" t="s">
        <v>50</v>
      </c>
      <c r="J220" s="12"/>
    </row>
    <row r="221" customFormat="false" ht="15" hidden="false" customHeight="false" outlineLevel="0" collapsed="false">
      <c r="A221" s="10"/>
      <c r="B221" s="10"/>
      <c r="C221" s="10"/>
      <c r="D221" s="10"/>
      <c r="E221" s="10"/>
      <c r="F221" s="10"/>
      <c r="G221" s="10"/>
      <c r="H221" s="13" t="n">
        <v>30</v>
      </c>
      <c r="I221" s="10" t="s">
        <v>50</v>
      </c>
      <c r="J221" s="12"/>
    </row>
    <row r="222" customFormat="false" ht="15" hidden="false" customHeight="false" outlineLevel="0" collapsed="false">
      <c r="A222" s="10"/>
      <c r="B222" s="10"/>
      <c r="C222" s="10"/>
      <c r="D222" s="10"/>
      <c r="E222" s="10"/>
      <c r="F222" s="10"/>
      <c r="G222" s="10"/>
      <c r="H222" s="13" t="n">
        <v>30</v>
      </c>
      <c r="I222" s="10" t="s">
        <v>50</v>
      </c>
      <c r="J222" s="12"/>
    </row>
    <row r="223" customFormat="false" ht="15" hidden="false" customHeight="false" outlineLevel="0" collapsed="false">
      <c r="A223" s="10"/>
      <c r="B223" s="10"/>
      <c r="C223" s="10"/>
      <c r="D223" s="10"/>
      <c r="E223" s="10"/>
      <c r="F223" s="10"/>
      <c r="G223" s="10"/>
      <c r="H223" s="13" t="n">
        <v>30</v>
      </c>
      <c r="I223" s="10" t="s">
        <v>50</v>
      </c>
      <c r="J223" s="12"/>
    </row>
    <row r="224" customFormat="false" ht="15" hidden="false" customHeight="false" outlineLevel="0" collapsed="false">
      <c r="A224" s="10"/>
      <c r="B224" s="10"/>
      <c r="C224" s="10"/>
      <c r="D224" s="10"/>
      <c r="E224" s="10"/>
      <c r="F224" s="10"/>
      <c r="G224" s="10"/>
      <c r="H224" s="13" t="n">
        <v>30</v>
      </c>
      <c r="I224" s="10" t="s">
        <v>50</v>
      </c>
      <c r="J224" s="12"/>
    </row>
    <row r="225" customFormat="false" ht="15" hidden="false" customHeight="false" outlineLevel="0" collapsed="false">
      <c r="A225" s="10"/>
      <c r="B225" s="10"/>
      <c r="C225" s="10"/>
      <c r="D225" s="10"/>
      <c r="E225" s="10"/>
      <c r="F225" s="10"/>
      <c r="G225" s="10"/>
      <c r="H225" s="13" t="n">
        <v>30</v>
      </c>
      <c r="I225" s="10" t="s">
        <v>50</v>
      </c>
      <c r="J225" s="12"/>
    </row>
    <row r="226" customFormat="false" ht="15" hidden="false" customHeight="false" outlineLevel="0" collapsed="false">
      <c r="A226" s="10"/>
      <c r="B226" s="10"/>
      <c r="C226" s="10"/>
      <c r="D226" s="10"/>
      <c r="E226" s="10"/>
      <c r="F226" s="10"/>
      <c r="G226" s="10"/>
      <c r="H226" s="13" t="n">
        <v>30</v>
      </c>
      <c r="I226" s="10" t="s">
        <v>50</v>
      </c>
      <c r="J226" s="12"/>
    </row>
    <row r="227" customFormat="false" ht="15" hidden="false" customHeight="false" outlineLevel="0" collapsed="false">
      <c r="A227" s="10"/>
      <c r="B227" s="10"/>
      <c r="C227" s="10"/>
      <c r="D227" s="10"/>
      <c r="E227" s="10"/>
      <c r="F227" s="10"/>
      <c r="G227" s="10"/>
      <c r="H227" s="13" t="n">
        <v>30</v>
      </c>
      <c r="I227" s="10" t="s">
        <v>50</v>
      </c>
      <c r="J227" s="12"/>
    </row>
    <row r="228" customFormat="false" ht="15" hidden="false" customHeight="false" outlineLevel="0" collapsed="false">
      <c r="A228" s="10"/>
      <c r="B228" s="10"/>
      <c r="C228" s="10"/>
      <c r="D228" s="10"/>
      <c r="E228" s="10"/>
      <c r="F228" s="10"/>
      <c r="G228" s="10"/>
      <c r="H228" s="13" t="n">
        <v>30</v>
      </c>
      <c r="I228" s="10" t="s">
        <v>50</v>
      </c>
      <c r="J228" s="12"/>
    </row>
    <row r="229" customFormat="false" ht="15" hidden="false" customHeight="false" outlineLevel="0" collapsed="false">
      <c r="A229" s="10"/>
      <c r="B229" s="10"/>
      <c r="C229" s="10"/>
      <c r="D229" s="10"/>
      <c r="E229" s="10"/>
      <c r="F229" s="10"/>
      <c r="G229" s="10"/>
      <c r="H229" s="13" t="n">
        <v>30</v>
      </c>
      <c r="I229" s="10" t="s">
        <v>50</v>
      </c>
      <c r="J229" s="12"/>
    </row>
    <row r="230" customFormat="false" ht="15" hidden="false" customHeight="false" outlineLevel="0" collapsed="false">
      <c r="A230" s="10"/>
      <c r="B230" s="10"/>
      <c r="C230" s="10"/>
      <c r="D230" s="10"/>
      <c r="E230" s="10"/>
      <c r="F230" s="10"/>
      <c r="G230" s="10"/>
      <c r="H230" s="13" t="n">
        <v>30</v>
      </c>
      <c r="I230" s="10" t="s">
        <v>50</v>
      </c>
      <c r="J230" s="12"/>
    </row>
    <row r="231" customFormat="false" ht="15" hidden="false" customHeight="false" outlineLevel="0" collapsed="false">
      <c r="A231" s="10"/>
      <c r="B231" s="10"/>
      <c r="C231" s="10"/>
      <c r="D231" s="10"/>
      <c r="E231" s="10"/>
      <c r="F231" s="10"/>
      <c r="G231" s="10"/>
      <c r="H231" s="13" t="n">
        <v>30</v>
      </c>
      <c r="I231" s="10" t="s">
        <v>50</v>
      </c>
      <c r="J231" s="12"/>
    </row>
    <row r="232" customFormat="false" ht="15" hidden="false" customHeight="false" outlineLevel="0" collapsed="false">
      <c r="A232" s="10"/>
      <c r="B232" s="10"/>
      <c r="C232" s="10"/>
      <c r="D232" s="10"/>
      <c r="E232" s="10"/>
      <c r="F232" s="10"/>
      <c r="G232" s="10"/>
      <c r="H232" s="13" t="n">
        <v>30</v>
      </c>
      <c r="I232" s="10" t="s">
        <v>50</v>
      </c>
      <c r="J232" s="12"/>
    </row>
    <row r="233" customFormat="false" ht="15" hidden="false" customHeight="false" outlineLevel="0" collapsed="false">
      <c r="A233" s="10"/>
      <c r="B233" s="10"/>
      <c r="C233" s="10"/>
      <c r="D233" s="10"/>
      <c r="E233" s="10"/>
      <c r="F233" s="10"/>
      <c r="G233" s="10"/>
      <c r="H233" s="13" t="n">
        <v>30</v>
      </c>
      <c r="I233" s="10" t="s">
        <v>50</v>
      </c>
      <c r="J233" s="12"/>
    </row>
    <row r="234" customFormat="false" ht="15" hidden="false" customHeight="false" outlineLevel="0" collapsed="false">
      <c r="A234" s="10"/>
      <c r="B234" s="10"/>
      <c r="C234" s="10"/>
      <c r="D234" s="10"/>
      <c r="E234" s="10"/>
      <c r="F234" s="10"/>
      <c r="G234" s="10"/>
      <c r="H234" s="13" t="n">
        <v>30</v>
      </c>
      <c r="I234" s="10" t="s">
        <v>50</v>
      </c>
      <c r="J234" s="12"/>
    </row>
    <row r="235" customFormat="false" ht="15" hidden="false" customHeight="false" outlineLevel="0" collapsed="false">
      <c r="A235" s="10"/>
      <c r="B235" s="10"/>
      <c r="C235" s="10"/>
      <c r="D235" s="10"/>
      <c r="E235" s="10"/>
      <c r="F235" s="10"/>
      <c r="G235" s="10"/>
      <c r="H235" s="13" t="n">
        <v>30</v>
      </c>
      <c r="I235" s="10" t="s">
        <v>50</v>
      </c>
      <c r="J235" s="12"/>
    </row>
    <row r="236" customFormat="false" ht="15" hidden="false" customHeight="false" outlineLevel="0" collapsed="false">
      <c r="A236" s="10"/>
      <c r="B236" s="10"/>
      <c r="C236" s="10"/>
      <c r="D236" s="10"/>
      <c r="E236" s="10"/>
      <c r="F236" s="10"/>
      <c r="G236" s="10"/>
      <c r="H236" s="13" t="n">
        <v>30</v>
      </c>
      <c r="I236" s="10" t="s">
        <v>50</v>
      </c>
      <c r="J236" s="12"/>
    </row>
    <row r="237" customFormat="false" ht="15" hidden="false" customHeight="false" outlineLevel="0" collapsed="false">
      <c r="A237" s="10"/>
      <c r="B237" s="10"/>
      <c r="C237" s="10"/>
      <c r="D237" s="10"/>
      <c r="E237" s="10"/>
      <c r="F237" s="10"/>
      <c r="G237" s="10"/>
      <c r="H237" s="13" t="n">
        <v>30</v>
      </c>
      <c r="I237" s="10" t="s">
        <v>50</v>
      </c>
      <c r="J237" s="12"/>
    </row>
    <row r="238" customFormat="false" ht="15" hidden="false" customHeight="false" outlineLevel="0" collapsed="false">
      <c r="A238" s="10"/>
      <c r="B238" s="10"/>
      <c r="C238" s="10"/>
      <c r="D238" s="10"/>
      <c r="E238" s="10"/>
      <c r="F238" s="10"/>
      <c r="G238" s="10"/>
      <c r="H238" s="13" t="n">
        <v>30</v>
      </c>
      <c r="I238" s="10" t="s">
        <v>50</v>
      </c>
      <c r="J238" s="12"/>
    </row>
    <row r="239" customFormat="false" ht="15" hidden="false" customHeight="false" outlineLevel="0" collapsed="false">
      <c r="A239" s="10"/>
      <c r="B239" s="10"/>
      <c r="C239" s="10"/>
      <c r="D239" s="10"/>
      <c r="E239" s="10"/>
      <c r="F239" s="10"/>
      <c r="G239" s="10"/>
      <c r="H239" s="13" t="n">
        <v>30</v>
      </c>
      <c r="I239" s="10" t="s">
        <v>50</v>
      </c>
      <c r="J239" s="12"/>
    </row>
    <row r="240" customFormat="false" ht="15" hidden="false" customHeight="false" outlineLevel="0" collapsed="false">
      <c r="A240" s="10"/>
      <c r="B240" s="10"/>
      <c r="C240" s="10"/>
      <c r="D240" s="10"/>
      <c r="E240" s="10"/>
      <c r="F240" s="10"/>
      <c r="G240" s="10"/>
      <c r="H240" s="13" t="n">
        <v>30</v>
      </c>
      <c r="I240" s="10" t="s">
        <v>50</v>
      </c>
      <c r="J240" s="12"/>
    </row>
    <row r="241" customFormat="false" ht="15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3" t="n">
        <v>30</v>
      </c>
      <c r="I241" s="10" t="s">
        <v>50</v>
      </c>
      <c r="J241" s="12"/>
    </row>
    <row r="242" customFormat="false" ht="15" hidden="false" customHeight="false" outlineLevel="0" collapsed="false">
      <c r="A242" s="10"/>
      <c r="B242" s="10"/>
      <c r="C242" s="10"/>
      <c r="D242" s="10"/>
      <c r="E242" s="10"/>
      <c r="F242" s="10"/>
      <c r="G242" s="10"/>
      <c r="H242" s="13" t="n">
        <v>30</v>
      </c>
      <c r="I242" s="10" t="s">
        <v>50</v>
      </c>
      <c r="J242" s="12"/>
    </row>
    <row r="243" customFormat="false" ht="15" hidden="false" customHeight="false" outlineLevel="0" collapsed="false">
      <c r="A243" s="10"/>
      <c r="B243" s="10"/>
      <c r="C243" s="10"/>
      <c r="D243" s="10"/>
      <c r="E243" s="10"/>
      <c r="F243" s="10"/>
      <c r="G243" s="10"/>
      <c r="H243" s="13" t="n">
        <v>30</v>
      </c>
      <c r="I243" s="10" t="s">
        <v>50</v>
      </c>
      <c r="J243" s="12"/>
    </row>
    <row r="244" customFormat="false" ht="15" hidden="false" customHeight="false" outlineLevel="0" collapsed="false">
      <c r="A244" s="10"/>
      <c r="B244" s="10"/>
      <c r="C244" s="10"/>
      <c r="D244" s="10"/>
      <c r="E244" s="10"/>
      <c r="F244" s="10"/>
      <c r="G244" s="10"/>
      <c r="H244" s="13" t="n">
        <v>30</v>
      </c>
      <c r="I244" s="10" t="s">
        <v>50</v>
      </c>
      <c r="J244" s="12"/>
    </row>
    <row r="245" customFormat="false" ht="15" hidden="false" customHeight="false" outlineLevel="0" collapsed="false">
      <c r="A245" s="10"/>
      <c r="B245" s="10"/>
      <c r="C245" s="10"/>
      <c r="D245" s="10"/>
      <c r="E245" s="10"/>
      <c r="F245" s="10"/>
      <c r="G245" s="10"/>
      <c r="H245" s="13" t="n">
        <v>30</v>
      </c>
      <c r="I245" s="10" t="s">
        <v>50</v>
      </c>
      <c r="J245" s="12"/>
    </row>
    <row r="246" customFormat="false" ht="15" hidden="false" customHeight="false" outlineLevel="0" collapsed="false">
      <c r="A246" s="10"/>
      <c r="B246" s="10"/>
      <c r="C246" s="10"/>
      <c r="D246" s="10"/>
      <c r="E246" s="10"/>
      <c r="F246" s="10"/>
      <c r="G246" s="10"/>
      <c r="H246" s="13" t="n">
        <v>30</v>
      </c>
      <c r="I246" s="10" t="s">
        <v>50</v>
      </c>
      <c r="J246" s="12"/>
    </row>
    <row r="247" customFormat="false" ht="15" hidden="false" customHeight="false" outlineLevel="0" collapsed="false">
      <c r="A247" s="10"/>
      <c r="B247" s="10"/>
      <c r="C247" s="10"/>
      <c r="D247" s="10"/>
      <c r="E247" s="10"/>
      <c r="F247" s="10"/>
      <c r="G247" s="10"/>
      <c r="H247" s="13" t="n">
        <v>30</v>
      </c>
      <c r="I247" s="10" t="s">
        <v>50</v>
      </c>
      <c r="J247" s="12"/>
    </row>
    <row r="248" customFormat="false" ht="15" hidden="false" customHeight="false" outlineLevel="0" collapsed="false">
      <c r="A248" s="10"/>
      <c r="B248" s="10"/>
      <c r="C248" s="10"/>
      <c r="D248" s="10"/>
      <c r="E248" s="10"/>
      <c r="F248" s="10"/>
      <c r="G248" s="10"/>
      <c r="H248" s="13" t="n">
        <v>30</v>
      </c>
      <c r="I248" s="10" t="s">
        <v>50</v>
      </c>
      <c r="J248" s="12"/>
    </row>
    <row r="249" customFormat="false" ht="15" hidden="false" customHeight="false" outlineLevel="0" collapsed="false">
      <c r="A249" s="10"/>
      <c r="B249" s="10"/>
      <c r="C249" s="10"/>
      <c r="D249" s="10"/>
      <c r="E249" s="10"/>
      <c r="F249" s="10"/>
      <c r="G249" s="10"/>
      <c r="H249" s="13" t="n">
        <v>30</v>
      </c>
      <c r="I249" s="10" t="s">
        <v>50</v>
      </c>
      <c r="J249" s="12"/>
    </row>
    <row r="250" customFormat="false" ht="15" hidden="false" customHeight="false" outlineLevel="0" collapsed="false">
      <c r="A250" s="10"/>
      <c r="B250" s="10"/>
      <c r="C250" s="10"/>
      <c r="D250" s="10"/>
      <c r="E250" s="10"/>
      <c r="F250" s="10"/>
      <c r="G250" s="10"/>
      <c r="H250" s="13" t="n">
        <v>30</v>
      </c>
      <c r="I250" s="10" t="s">
        <v>50</v>
      </c>
      <c r="J250" s="12"/>
    </row>
    <row r="251" customFormat="false" ht="15" hidden="false" customHeight="false" outlineLevel="0" collapsed="false">
      <c r="A251" s="10"/>
      <c r="B251" s="10"/>
      <c r="C251" s="10"/>
      <c r="D251" s="10"/>
      <c r="E251" s="10"/>
      <c r="F251" s="10"/>
      <c r="G251" s="10"/>
      <c r="H251" s="13" t="n">
        <v>30</v>
      </c>
      <c r="I251" s="10" t="s">
        <v>50</v>
      </c>
      <c r="J251" s="12"/>
    </row>
    <row r="252" customFormat="false" ht="15" hidden="false" customHeight="false" outlineLevel="0" collapsed="false">
      <c r="A252" s="10"/>
      <c r="B252" s="10"/>
      <c r="C252" s="10"/>
      <c r="D252" s="10"/>
      <c r="E252" s="10"/>
      <c r="F252" s="10"/>
      <c r="G252" s="10"/>
      <c r="H252" s="13" t="n">
        <v>30</v>
      </c>
      <c r="I252" s="10" t="s">
        <v>50</v>
      </c>
      <c r="J252" s="12"/>
    </row>
    <row r="253" customFormat="false" ht="15" hidden="false" customHeight="false" outlineLevel="0" collapsed="false">
      <c r="A253" s="10"/>
      <c r="B253" s="10"/>
      <c r="C253" s="10"/>
      <c r="D253" s="10"/>
      <c r="E253" s="10"/>
      <c r="F253" s="10"/>
      <c r="G253" s="10"/>
      <c r="H253" s="13" t="n">
        <v>30</v>
      </c>
      <c r="I253" s="10" t="s">
        <v>50</v>
      </c>
      <c r="J253" s="12"/>
    </row>
    <row r="254" customFormat="false" ht="15" hidden="false" customHeight="false" outlineLevel="0" collapsed="false">
      <c r="A254" s="10"/>
      <c r="B254" s="10"/>
      <c r="C254" s="10"/>
      <c r="D254" s="10"/>
      <c r="E254" s="10"/>
      <c r="F254" s="10"/>
      <c r="G254" s="10"/>
      <c r="H254" s="13" t="n">
        <v>30</v>
      </c>
      <c r="I254" s="10" t="s">
        <v>50</v>
      </c>
      <c r="J254" s="12"/>
    </row>
    <row r="255" customFormat="false" ht="15" hidden="false" customHeight="false" outlineLevel="0" collapsed="false">
      <c r="A255" s="10"/>
      <c r="B255" s="10"/>
      <c r="C255" s="10"/>
      <c r="D255" s="10"/>
      <c r="E255" s="10"/>
      <c r="F255" s="10"/>
      <c r="G255" s="10"/>
      <c r="H255" s="13" t="n">
        <v>30</v>
      </c>
      <c r="I255" s="10" t="s">
        <v>50</v>
      </c>
      <c r="J255" s="12"/>
    </row>
    <row r="256" customFormat="false" ht="15" hidden="false" customHeight="false" outlineLevel="0" collapsed="false">
      <c r="A256" s="10"/>
      <c r="B256" s="10"/>
      <c r="C256" s="10"/>
      <c r="D256" s="10"/>
      <c r="E256" s="10"/>
      <c r="F256" s="10"/>
      <c r="G256" s="10"/>
      <c r="H256" s="13" t="n">
        <v>30</v>
      </c>
      <c r="I256" s="10" t="s">
        <v>50</v>
      </c>
      <c r="J256" s="12"/>
    </row>
    <row r="257" customFormat="false" ht="15" hidden="false" customHeight="false" outlineLevel="0" collapsed="false">
      <c r="A257" s="10"/>
      <c r="B257" s="10"/>
      <c r="C257" s="10"/>
      <c r="D257" s="10"/>
      <c r="E257" s="10"/>
      <c r="F257" s="10"/>
      <c r="G257" s="10"/>
      <c r="H257" s="13" t="n">
        <v>30</v>
      </c>
      <c r="I257" s="10" t="s">
        <v>50</v>
      </c>
      <c r="J257" s="12"/>
    </row>
    <row r="258" customFormat="false" ht="15" hidden="false" customHeight="false" outlineLevel="0" collapsed="false">
      <c r="A258" s="10"/>
      <c r="B258" s="10"/>
      <c r="C258" s="10"/>
      <c r="D258" s="10"/>
      <c r="E258" s="10"/>
      <c r="F258" s="10"/>
      <c r="G258" s="10"/>
      <c r="H258" s="13" t="n">
        <v>30</v>
      </c>
      <c r="I258" s="10" t="s">
        <v>50</v>
      </c>
      <c r="J258" s="12"/>
    </row>
    <row r="259" customFormat="false" ht="15" hidden="false" customHeight="false" outlineLevel="0" collapsed="false">
      <c r="A259" s="10"/>
      <c r="B259" s="10"/>
      <c r="C259" s="10"/>
      <c r="D259" s="10"/>
      <c r="E259" s="10"/>
      <c r="F259" s="10"/>
      <c r="G259" s="10"/>
      <c r="H259" s="13" t="n">
        <v>30</v>
      </c>
      <c r="I259" s="10" t="s">
        <v>50</v>
      </c>
      <c r="J259" s="12"/>
    </row>
    <row r="260" customFormat="false" ht="15" hidden="false" customHeight="false" outlineLevel="0" collapsed="false">
      <c r="A260" s="10"/>
      <c r="B260" s="10"/>
      <c r="C260" s="10"/>
      <c r="D260" s="10"/>
      <c r="E260" s="10"/>
      <c r="F260" s="10"/>
      <c r="G260" s="10"/>
      <c r="H260" s="13" t="n">
        <v>30</v>
      </c>
      <c r="I260" s="10" t="s">
        <v>50</v>
      </c>
      <c r="J260" s="12"/>
    </row>
    <row r="261" customFormat="false" ht="15" hidden="false" customHeight="false" outlineLevel="0" collapsed="false">
      <c r="A261" s="10"/>
      <c r="B261" s="10"/>
      <c r="C261" s="10"/>
      <c r="D261" s="10"/>
      <c r="E261" s="10"/>
      <c r="F261" s="10"/>
      <c r="G261" s="10"/>
      <c r="H261" s="13" t="n">
        <v>30</v>
      </c>
      <c r="I261" s="10" t="s">
        <v>50</v>
      </c>
      <c r="J261" s="12"/>
    </row>
    <row r="262" customFormat="false" ht="15" hidden="false" customHeight="false" outlineLevel="0" collapsed="false">
      <c r="A262" s="10"/>
      <c r="B262" s="10"/>
      <c r="C262" s="10"/>
      <c r="D262" s="10"/>
      <c r="E262" s="10"/>
      <c r="F262" s="10"/>
      <c r="G262" s="10"/>
      <c r="H262" s="13" t="n">
        <v>30</v>
      </c>
      <c r="I262" s="10" t="s">
        <v>50</v>
      </c>
      <c r="J262" s="12"/>
    </row>
    <row r="263" customFormat="false" ht="15" hidden="false" customHeight="false" outlineLevel="0" collapsed="false">
      <c r="A263" s="10"/>
      <c r="B263" s="10"/>
      <c r="C263" s="10"/>
      <c r="D263" s="10"/>
      <c r="E263" s="10"/>
      <c r="F263" s="10"/>
      <c r="G263" s="10"/>
      <c r="H263" s="13" t="n">
        <v>30</v>
      </c>
      <c r="I263" s="10" t="s">
        <v>50</v>
      </c>
      <c r="J263" s="12"/>
    </row>
    <row r="264" customFormat="false" ht="15" hidden="false" customHeight="false" outlineLevel="0" collapsed="false">
      <c r="A264" s="10"/>
      <c r="B264" s="10"/>
      <c r="C264" s="10"/>
      <c r="D264" s="10"/>
      <c r="E264" s="10"/>
      <c r="F264" s="10"/>
      <c r="G264" s="10"/>
      <c r="H264" s="13" t="n">
        <v>30</v>
      </c>
      <c r="I264" s="10" t="s">
        <v>50</v>
      </c>
      <c r="J264" s="12"/>
    </row>
    <row r="265" customFormat="false" ht="15" hidden="false" customHeight="false" outlineLevel="0" collapsed="false">
      <c r="A265" s="10"/>
      <c r="B265" s="10"/>
      <c r="C265" s="10"/>
      <c r="D265" s="10"/>
      <c r="E265" s="10"/>
      <c r="F265" s="10"/>
      <c r="G265" s="10"/>
      <c r="H265" s="13" t="n">
        <v>30</v>
      </c>
      <c r="I265" s="10" t="s">
        <v>50</v>
      </c>
      <c r="J265" s="12"/>
    </row>
    <row r="266" customFormat="false" ht="15" hidden="false" customHeight="false" outlineLevel="0" collapsed="false">
      <c r="A266" s="10"/>
      <c r="B266" s="10"/>
      <c r="C266" s="10"/>
      <c r="D266" s="10"/>
      <c r="E266" s="10"/>
      <c r="F266" s="10"/>
      <c r="G266" s="10"/>
      <c r="H266" s="13" t="n">
        <v>30</v>
      </c>
      <c r="I266" s="10" t="s">
        <v>50</v>
      </c>
      <c r="J266" s="12"/>
    </row>
    <row r="267" customFormat="false" ht="15" hidden="false" customHeight="false" outlineLevel="0" collapsed="false">
      <c r="A267" s="10"/>
      <c r="B267" s="10"/>
      <c r="C267" s="10"/>
      <c r="D267" s="10"/>
      <c r="E267" s="10"/>
      <c r="F267" s="10"/>
      <c r="G267" s="10"/>
      <c r="H267" s="13" t="n">
        <v>30</v>
      </c>
      <c r="I267" s="10" t="s">
        <v>50</v>
      </c>
      <c r="J267" s="12"/>
    </row>
    <row r="268" customFormat="false" ht="15" hidden="false" customHeight="false" outlineLevel="0" collapsed="false">
      <c r="A268" s="10"/>
      <c r="B268" s="10"/>
      <c r="C268" s="10"/>
      <c r="D268" s="10"/>
      <c r="E268" s="10"/>
      <c r="F268" s="10"/>
      <c r="G268" s="10"/>
      <c r="H268" s="13" t="n">
        <v>30</v>
      </c>
      <c r="I268" s="10" t="s">
        <v>50</v>
      </c>
      <c r="J268" s="12"/>
    </row>
    <row r="269" customFormat="false" ht="15" hidden="false" customHeight="false" outlineLevel="0" collapsed="false">
      <c r="A269" s="10"/>
      <c r="B269" s="10"/>
      <c r="C269" s="10"/>
      <c r="D269" s="10"/>
      <c r="E269" s="10"/>
      <c r="F269" s="10"/>
      <c r="G269" s="10"/>
      <c r="H269" s="13" t="n">
        <v>30</v>
      </c>
      <c r="I269" s="10" t="s">
        <v>50</v>
      </c>
      <c r="J269" s="12"/>
    </row>
    <row r="270" customFormat="false" ht="15" hidden="false" customHeight="false" outlineLevel="0" collapsed="false">
      <c r="A270" s="10"/>
      <c r="B270" s="10"/>
      <c r="C270" s="10"/>
      <c r="D270" s="10"/>
      <c r="E270" s="10"/>
      <c r="F270" s="10"/>
      <c r="G270" s="10"/>
      <c r="H270" s="13" t="n">
        <v>30</v>
      </c>
      <c r="I270" s="10" t="s">
        <v>50</v>
      </c>
      <c r="J270" s="12"/>
    </row>
    <row r="271" customFormat="false" ht="15" hidden="false" customHeight="false" outlineLevel="0" collapsed="false">
      <c r="A271" s="10"/>
      <c r="B271" s="10"/>
      <c r="C271" s="10"/>
      <c r="D271" s="10"/>
      <c r="E271" s="10"/>
      <c r="F271" s="10"/>
      <c r="G271" s="10"/>
      <c r="H271" s="13" t="n">
        <v>30</v>
      </c>
      <c r="I271" s="10" t="s">
        <v>50</v>
      </c>
      <c r="J271" s="12"/>
    </row>
    <row r="272" customFormat="false" ht="15" hidden="false" customHeight="false" outlineLevel="0" collapsed="false">
      <c r="A272" s="10"/>
      <c r="B272" s="10"/>
      <c r="C272" s="10"/>
      <c r="D272" s="10"/>
      <c r="E272" s="10"/>
      <c r="F272" s="10"/>
      <c r="G272" s="10"/>
      <c r="H272" s="13" t="n">
        <v>30</v>
      </c>
      <c r="I272" s="10" t="s">
        <v>50</v>
      </c>
      <c r="J272" s="12"/>
    </row>
    <row r="273" customFormat="false" ht="15" hidden="false" customHeight="false" outlineLevel="0" collapsed="false">
      <c r="A273" s="10"/>
      <c r="B273" s="10"/>
      <c r="C273" s="10"/>
      <c r="D273" s="10"/>
      <c r="E273" s="10"/>
      <c r="F273" s="10"/>
      <c r="G273" s="10"/>
      <c r="H273" s="13" t="n">
        <v>30</v>
      </c>
      <c r="I273" s="10" t="s">
        <v>50</v>
      </c>
      <c r="J273" s="12"/>
    </row>
    <row r="274" customFormat="false" ht="15" hidden="false" customHeight="false" outlineLevel="0" collapsed="false">
      <c r="A274" s="10"/>
      <c r="B274" s="10"/>
      <c r="C274" s="10"/>
      <c r="D274" s="10"/>
      <c r="E274" s="10"/>
      <c r="F274" s="10"/>
      <c r="G274" s="10"/>
      <c r="H274" s="13" t="n">
        <v>30</v>
      </c>
      <c r="I274" s="10" t="s">
        <v>50</v>
      </c>
      <c r="J274" s="12"/>
    </row>
    <row r="275" customFormat="false" ht="15" hidden="false" customHeight="false" outlineLevel="0" collapsed="false">
      <c r="A275" s="10"/>
      <c r="B275" s="10"/>
      <c r="C275" s="10"/>
      <c r="D275" s="10"/>
      <c r="E275" s="10"/>
      <c r="F275" s="10"/>
      <c r="G275" s="10"/>
      <c r="H275" s="13" t="n">
        <v>30</v>
      </c>
      <c r="I275" s="10" t="s">
        <v>50</v>
      </c>
      <c r="J275" s="12"/>
    </row>
    <row r="276" customFormat="false" ht="15" hidden="false" customHeight="false" outlineLevel="0" collapsed="false">
      <c r="A276" s="10"/>
      <c r="B276" s="10"/>
      <c r="C276" s="10"/>
      <c r="D276" s="10"/>
      <c r="E276" s="10"/>
      <c r="F276" s="10"/>
      <c r="G276" s="10"/>
      <c r="H276" s="13" t="n">
        <v>30</v>
      </c>
      <c r="I276" s="10" t="s">
        <v>50</v>
      </c>
      <c r="J276" s="12"/>
    </row>
    <row r="277" customFormat="false" ht="15" hidden="false" customHeight="false" outlineLevel="0" collapsed="false">
      <c r="A277" s="10"/>
      <c r="B277" s="10"/>
      <c r="C277" s="10"/>
      <c r="D277" s="10"/>
      <c r="E277" s="10"/>
      <c r="F277" s="10"/>
      <c r="G277" s="10"/>
      <c r="H277" s="13" t="n">
        <v>30</v>
      </c>
      <c r="I277" s="10" t="s">
        <v>50</v>
      </c>
      <c r="J277" s="12"/>
    </row>
    <row r="278" customFormat="false" ht="15" hidden="false" customHeight="false" outlineLevel="0" collapsed="false">
      <c r="A278" s="10"/>
      <c r="B278" s="10"/>
      <c r="C278" s="10"/>
      <c r="D278" s="10"/>
      <c r="E278" s="10"/>
      <c r="F278" s="10"/>
      <c r="G278" s="10"/>
      <c r="H278" s="13" t="n">
        <v>30</v>
      </c>
      <c r="I278" s="10" t="s">
        <v>50</v>
      </c>
      <c r="J278" s="12"/>
    </row>
    <row r="279" customFormat="false" ht="15" hidden="false" customHeight="false" outlineLevel="0" collapsed="false">
      <c r="A279" s="10"/>
      <c r="B279" s="10"/>
      <c r="C279" s="10"/>
      <c r="D279" s="10"/>
      <c r="E279" s="10"/>
      <c r="F279" s="10"/>
      <c r="G279" s="10"/>
      <c r="H279" s="13" t="n">
        <v>30</v>
      </c>
      <c r="I279" s="10" t="s">
        <v>50</v>
      </c>
      <c r="J279" s="12"/>
    </row>
    <row r="280" customFormat="false" ht="15" hidden="false" customHeight="false" outlineLevel="0" collapsed="false">
      <c r="A280" s="10"/>
      <c r="B280" s="10"/>
      <c r="C280" s="10"/>
      <c r="D280" s="10"/>
      <c r="E280" s="10"/>
      <c r="F280" s="10"/>
      <c r="G280" s="10"/>
      <c r="H280" s="13" t="n">
        <v>30</v>
      </c>
      <c r="I280" s="10" t="s">
        <v>50</v>
      </c>
      <c r="J280" s="12"/>
    </row>
    <row r="281" customFormat="false" ht="15" hidden="false" customHeight="false" outlineLevel="0" collapsed="false">
      <c r="A281" s="10"/>
      <c r="B281" s="10"/>
      <c r="C281" s="10"/>
      <c r="D281" s="10"/>
      <c r="E281" s="10"/>
      <c r="F281" s="10"/>
      <c r="G281" s="10"/>
      <c r="H281" s="13" t="n">
        <v>30</v>
      </c>
      <c r="I281" s="10" t="s">
        <v>50</v>
      </c>
      <c r="J281" s="12"/>
    </row>
    <row r="282" customFormat="false" ht="15" hidden="false" customHeight="false" outlineLevel="0" collapsed="false">
      <c r="A282" s="10"/>
      <c r="B282" s="10"/>
      <c r="C282" s="10"/>
      <c r="D282" s="10"/>
      <c r="E282" s="10"/>
      <c r="F282" s="10"/>
      <c r="G282" s="10"/>
      <c r="H282" s="13" t="n">
        <v>30</v>
      </c>
      <c r="I282" s="10" t="s">
        <v>50</v>
      </c>
      <c r="J282" s="12"/>
    </row>
    <row r="283" customFormat="false" ht="15" hidden="false" customHeight="false" outlineLevel="0" collapsed="false">
      <c r="A283" s="10"/>
      <c r="B283" s="10"/>
      <c r="C283" s="10"/>
      <c r="D283" s="10"/>
      <c r="E283" s="10"/>
      <c r="F283" s="10"/>
      <c r="G283" s="10"/>
      <c r="H283" s="13" t="n">
        <v>30</v>
      </c>
      <c r="I283" s="10" t="s">
        <v>50</v>
      </c>
      <c r="J283" s="12"/>
    </row>
    <row r="284" customFormat="false" ht="15" hidden="false" customHeight="false" outlineLevel="0" collapsed="false">
      <c r="A284" s="10"/>
      <c r="B284" s="10"/>
      <c r="C284" s="10"/>
      <c r="D284" s="10"/>
      <c r="E284" s="10"/>
      <c r="F284" s="10"/>
      <c r="G284" s="10"/>
      <c r="H284" s="13" t="n">
        <v>30</v>
      </c>
      <c r="I284" s="10" t="s">
        <v>50</v>
      </c>
      <c r="J284" s="12"/>
    </row>
    <row r="285" customFormat="false" ht="15" hidden="false" customHeight="false" outlineLevel="0" collapsed="false">
      <c r="A285" s="10"/>
      <c r="B285" s="10"/>
      <c r="C285" s="10"/>
      <c r="D285" s="10"/>
      <c r="E285" s="10"/>
      <c r="F285" s="10"/>
      <c r="G285" s="10"/>
      <c r="H285" s="13" t="n">
        <v>30</v>
      </c>
      <c r="I285" s="10" t="s">
        <v>50</v>
      </c>
      <c r="J285" s="12"/>
    </row>
    <row r="286" customFormat="false" ht="15" hidden="false" customHeight="false" outlineLevel="0" collapsed="false">
      <c r="A286" s="10"/>
      <c r="B286" s="10"/>
      <c r="C286" s="10"/>
      <c r="D286" s="10"/>
      <c r="E286" s="10"/>
      <c r="F286" s="10"/>
      <c r="G286" s="10"/>
      <c r="H286" s="13" t="n">
        <v>30</v>
      </c>
      <c r="I286" s="10" t="s">
        <v>50</v>
      </c>
      <c r="J286" s="12"/>
    </row>
    <row r="287" customFormat="false" ht="15" hidden="false" customHeight="false" outlineLevel="0" collapsed="false">
      <c r="A287" s="10"/>
      <c r="B287" s="10"/>
      <c r="C287" s="10"/>
      <c r="D287" s="10"/>
      <c r="E287" s="10"/>
      <c r="F287" s="10"/>
      <c r="G287" s="10"/>
      <c r="H287" s="13" t="n">
        <v>30</v>
      </c>
      <c r="I287" s="10" t="s">
        <v>50</v>
      </c>
      <c r="J287" s="12"/>
    </row>
    <row r="288" customFormat="false" ht="15" hidden="false" customHeight="false" outlineLevel="0" collapsed="false">
      <c r="A288" s="10"/>
      <c r="B288" s="10"/>
      <c r="C288" s="10"/>
      <c r="D288" s="10"/>
      <c r="E288" s="10"/>
      <c r="F288" s="10"/>
      <c r="G288" s="10"/>
      <c r="H288" s="13" t="n">
        <v>30</v>
      </c>
      <c r="I288" s="10" t="s">
        <v>50</v>
      </c>
      <c r="J288" s="12"/>
    </row>
    <row r="289" customFormat="false" ht="15" hidden="false" customHeight="false" outlineLevel="0" collapsed="false">
      <c r="A289" s="10"/>
      <c r="B289" s="10"/>
      <c r="C289" s="10"/>
      <c r="D289" s="10"/>
      <c r="E289" s="10"/>
      <c r="F289" s="10"/>
      <c r="G289" s="10"/>
      <c r="H289" s="13" t="n">
        <v>30</v>
      </c>
      <c r="I289" s="10" t="s">
        <v>50</v>
      </c>
      <c r="J289" s="12"/>
    </row>
    <row r="290" customFormat="false" ht="15" hidden="false" customHeight="false" outlineLevel="0" collapsed="false">
      <c r="A290" s="10"/>
      <c r="B290" s="10"/>
      <c r="C290" s="10"/>
      <c r="D290" s="10"/>
      <c r="E290" s="10"/>
      <c r="F290" s="10"/>
      <c r="G290" s="10"/>
      <c r="H290" s="13" t="n">
        <v>30</v>
      </c>
      <c r="I290" s="10" t="s">
        <v>50</v>
      </c>
      <c r="J290" s="12"/>
    </row>
    <row r="291" customFormat="false" ht="15" hidden="false" customHeight="false" outlineLevel="0" collapsed="false">
      <c r="A291" s="10"/>
      <c r="B291" s="10"/>
      <c r="C291" s="10"/>
      <c r="D291" s="10"/>
      <c r="E291" s="10"/>
      <c r="F291" s="10"/>
      <c r="G291" s="10"/>
      <c r="H291" s="13" t="n">
        <v>30</v>
      </c>
      <c r="I291" s="10" t="s">
        <v>50</v>
      </c>
      <c r="J291" s="12"/>
    </row>
    <row r="292" customFormat="false" ht="15" hidden="false" customHeight="false" outlineLevel="0" collapsed="false">
      <c r="A292" s="10"/>
      <c r="B292" s="10"/>
      <c r="C292" s="10"/>
      <c r="D292" s="10"/>
      <c r="E292" s="10"/>
      <c r="F292" s="10"/>
      <c r="G292" s="10"/>
      <c r="H292" s="13" t="n">
        <v>30</v>
      </c>
      <c r="I292" s="10" t="s">
        <v>50</v>
      </c>
      <c r="J292" s="12"/>
    </row>
    <row r="293" customFormat="false" ht="15" hidden="false" customHeight="false" outlineLevel="0" collapsed="false">
      <c r="A293" s="10"/>
      <c r="B293" s="10"/>
      <c r="C293" s="10"/>
      <c r="D293" s="10"/>
      <c r="E293" s="10"/>
      <c r="F293" s="10"/>
      <c r="G293" s="10"/>
      <c r="H293" s="13" t="n">
        <v>30</v>
      </c>
      <c r="I293" s="10" t="s">
        <v>50</v>
      </c>
      <c r="J293" s="12"/>
    </row>
    <row r="294" customFormat="false" ht="15" hidden="false" customHeight="false" outlineLevel="0" collapsed="false">
      <c r="A294" s="10"/>
      <c r="B294" s="10"/>
      <c r="C294" s="10"/>
      <c r="D294" s="10"/>
      <c r="E294" s="10"/>
      <c r="F294" s="10"/>
      <c r="G294" s="10"/>
      <c r="H294" s="13" t="n">
        <v>30</v>
      </c>
      <c r="I294" s="10" t="s">
        <v>50</v>
      </c>
      <c r="J294" s="12"/>
    </row>
    <row r="295" customFormat="false" ht="15" hidden="false" customHeight="false" outlineLevel="0" collapsed="false">
      <c r="A295" s="10"/>
      <c r="B295" s="10"/>
      <c r="C295" s="10"/>
      <c r="D295" s="10"/>
      <c r="E295" s="10"/>
      <c r="F295" s="10"/>
      <c r="G295" s="10"/>
      <c r="H295" s="13" t="n">
        <v>30</v>
      </c>
      <c r="I295" s="10" t="s">
        <v>50</v>
      </c>
      <c r="J295" s="12"/>
    </row>
    <row r="296" customFormat="false" ht="15" hidden="false" customHeight="false" outlineLevel="0" collapsed="false">
      <c r="A296" s="10"/>
      <c r="B296" s="10"/>
      <c r="C296" s="10"/>
      <c r="D296" s="10"/>
      <c r="E296" s="10"/>
      <c r="F296" s="10"/>
      <c r="G296" s="10"/>
      <c r="H296" s="13" t="n">
        <v>30</v>
      </c>
      <c r="I296" s="10" t="s">
        <v>50</v>
      </c>
      <c r="J296" s="12"/>
    </row>
    <row r="297" customFormat="false" ht="15" hidden="false" customHeight="false" outlineLevel="0" collapsed="false">
      <c r="A297" s="10"/>
      <c r="B297" s="10"/>
      <c r="C297" s="10"/>
      <c r="D297" s="10"/>
      <c r="E297" s="10"/>
      <c r="F297" s="10"/>
      <c r="G297" s="10"/>
      <c r="H297" s="13" t="n">
        <v>30</v>
      </c>
      <c r="I297" s="10" t="s">
        <v>50</v>
      </c>
      <c r="J297" s="12"/>
    </row>
    <row r="298" customFormat="false" ht="15" hidden="false" customHeight="false" outlineLevel="0" collapsed="false">
      <c r="A298" s="10"/>
      <c r="B298" s="10"/>
      <c r="C298" s="10"/>
      <c r="D298" s="10"/>
      <c r="E298" s="10"/>
      <c r="F298" s="10"/>
      <c r="G298" s="10"/>
      <c r="H298" s="13" t="n">
        <v>30</v>
      </c>
      <c r="I298" s="10" t="s">
        <v>50</v>
      </c>
      <c r="J298" s="12"/>
    </row>
    <row r="299" customFormat="false" ht="15" hidden="false" customHeight="false" outlineLevel="0" collapsed="false">
      <c r="A299" s="10"/>
      <c r="B299" s="10"/>
      <c r="C299" s="10"/>
      <c r="D299" s="10"/>
      <c r="E299" s="10"/>
      <c r="F299" s="10"/>
      <c r="G299" s="10"/>
      <c r="H299" s="13" t="n">
        <v>30</v>
      </c>
      <c r="I299" s="10" t="s">
        <v>50</v>
      </c>
      <c r="J299" s="12"/>
    </row>
    <row r="300" customFormat="false" ht="15" hidden="false" customHeight="false" outlineLevel="0" collapsed="false">
      <c r="A300" s="10"/>
      <c r="B300" s="10"/>
      <c r="C300" s="10"/>
      <c r="D300" s="10"/>
      <c r="E300" s="10"/>
      <c r="F300" s="10"/>
      <c r="G300" s="10"/>
      <c r="H300" s="13" t="n">
        <v>30</v>
      </c>
      <c r="I300" s="10" t="s">
        <v>50</v>
      </c>
      <c r="J300" s="12"/>
    </row>
    <row r="301" customFormat="false" ht="15" hidden="false" customHeight="false" outlineLevel="0" collapsed="false">
      <c r="A301" s="10"/>
      <c r="B301" s="10"/>
      <c r="C301" s="10"/>
      <c r="D301" s="10"/>
      <c r="E301" s="10"/>
      <c r="F301" s="10"/>
      <c r="G301" s="10"/>
      <c r="H301" s="13" t="n">
        <v>30</v>
      </c>
      <c r="I301" s="10" t="s">
        <v>50</v>
      </c>
      <c r="J301" s="12"/>
    </row>
    <row r="302" customFormat="false" ht="15" hidden="false" customHeight="false" outlineLevel="0" collapsed="false">
      <c r="A302" s="10"/>
      <c r="B302" s="10"/>
      <c r="C302" s="10"/>
      <c r="D302" s="10"/>
      <c r="E302" s="10"/>
      <c r="F302" s="10"/>
      <c r="G302" s="10"/>
      <c r="H302" s="13" t="n">
        <v>30</v>
      </c>
      <c r="I302" s="10" t="s">
        <v>50</v>
      </c>
      <c r="J302" s="12"/>
    </row>
    <row r="303" customFormat="false" ht="15" hidden="false" customHeight="false" outlineLevel="0" collapsed="false">
      <c r="A303" s="10"/>
      <c r="B303" s="10"/>
      <c r="C303" s="10"/>
      <c r="D303" s="10"/>
      <c r="E303" s="10"/>
      <c r="F303" s="10"/>
      <c r="G303" s="10"/>
      <c r="H303" s="13" t="n">
        <v>30</v>
      </c>
      <c r="I303" s="10" t="s">
        <v>50</v>
      </c>
      <c r="J303" s="12"/>
    </row>
    <row r="304" customFormat="false" ht="15" hidden="false" customHeight="false" outlineLevel="0" collapsed="false">
      <c r="A304" s="10"/>
      <c r="B304" s="10"/>
      <c r="C304" s="10"/>
      <c r="D304" s="10"/>
      <c r="E304" s="10"/>
      <c r="F304" s="10"/>
      <c r="G304" s="10"/>
      <c r="H304" s="13" t="n">
        <v>30</v>
      </c>
      <c r="I304" s="10" t="s">
        <v>50</v>
      </c>
      <c r="J304" s="12"/>
    </row>
    <row r="305" customFormat="false" ht="15" hidden="false" customHeight="false" outlineLevel="0" collapsed="false">
      <c r="A305" s="10"/>
      <c r="B305" s="10"/>
      <c r="C305" s="10"/>
      <c r="D305" s="10"/>
      <c r="E305" s="10"/>
      <c r="F305" s="10"/>
      <c r="G305" s="10"/>
      <c r="H305" s="13" t="n">
        <v>30</v>
      </c>
      <c r="I305" s="10" t="s">
        <v>50</v>
      </c>
      <c r="J305" s="12"/>
    </row>
    <row r="306" customFormat="false" ht="15" hidden="false" customHeight="false" outlineLevel="0" collapsed="false">
      <c r="A306" s="10"/>
      <c r="B306" s="10"/>
      <c r="C306" s="10"/>
      <c r="D306" s="10"/>
      <c r="E306" s="10"/>
      <c r="F306" s="10"/>
      <c r="G306" s="10"/>
      <c r="H306" s="13" t="n">
        <v>30</v>
      </c>
      <c r="I306" s="10" t="s">
        <v>50</v>
      </c>
      <c r="J306" s="12"/>
    </row>
    <row r="307" customFormat="false" ht="15" hidden="false" customHeight="false" outlineLevel="0" collapsed="false">
      <c r="A307" s="10"/>
      <c r="B307" s="10"/>
      <c r="C307" s="10"/>
      <c r="D307" s="10"/>
      <c r="E307" s="10"/>
      <c r="F307" s="10"/>
      <c r="G307" s="10"/>
      <c r="H307" s="13" t="n">
        <v>30</v>
      </c>
      <c r="I307" s="10" t="s">
        <v>50</v>
      </c>
      <c r="J307" s="12"/>
    </row>
    <row r="308" customFormat="false" ht="15" hidden="false" customHeight="false" outlineLevel="0" collapsed="false">
      <c r="A308" s="10"/>
      <c r="B308" s="10"/>
      <c r="C308" s="10"/>
      <c r="D308" s="10"/>
      <c r="E308" s="10"/>
      <c r="F308" s="10"/>
      <c r="G308" s="10"/>
      <c r="H308" s="13" t="n">
        <v>30</v>
      </c>
      <c r="I308" s="10" t="s">
        <v>50</v>
      </c>
      <c r="J308" s="12"/>
    </row>
    <row r="309" customFormat="false" ht="15" hidden="false" customHeight="false" outlineLevel="0" collapsed="false">
      <c r="A309" s="10"/>
      <c r="B309" s="10"/>
      <c r="C309" s="10"/>
      <c r="D309" s="10"/>
      <c r="E309" s="10"/>
      <c r="F309" s="10"/>
      <c r="G309" s="10"/>
      <c r="H309" s="13" t="n">
        <v>30</v>
      </c>
      <c r="I309" s="10" t="s">
        <v>50</v>
      </c>
      <c r="J309" s="12"/>
    </row>
    <row r="310" customFormat="false" ht="15" hidden="false" customHeight="false" outlineLevel="0" collapsed="false">
      <c r="A310" s="10"/>
      <c r="B310" s="10"/>
      <c r="C310" s="10"/>
      <c r="D310" s="10"/>
      <c r="E310" s="10"/>
      <c r="F310" s="10"/>
      <c r="G310" s="10"/>
      <c r="H310" s="13" t="n">
        <v>30</v>
      </c>
      <c r="I310" s="10" t="s">
        <v>50</v>
      </c>
      <c r="J310" s="12"/>
    </row>
    <row r="311" customFormat="false" ht="15" hidden="false" customHeight="false" outlineLevel="0" collapsed="false">
      <c r="A311" s="10"/>
      <c r="B311" s="10"/>
      <c r="C311" s="10"/>
      <c r="D311" s="10"/>
      <c r="E311" s="10"/>
      <c r="F311" s="10"/>
      <c r="G311" s="10"/>
      <c r="H311" s="13" t="n">
        <v>30</v>
      </c>
      <c r="I311" s="10" t="s">
        <v>50</v>
      </c>
      <c r="J311" s="12"/>
    </row>
    <row r="312" customFormat="false" ht="15" hidden="false" customHeight="false" outlineLevel="0" collapsed="false">
      <c r="A312" s="10"/>
      <c r="B312" s="10"/>
      <c r="C312" s="10"/>
      <c r="D312" s="10"/>
      <c r="E312" s="10"/>
      <c r="F312" s="10"/>
      <c r="G312" s="10"/>
      <c r="H312" s="13" t="n">
        <v>30</v>
      </c>
      <c r="I312" s="10" t="s">
        <v>50</v>
      </c>
      <c r="J312" s="12"/>
    </row>
    <row r="313" customFormat="false" ht="15" hidden="false" customHeight="false" outlineLevel="0" collapsed="false">
      <c r="A313" s="10"/>
      <c r="B313" s="10"/>
      <c r="C313" s="10"/>
      <c r="D313" s="10"/>
      <c r="E313" s="10"/>
      <c r="F313" s="10"/>
      <c r="G313" s="10"/>
      <c r="H313" s="13" t="n">
        <v>30</v>
      </c>
      <c r="I313" s="10" t="s">
        <v>50</v>
      </c>
      <c r="J313" s="12"/>
    </row>
    <row r="314" customFormat="false" ht="15" hidden="false" customHeight="false" outlineLevel="0" collapsed="false">
      <c r="A314" s="10"/>
      <c r="B314" s="10"/>
      <c r="C314" s="10"/>
      <c r="D314" s="10"/>
      <c r="E314" s="10"/>
      <c r="F314" s="10"/>
      <c r="G314" s="10"/>
      <c r="H314" s="13" t="n">
        <v>30</v>
      </c>
      <c r="I314" s="10" t="s">
        <v>50</v>
      </c>
      <c r="J314" s="12"/>
    </row>
    <row r="315" customFormat="false" ht="15" hidden="false" customHeight="false" outlineLevel="0" collapsed="false">
      <c r="A315" s="10"/>
      <c r="B315" s="10"/>
      <c r="C315" s="10"/>
      <c r="D315" s="10"/>
      <c r="E315" s="10"/>
      <c r="F315" s="10"/>
      <c r="G315" s="10"/>
      <c r="H315" s="13" t="n">
        <v>30</v>
      </c>
      <c r="I315" s="10" t="s">
        <v>50</v>
      </c>
      <c r="J315" s="12"/>
    </row>
    <row r="316" customFormat="false" ht="15" hidden="false" customHeight="false" outlineLevel="0" collapsed="false">
      <c r="A316" s="10"/>
      <c r="B316" s="10"/>
      <c r="C316" s="10"/>
      <c r="D316" s="10"/>
      <c r="E316" s="10"/>
      <c r="F316" s="10"/>
      <c r="G316" s="10"/>
      <c r="H316" s="13" t="n">
        <v>30</v>
      </c>
      <c r="I316" s="10" t="s">
        <v>50</v>
      </c>
      <c r="J316" s="12"/>
    </row>
    <row r="317" customFormat="false" ht="15" hidden="false" customHeight="false" outlineLevel="0" collapsed="false">
      <c r="A317" s="10"/>
      <c r="B317" s="10"/>
      <c r="C317" s="10"/>
      <c r="D317" s="10"/>
      <c r="E317" s="10"/>
      <c r="F317" s="10"/>
      <c r="G317" s="10"/>
      <c r="H317" s="13" t="n">
        <v>30</v>
      </c>
      <c r="I317" s="10" t="s">
        <v>50</v>
      </c>
      <c r="J317" s="12"/>
    </row>
    <row r="318" customFormat="false" ht="15" hidden="false" customHeight="false" outlineLevel="0" collapsed="false">
      <c r="A318" s="10"/>
      <c r="B318" s="10"/>
      <c r="C318" s="10"/>
      <c r="D318" s="10"/>
      <c r="E318" s="10"/>
      <c r="F318" s="10"/>
      <c r="G318" s="10"/>
      <c r="H318" s="13" t="n">
        <v>30</v>
      </c>
      <c r="I318" s="10" t="s">
        <v>50</v>
      </c>
      <c r="J318" s="12"/>
    </row>
    <row r="319" customFormat="false" ht="15" hidden="false" customHeight="false" outlineLevel="0" collapsed="false">
      <c r="A319" s="10"/>
      <c r="B319" s="10"/>
      <c r="C319" s="10"/>
      <c r="D319" s="10"/>
      <c r="E319" s="10"/>
      <c r="F319" s="10"/>
      <c r="G319" s="10"/>
      <c r="H319" s="13" t="n">
        <v>30</v>
      </c>
      <c r="I319" s="10" t="s">
        <v>50</v>
      </c>
      <c r="J319" s="12"/>
    </row>
    <row r="320" customFormat="false" ht="15" hidden="false" customHeight="false" outlineLevel="0" collapsed="false">
      <c r="A320" s="10"/>
      <c r="B320" s="10"/>
      <c r="C320" s="10"/>
      <c r="D320" s="10"/>
      <c r="E320" s="10"/>
      <c r="F320" s="10"/>
      <c r="G320" s="10"/>
      <c r="H320" s="13" t="n">
        <v>30</v>
      </c>
      <c r="I320" s="10" t="s">
        <v>50</v>
      </c>
      <c r="J320" s="12"/>
    </row>
    <row r="321" customFormat="false" ht="15" hidden="false" customHeight="false" outlineLevel="0" collapsed="false">
      <c r="A321" s="10"/>
      <c r="B321" s="10"/>
      <c r="C321" s="10"/>
      <c r="D321" s="10"/>
      <c r="E321" s="10"/>
      <c r="F321" s="10"/>
      <c r="G321" s="10"/>
      <c r="H321" s="13" t="n">
        <v>30</v>
      </c>
      <c r="I321" s="10" t="s">
        <v>50</v>
      </c>
      <c r="J321" s="12"/>
    </row>
    <row r="322" customFormat="false" ht="15" hidden="false" customHeight="false" outlineLevel="0" collapsed="false">
      <c r="A322" s="10"/>
      <c r="B322" s="10"/>
      <c r="C322" s="10"/>
      <c r="D322" s="10"/>
      <c r="E322" s="10"/>
      <c r="F322" s="10"/>
      <c r="G322" s="10"/>
      <c r="H322" s="13" t="n">
        <v>30</v>
      </c>
      <c r="I322" s="10" t="s">
        <v>50</v>
      </c>
      <c r="J322" s="12"/>
    </row>
    <row r="323" customFormat="false" ht="15" hidden="false" customHeight="false" outlineLevel="0" collapsed="false">
      <c r="A323" s="10"/>
      <c r="B323" s="10"/>
      <c r="C323" s="10"/>
      <c r="D323" s="10"/>
      <c r="E323" s="10"/>
      <c r="F323" s="10"/>
      <c r="G323" s="10"/>
      <c r="H323" s="13" t="n">
        <v>30</v>
      </c>
      <c r="I323" s="10" t="s">
        <v>50</v>
      </c>
      <c r="J323" s="12"/>
    </row>
    <row r="324" customFormat="false" ht="15" hidden="false" customHeight="false" outlineLevel="0" collapsed="false">
      <c r="A324" s="10"/>
      <c r="B324" s="10"/>
      <c r="C324" s="10"/>
      <c r="D324" s="10"/>
      <c r="E324" s="10"/>
      <c r="F324" s="10"/>
      <c r="G324" s="10"/>
      <c r="H324" s="13" t="n">
        <v>30</v>
      </c>
      <c r="I324" s="10" t="s">
        <v>50</v>
      </c>
      <c r="J324" s="12"/>
    </row>
    <row r="325" customFormat="false" ht="15" hidden="false" customHeight="false" outlineLevel="0" collapsed="false">
      <c r="A325" s="10"/>
      <c r="B325" s="10"/>
      <c r="C325" s="10"/>
      <c r="D325" s="10"/>
      <c r="E325" s="10"/>
      <c r="F325" s="10"/>
      <c r="G325" s="10"/>
      <c r="H325" s="13" t="n">
        <v>30</v>
      </c>
      <c r="I325" s="10" t="s">
        <v>50</v>
      </c>
      <c r="J325" s="12"/>
    </row>
    <row r="326" customFormat="false" ht="15" hidden="false" customHeight="false" outlineLevel="0" collapsed="false">
      <c r="A326" s="10"/>
      <c r="B326" s="10"/>
      <c r="C326" s="10"/>
      <c r="D326" s="10"/>
      <c r="E326" s="10"/>
      <c r="F326" s="10"/>
      <c r="G326" s="10"/>
      <c r="H326" s="13" t="n">
        <v>30</v>
      </c>
      <c r="I326" s="10" t="s">
        <v>50</v>
      </c>
      <c r="J326" s="12"/>
    </row>
    <row r="327" customFormat="false" ht="15" hidden="false" customHeight="false" outlineLevel="0" collapsed="false">
      <c r="A327" s="10"/>
      <c r="B327" s="10"/>
      <c r="C327" s="10"/>
      <c r="D327" s="10"/>
      <c r="E327" s="10"/>
      <c r="F327" s="10"/>
      <c r="G327" s="10"/>
      <c r="H327" s="13" t="n">
        <v>30</v>
      </c>
      <c r="I327" s="10" t="s">
        <v>50</v>
      </c>
      <c r="J327" s="12"/>
    </row>
    <row r="328" customFormat="false" ht="15" hidden="false" customHeight="false" outlineLevel="0" collapsed="false">
      <c r="A328" s="10"/>
      <c r="B328" s="10"/>
      <c r="C328" s="10"/>
      <c r="D328" s="10"/>
      <c r="E328" s="10"/>
      <c r="F328" s="10"/>
      <c r="G328" s="10"/>
      <c r="H328" s="13" t="n">
        <v>30</v>
      </c>
      <c r="I328" s="10" t="s">
        <v>50</v>
      </c>
      <c r="J328" s="12"/>
    </row>
    <row r="329" customFormat="false" ht="15" hidden="false" customHeight="false" outlineLevel="0" collapsed="false">
      <c r="A329" s="10"/>
      <c r="B329" s="10"/>
      <c r="C329" s="10"/>
      <c r="D329" s="10"/>
      <c r="E329" s="10"/>
      <c r="F329" s="10"/>
      <c r="G329" s="10"/>
      <c r="H329" s="13" t="n">
        <v>30</v>
      </c>
      <c r="I329" s="10" t="s">
        <v>50</v>
      </c>
      <c r="J329" s="12"/>
    </row>
    <row r="330" customFormat="false" ht="15" hidden="false" customHeight="false" outlineLevel="0" collapsed="false">
      <c r="A330" s="10"/>
      <c r="B330" s="10"/>
      <c r="C330" s="10"/>
      <c r="D330" s="10"/>
      <c r="E330" s="10"/>
      <c r="F330" s="10"/>
      <c r="G330" s="10"/>
      <c r="H330" s="13" t="n">
        <v>30</v>
      </c>
      <c r="I330" s="10" t="s">
        <v>50</v>
      </c>
      <c r="J330" s="12"/>
    </row>
    <row r="331" customFormat="false" ht="15" hidden="false" customHeight="false" outlineLevel="0" collapsed="false">
      <c r="A331" s="10"/>
      <c r="B331" s="10"/>
      <c r="C331" s="10"/>
      <c r="D331" s="10"/>
      <c r="E331" s="10"/>
      <c r="F331" s="10"/>
      <c r="G331" s="10"/>
      <c r="H331" s="13" t="n">
        <v>30</v>
      </c>
      <c r="I331" s="10" t="s">
        <v>50</v>
      </c>
      <c r="J331" s="12"/>
    </row>
    <row r="332" customFormat="false" ht="15" hidden="false" customHeight="false" outlineLevel="0" collapsed="false">
      <c r="A332" s="10"/>
      <c r="B332" s="10"/>
      <c r="C332" s="10"/>
      <c r="D332" s="10"/>
      <c r="E332" s="10"/>
      <c r="F332" s="10"/>
      <c r="G332" s="10"/>
      <c r="H332" s="13" t="n">
        <v>30</v>
      </c>
      <c r="I332" s="10" t="s">
        <v>50</v>
      </c>
      <c r="J332" s="12"/>
    </row>
    <row r="333" customFormat="false" ht="15" hidden="false" customHeight="false" outlineLevel="0" collapsed="false">
      <c r="A333" s="10"/>
      <c r="B333" s="10"/>
      <c r="C333" s="10"/>
      <c r="D333" s="10"/>
      <c r="E333" s="10"/>
      <c r="F333" s="10"/>
      <c r="G333" s="10"/>
      <c r="H333" s="13" t="n">
        <v>30</v>
      </c>
      <c r="I333" s="10" t="s">
        <v>50</v>
      </c>
      <c r="J333" s="12"/>
    </row>
    <row r="334" customFormat="false" ht="15" hidden="false" customHeight="false" outlineLevel="0" collapsed="false">
      <c r="A334" s="10"/>
      <c r="B334" s="10"/>
      <c r="C334" s="10"/>
      <c r="D334" s="10"/>
      <c r="E334" s="10"/>
      <c r="F334" s="10"/>
      <c r="G334" s="10"/>
      <c r="H334" s="13" t="n">
        <v>30</v>
      </c>
      <c r="I334" s="10" t="s">
        <v>50</v>
      </c>
      <c r="J334" s="12"/>
    </row>
    <row r="335" customFormat="false" ht="15" hidden="false" customHeight="false" outlineLevel="0" collapsed="false">
      <c r="A335" s="10"/>
      <c r="B335" s="10"/>
      <c r="C335" s="10"/>
      <c r="D335" s="10"/>
      <c r="E335" s="10"/>
      <c r="F335" s="10"/>
      <c r="G335" s="10"/>
      <c r="H335" s="13" t="n">
        <v>30</v>
      </c>
      <c r="I335" s="10" t="s">
        <v>50</v>
      </c>
      <c r="J335" s="12"/>
    </row>
    <row r="336" customFormat="false" ht="15" hidden="false" customHeight="false" outlineLevel="0" collapsed="false">
      <c r="A336" s="10"/>
      <c r="B336" s="10"/>
      <c r="C336" s="10"/>
      <c r="D336" s="10"/>
      <c r="E336" s="10"/>
      <c r="F336" s="10"/>
      <c r="G336" s="10"/>
      <c r="H336" s="13" t="n">
        <v>30</v>
      </c>
      <c r="I336" s="10" t="s">
        <v>50</v>
      </c>
      <c r="J336" s="12"/>
    </row>
    <row r="337" customFormat="false" ht="15" hidden="false" customHeight="false" outlineLevel="0" collapsed="false">
      <c r="A337" s="10"/>
      <c r="B337" s="10"/>
      <c r="C337" s="10"/>
      <c r="D337" s="10"/>
      <c r="E337" s="10"/>
      <c r="F337" s="10"/>
      <c r="G337" s="10"/>
      <c r="H337" s="13" t="n">
        <v>30</v>
      </c>
      <c r="I337" s="10" t="s">
        <v>50</v>
      </c>
      <c r="J337" s="12"/>
    </row>
    <row r="338" customFormat="false" ht="15" hidden="false" customHeight="false" outlineLevel="0" collapsed="false">
      <c r="A338" s="10"/>
      <c r="B338" s="10"/>
      <c r="C338" s="10"/>
      <c r="D338" s="10"/>
      <c r="E338" s="10"/>
      <c r="F338" s="10"/>
      <c r="G338" s="10"/>
      <c r="H338" s="13" t="n">
        <v>30</v>
      </c>
      <c r="I338" s="10" t="s">
        <v>50</v>
      </c>
      <c r="J338" s="12"/>
    </row>
    <row r="339" customFormat="false" ht="15" hidden="false" customHeight="false" outlineLevel="0" collapsed="false">
      <c r="A339" s="10"/>
      <c r="B339" s="10"/>
      <c r="C339" s="10"/>
      <c r="D339" s="10"/>
      <c r="E339" s="10"/>
      <c r="F339" s="10"/>
      <c r="G339" s="10"/>
      <c r="H339" s="13" t="n">
        <v>30</v>
      </c>
      <c r="I339" s="10" t="s">
        <v>50</v>
      </c>
      <c r="J339" s="12"/>
    </row>
    <row r="340" customFormat="false" ht="15" hidden="false" customHeight="false" outlineLevel="0" collapsed="false">
      <c r="A340" s="10"/>
      <c r="B340" s="10"/>
      <c r="C340" s="10"/>
      <c r="D340" s="10"/>
      <c r="E340" s="10"/>
      <c r="F340" s="10"/>
      <c r="G340" s="10"/>
      <c r="H340" s="13" t="n">
        <v>30</v>
      </c>
      <c r="I340" s="10" t="s">
        <v>50</v>
      </c>
      <c r="J340" s="12"/>
    </row>
    <row r="341" customFormat="false" ht="15" hidden="false" customHeight="false" outlineLevel="0" collapsed="false">
      <c r="A341" s="10"/>
      <c r="B341" s="10"/>
      <c r="C341" s="10"/>
      <c r="D341" s="10"/>
      <c r="E341" s="10"/>
      <c r="F341" s="10"/>
      <c r="G341" s="10"/>
      <c r="H341" s="13" t="n">
        <v>30</v>
      </c>
      <c r="I341" s="10" t="s">
        <v>50</v>
      </c>
      <c r="J341" s="12"/>
    </row>
    <row r="342" customFormat="false" ht="15" hidden="false" customHeight="false" outlineLevel="0" collapsed="false">
      <c r="A342" s="10"/>
      <c r="B342" s="10"/>
      <c r="C342" s="10"/>
      <c r="D342" s="10"/>
      <c r="E342" s="10"/>
      <c r="F342" s="10"/>
      <c r="G342" s="10"/>
      <c r="H342" s="13" t="n">
        <v>30</v>
      </c>
      <c r="I342" s="10" t="s">
        <v>50</v>
      </c>
      <c r="J342" s="12"/>
    </row>
    <row r="343" customFormat="false" ht="15" hidden="false" customHeight="false" outlineLevel="0" collapsed="false">
      <c r="A343" s="10"/>
      <c r="B343" s="10"/>
      <c r="C343" s="10"/>
      <c r="D343" s="10"/>
      <c r="E343" s="10"/>
      <c r="F343" s="10"/>
      <c r="G343" s="10"/>
      <c r="H343" s="13" t="n">
        <v>30</v>
      </c>
      <c r="I343" s="10" t="s">
        <v>50</v>
      </c>
      <c r="J343" s="12"/>
    </row>
    <row r="344" customFormat="false" ht="15" hidden="false" customHeight="false" outlineLevel="0" collapsed="false">
      <c r="A344" s="10"/>
      <c r="B344" s="10"/>
      <c r="C344" s="10"/>
      <c r="D344" s="10"/>
      <c r="E344" s="10"/>
      <c r="F344" s="10"/>
      <c r="G344" s="10"/>
      <c r="H344" s="13" t="n">
        <v>30</v>
      </c>
      <c r="I344" s="10" t="s">
        <v>50</v>
      </c>
      <c r="J344" s="12"/>
    </row>
    <row r="345" customFormat="false" ht="15" hidden="false" customHeight="false" outlineLevel="0" collapsed="false">
      <c r="A345" s="10"/>
      <c r="B345" s="10"/>
      <c r="C345" s="10"/>
      <c r="D345" s="10"/>
      <c r="E345" s="10"/>
      <c r="F345" s="10"/>
      <c r="G345" s="10"/>
      <c r="H345" s="13" t="n">
        <v>30</v>
      </c>
      <c r="I345" s="10" t="s">
        <v>50</v>
      </c>
      <c r="J345" s="12"/>
    </row>
    <row r="346" customFormat="false" ht="15" hidden="false" customHeight="false" outlineLevel="0" collapsed="false">
      <c r="A346" s="10"/>
      <c r="B346" s="10"/>
      <c r="C346" s="10"/>
      <c r="D346" s="10"/>
      <c r="E346" s="10"/>
      <c r="F346" s="10"/>
      <c r="G346" s="10"/>
      <c r="H346" s="13" t="n">
        <v>30</v>
      </c>
      <c r="I346" s="10" t="s">
        <v>50</v>
      </c>
      <c r="J346" s="12"/>
    </row>
    <row r="347" customFormat="false" ht="15" hidden="false" customHeight="false" outlineLevel="0" collapsed="false">
      <c r="A347" s="10"/>
      <c r="B347" s="10"/>
      <c r="C347" s="10"/>
      <c r="D347" s="10"/>
      <c r="E347" s="10"/>
      <c r="F347" s="10"/>
      <c r="G347" s="10"/>
      <c r="H347" s="13" t="n">
        <v>30</v>
      </c>
      <c r="I347" s="10" t="s">
        <v>50</v>
      </c>
      <c r="J347" s="12"/>
    </row>
    <row r="348" customFormat="false" ht="15" hidden="false" customHeight="false" outlineLevel="0" collapsed="false">
      <c r="A348" s="10"/>
      <c r="B348" s="10"/>
      <c r="C348" s="10"/>
      <c r="D348" s="10"/>
      <c r="E348" s="10"/>
      <c r="F348" s="10"/>
      <c r="G348" s="10"/>
      <c r="H348" s="13" t="n">
        <v>30</v>
      </c>
      <c r="I348" s="10" t="s">
        <v>50</v>
      </c>
      <c r="J348" s="12"/>
    </row>
    <row r="349" customFormat="false" ht="15" hidden="false" customHeight="false" outlineLevel="0" collapsed="false">
      <c r="A349" s="10"/>
      <c r="B349" s="10"/>
      <c r="C349" s="10"/>
      <c r="D349" s="10"/>
      <c r="E349" s="10"/>
      <c r="F349" s="10"/>
      <c r="G349" s="10"/>
      <c r="H349" s="13" t="n">
        <v>30</v>
      </c>
      <c r="I349" s="10" t="s">
        <v>50</v>
      </c>
      <c r="J349" s="12"/>
    </row>
    <row r="350" customFormat="false" ht="15" hidden="false" customHeight="false" outlineLevel="0" collapsed="false">
      <c r="A350" s="10"/>
      <c r="B350" s="10"/>
      <c r="C350" s="10"/>
      <c r="D350" s="10"/>
      <c r="E350" s="10"/>
      <c r="F350" s="10"/>
      <c r="G350" s="10"/>
      <c r="H350" s="13" t="n">
        <v>30</v>
      </c>
      <c r="I350" s="10" t="s">
        <v>50</v>
      </c>
      <c r="J350" s="12"/>
    </row>
    <row r="351" customFormat="false" ht="15" hidden="false" customHeight="false" outlineLevel="0" collapsed="false">
      <c r="A351" s="10"/>
      <c r="B351" s="10"/>
      <c r="C351" s="10"/>
      <c r="D351" s="10"/>
      <c r="E351" s="10"/>
      <c r="F351" s="10"/>
      <c r="G351" s="10"/>
      <c r="H351" s="13" t="n">
        <v>30</v>
      </c>
      <c r="I351" s="10" t="s">
        <v>50</v>
      </c>
      <c r="J351" s="12"/>
    </row>
    <row r="352" customFormat="false" ht="15" hidden="false" customHeight="false" outlineLevel="0" collapsed="false">
      <c r="A352" s="10"/>
      <c r="B352" s="10"/>
      <c r="C352" s="10"/>
      <c r="D352" s="10"/>
      <c r="E352" s="10"/>
      <c r="F352" s="10"/>
      <c r="G352" s="10"/>
      <c r="H352" s="13" t="n">
        <v>30</v>
      </c>
      <c r="I352" s="10" t="s">
        <v>50</v>
      </c>
      <c r="J352" s="12"/>
    </row>
    <row r="353" customFormat="false" ht="15" hidden="false" customHeight="false" outlineLevel="0" collapsed="false">
      <c r="A353" s="10"/>
      <c r="B353" s="10"/>
      <c r="C353" s="10"/>
      <c r="D353" s="10"/>
      <c r="E353" s="10"/>
      <c r="F353" s="10"/>
      <c r="G353" s="10"/>
      <c r="H353" s="13" t="n">
        <v>30</v>
      </c>
      <c r="I353" s="10" t="s">
        <v>50</v>
      </c>
      <c r="J353" s="12"/>
    </row>
    <row r="354" customFormat="false" ht="15" hidden="false" customHeight="false" outlineLevel="0" collapsed="false">
      <c r="A354" s="10"/>
      <c r="B354" s="10"/>
      <c r="C354" s="10"/>
      <c r="D354" s="10"/>
      <c r="E354" s="10"/>
      <c r="F354" s="10"/>
      <c r="G354" s="10"/>
      <c r="H354" s="13" t="n">
        <v>30</v>
      </c>
      <c r="I354" s="10" t="s">
        <v>50</v>
      </c>
      <c r="J354" s="12"/>
    </row>
    <row r="355" customFormat="false" ht="15" hidden="false" customHeight="false" outlineLevel="0" collapsed="false">
      <c r="A355" s="10"/>
      <c r="B355" s="10"/>
      <c r="C355" s="10"/>
      <c r="D355" s="10"/>
      <c r="E355" s="10"/>
      <c r="F355" s="10"/>
      <c r="G355" s="10"/>
      <c r="H355" s="13" t="n">
        <v>30</v>
      </c>
      <c r="I355" s="10" t="s">
        <v>50</v>
      </c>
      <c r="J355" s="12"/>
    </row>
    <row r="356" customFormat="false" ht="15" hidden="false" customHeight="false" outlineLevel="0" collapsed="false">
      <c r="A356" s="10"/>
      <c r="B356" s="10"/>
      <c r="C356" s="10"/>
      <c r="D356" s="10"/>
      <c r="E356" s="10"/>
      <c r="F356" s="10"/>
      <c r="G356" s="10"/>
      <c r="H356" s="13" t="n">
        <v>30</v>
      </c>
      <c r="I356" s="10" t="s">
        <v>50</v>
      </c>
      <c r="J356" s="12"/>
    </row>
    <row r="357" customFormat="false" ht="15" hidden="false" customHeight="false" outlineLevel="0" collapsed="false">
      <c r="A357" s="10"/>
      <c r="B357" s="10"/>
      <c r="C357" s="10"/>
      <c r="D357" s="10"/>
      <c r="E357" s="10"/>
      <c r="F357" s="10"/>
      <c r="G357" s="10"/>
      <c r="H357" s="13" t="n">
        <v>30</v>
      </c>
      <c r="I357" s="10" t="s">
        <v>50</v>
      </c>
      <c r="J357" s="12"/>
    </row>
    <row r="358" customFormat="false" ht="15" hidden="false" customHeight="false" outlineLevel="0" collapsed="false">
      <c r="A358" s="10"/>
      <c r="B358" s="10"/>
      <c r="C358" s="10"/>
      <c r="D358" s="10"/>
      <c r="E358" s="10"/>
      <c r="F358" s="10"/>
      <c r="G358" s="10"/>
      <c r="H358" s="13" t="n">
        <v>30</v>
      </c>
      <c r="I358" s="10" t="s">
        <v>50</v>
      </c>
      <c r="J358" s="12"/>
    </row>
    <row r="359" customFormat="false" ht="15" hidden="false" customHeight="false" outlineLevel="0" collapsed="false">
      <c r="A359" s="10"/>
      <c r="B359" s="10"/>
      <c r="C359" s="10"/>
      <c r="D359" s="10"/>
      <c r="E359" s="10"/>
      <c r="F359" s="10"/>
      <c r="G359" s="10"/>
      <c r="H359" s="13" t="n">
        <v>30</v>
      </c>
      <c r="I359" s="10" t="s">
        <v>50</v>
      </c>
      <c r="J359" s="12"/>
    </row>
    <row r="360" customFormat="false" ht="15" hidden="false" customHeight="false" outlineLevel="0" collapsed="false">
      <c r="A360" s="10"/>
      <c r="B360" s="10"/>
      <c r="C360" s="10"/>
      <c r="D360" s="10"/>
      <c r="E360" s="10"/>
      <c r="F360" s="10"/>
      <c r="G360" s="10"/>
      <c r="H360" s="13" t="n">
        <v>30</v>
      </c>
      <c r="I360" s="10" t="s">
        <v>50</v>
      </c>
      <c r="J360" s="12"/>
    </row>
    <row r="361" customFormat="false" ht="15" hidden="false" customHeight="false" outlineLevel="0" collapsed="false">
      <c r="A361" s="10"/>
      <c r="B361" s="10"/>
      <c r="C361" s="10"/>
      <c r="D361" s="10"/>
      <c r="E361" s="10"/>
      <c r="F361" s="10"/>
      <c r="G361" s="10"/>
      <c r="H361" s="13" t="n">
        <v>30</v>
      </c>
      <c r="I361" s="10" t="s">
        <v>50</v>
      </c>
      <c r="J361" s="12"/>
    </row>
    <row r="362" customFormat="false" ht="15" hidden="false" customHeight="false" outlineLevel="0" collapsed="false">
      <c r="A362" s="10"/>
      <c r="B362" s="10"/>
      <c r="C362" s="10"/>
      <c r="D362" s="10"/>
      <c r="E362" s="10"/>
      <c r="F362" s="10"/>
      <c r="G362" s="10"/>
      <c r="H362" s="13" t="n">
        <v>30</v>
      </c>
      <c r="I362" s="10" t="s">
        <v>50</v>
      </c>
      <c r="J362" s="12"/>
    </row>
    <row r="363" customFormat="false" ht="15" hidden="false" customHeight="false" outlineLevel="0" collapsed="false">
      <c r="A363" s="10"/>
      <c r="B363" s="10"/>
      <c r="C363" s="10"/>
      <c r="D363" s="10"/>
      <c r="E363" s="10"/>
      <c r="F363" s="10"/>
      <c r="G363" s="10"/>
      <c r="H363" s="13" t="n">
        <v>30</v>
      </c>
      <c r="I363" s="10" t="s">
        <v>50</v>
      </c>
      <c r="J363" s="12"/>
    </row>
    <row r="364" customFormat="false" ht="15" hidden="false" customHeight="false" outlineLevel="0" collapsed="false">
      <c r="A364" s="10"/>
      <c r="B364" s="10"/>
      <c r="C364" s="10"/>
      <c r="D364" s="10"/>
      <c r="E364" s="10"/>
      <c r="F364" s="10"/>
      <c r="G364" s="10"/>
      <c r="H364" s="13" t="n">
        <v>30</v>
      </c>
      <c r="I364" s="10" t="s">
        <v>50</v>
      </c>
      <c r="J364" s="12"/>
    </row>
    <row r="365" customFormat="false" ht="15" hidden="false" customHeight="false" outlineLevel="0" collapsed="false">
      <c r="A365" s="10"/>
      <c r="B365" s="10"/>
      <c r="C365" s="10"/>
      <c r="D365" s="10"/>
      <c r="E365" s="10"/>
      <c r="F365" s="10"/>
      <c r="G365" s="10"/>
      <c r="H365" s="13" t="n">
        <v>30</v>
      </c>
      <c r="I365" s="10" t="s">
        <v>50</v>
      </c>
      <c r="J365" s="12"/>
    </row>
    <row r="366" customFormat="false" ht="15" hidden="false" customHeight="false" outlineLevel="0" collapsed="false">
      <c r="A366" s="10"/>
      <c r="B366" s="10"/>
      <c r="C366" s="10"/>
      <c r="D366" s="10"/>
      <c r="E366" s="10"/>
      <c r="F366" s="10"/>
      <c r="G366" s="10"/>
      <c r="H366" s="13" t="n">
        <v>30</v>
      </c>
      <c r="I366" s="10" t="s">
        <v>50</v>
      </c>
      <c r="J366" s="12"/>
    </row>
    <row r="367" customFormat="false" ht="15" hidden="false" customHeight="false" outlineLevel="0" collapsed="false">
      <c r="A367" s="10"/>
      <c r="B367" s="10"/>
      <c r="C367" s="10"/>
      <c r="D367" s="10"/>
      <c r="E367" s="10"/>
      <c r="F367" s="10"/>
      <c r="G367" s="10"/>
      <c r="H367" s="13" t="n">
        <v>30</v>
      </c>
      <c r="I367" s="10" t="s">
        <v>50</v>
      </c>
      <c r="J367" s="12"/>
    </row>
    <row r="368" customFormat="false" ht="15" hidden="false" customHeight="false" outlineLevel="0" collapsed="false">
      <c r="A368" s="10"/>
      <c r="B368" s="10"/>
      <c r="C368" s="10"/>
      <c r="D368" s="10"/>
      <c r="E368" s="10"/>
      <c r="F368" s="10"/>
      <c r="G368" s="10"/>
      <c r="H368" s="13" t="n">
        <v>30</v>
      </c>
      <c r="I368" s="10" t="s">
        <v>50</v>
      </c>
      <c r="J368" s="12"/>
    </row>
    <row r="369" customFormat="false" ht="15" hidden="false" customHeight="false" outlineLevel="0" collapsed="false">
      <c r="A369" s="10"/>
      <c r="B369" s="10"/>
      <c r="C369" s="10"/>
      <c r="D369" s="10"/>
      <c r="E369" s="10"/>
      <c r="F369" s="10"/>
      <c r="G369" s="10"/>
      <c r="H369" s="13" t="n">
        <v>30</v>
      </c>
      <c r="I369" s="10" t="s">
        <v>50</v>
      </c>
      <c r="J369" s="12"/>
    </row>
    <row r="370" customFormat="false" ht="15" hidden="false" customHeight="false" outlineLevel="0" collapsed="false">
      <c r="A370" s="10"/>
      <c r="B370" s="10"/>
      <c r="C370" s="10"/>
      <c r="D370" s="10"/>
      <c r="E370" s="10"/>
      <c r="F370" s="10"/>
      <c r="G370" s="10"/>
      <c r="H370" s="13" t="n">
        <v>30</v>
      </c>
      <c r="I370" s="10" t="s">
        <v>50</v>
      </c>
      <c r="J370" s="12"/>
    </row>
    <row r="371" customFormat="false" ht="15" hidden="false" customHeight="false" outlineLevel="0" collapsed="false">
      <c r="A371" s="10"/>
      <c r="B371" s="10"/>
      <c r="C371" s="10"/>
      <c r="D371" s="10"/>
      <c r="E371" s="10"/>
      <c r="F371" s="10"/>
      <c r="G371" s="10"/>
      <c r="H371" s="13" t="n">
        <v>30</v>
      </c>
      <c r="I371" s="10" t="s">
        <v>50</v>
      </c>
      <c r="J371" s="12"/>
    </row>
    <row r="372" customFormat="false" ht="15" hidden="false" customHeight="false" outlineLevel="0" collapsed="false">
      <c r="A372" s="10"/>
      <c r="B372" s="10"/>
      <c r="C372" s="10"/>
      <c r="D372" s="10"/>
      <c r="E372" s="10"/>
      <c r="F372" s="10"/>
      <c r="G372" s="10"/>
      <c r="H372" s="13" t="n">
        <v>30</v>
      </c>
      <c r="I372" s="10" t="s">
        <v>50</v>
      </c>
      <c r="J372" s="12"/>
    </row>
    <row r="373" customFormat="false" ht="15" hidden="false" customHeight="false" outlineLevel="0" collapsed="false">
      <c r="A373" s="10"/>
      <c r="B373" s="10"/>
      <c r="C373" s="10"/>
      <c r="D373" s="10"/>
      <c r="E373" s="10"/>
      <c r="F373" s="10"/>
      <c r="G373" s="10"/>
      <c r="H373" s="13" t="n">
        <v>30</v>
      </c>
      <c r="I373" s="10" t="s">
        <v>50</v>
      </c>
      <c r="J373" s="12"/>
    </row>
    <row r="374" customFormat="false" ht="15" hidden="false" customHeight="false" outlineLevel="0" collapsed="false">
      <c r="A374" s="10"/>
      <c r="B374" s="10"/>
      <c r="C374" s="10"/>
      <c r="D374" s="10"/>
      <c r="E374" s="10"/>
      <c r="F374" s="10"/>
      <c r="G374" s="10"/>
      <c r="H374" s="13" t="n">
        <v>30</v>
      </c>
      <c r="I374" s="10" t="s">
        <v>50</v>
      </c>
      <c r="J374" s="12"/>
    </row>
    <row r="375" customFormat="false" ht="15" hidden="false" customHeight="false" outlineLevel="0" collapsed="false">
      <c r="A375" s="10"/>
      <c r="B375" s="10"/>
      <c r="C375" s="10"/>
      <c r="D375" s="10"/>
      <c r="E375" s="10"/>
      <c r="F375" s="10"/>
      <c r="G375" s="10"/>
      <c r="H375" s="13" t="n">
        <v>30</v>
      </c>
      <c r="I375" s="10" t="s">
        <v>50</v>
      </c>
      <c r="J375" s="12"/>
    </row>
    <row r="376" customFormat="false" ht="15" hidden="false" customHeight="false" outlineLevel="0" collapsed="false">
      <c r="A376" s="10"/>
      <c r="B376" s="10"/>
      <c r="C376" s="10"/>
      <c r="D376" s="10"/>
      <c r="E376" s="10"/>
      <c r="F376" s="10"/>
      <c r="G376" s="10"/>
      <c r="H376" s="13" t="n">
        <v>30</v>
      </c>
      <c r="I376" s="10" t="s">
        <v>50</v>
      </c>
      <c r="J376" s="12"/>
    </row>
    <row r="377" customFormat="false" ht="15" hidden="false" customHeight="false" outlineLevel="0" collapsed="false">
      <c r="A377" s="10"/>
      <c r="B377" s="10"/>
      <c r="C377" s="10"/>
      <c r="D377" s="10"/>
      <c r="E377" s="10"/>
      <c r="F377" s="10"/>
      <c r="G377" s="10"/>
      <c r="H377" s="13" t="n">
        <v>30</v>
      </c>
      <c r="I377" s="10" t="s">
        <v>50</v>
      </c>
      <c r="J377" s="12"/>
    </row>
    <row r="378" customFormat="false" ht="15" hidden="false" customHeight="false" outlineLevel="0" collapsed="false">
      <c r="A378" s="10"/>
      <c r="B378" s="10"/>
      <c r="C378" s="10"/>
      <c r="D378" s="10"/>
      <c r="E378" s="10"/>
      <c r="F378" s="10"/>
      <c r="G378" s="10"/>
      <c r="H378" s="13" t="n">
        <v>30</v>
      </c>
      <c r="I378" s="10" t="s">
        <v>50</v>
      </c>
      <c r="J378" s="12"/>
    </row>
    <row r="379" customFormat="false" ht="15" hidden="false" customHeight="false" outlineLevel="0" collapsed="false">
      <c r="A379" s="10"/>
      <c r="B379" s="10"/>
      <c r="C379" s="10"/>
      <c r="D379" s="10"/>
      <c r="E379" s="10"/>
      <c r="F379" s="10"/>
      <c r="G379" s="10"/>
      <c r="H379" s="13" t="n">
        <v>30</v>
      </c>
      <c r="I379" s="10" t="s">
        <v>50</v>
      </c>
      <c r="J379" s="12"/>
    </row>
    <row r="380" customFormat="false" ht="15" hidden="false" customHeight="false" outlineLevel="0" collapsed="false">
      <c r="A380" s="10"/>
      <c r="B380" s="10"/>
      <c r="C380" s="10"/>
      <c r="D380" s="10"/>
      <c r="E380" s="10"/>
      <c r="F380" s="10"/>
      <c r="G380" s="10"/>
      <c r="H380" s="13" t="n">
        <v>30</v>
      </c>
      <c r="I380" s="10" t="s">
        <v>50</v>
      </c>
      <c r="J380" s="12"/>
    </row>
    <row r="381" customFormat="false" ht="15" hidden="false" customHeight="false" outlineLevel="0" collapsed="false">
      <c r="A381" s="10"/>
      <c r="B381" s="10"/>
      <c r="C381" s="10"/>
      <c r="D381" s="10"/>
      <c r="E381" s="10"/>
      <c r="F381" s="10"/>
      <c r="G381" s="10"/>
      <c r="H381" s="13" t="n">
        <v>30</v>
      </c>
      <c r="I381" s="10" t="s">
        <v>50</v>
      </c>
      <c r="J381" s="12"/>
    </row>
    <row r="382" customFormat="false" ht="15" hidden="false" customHeight="false" outlineLevel="0" collapsed="false">
      <c r="A382" s="10"/>
      <c r="B382" s="10"/>
      <c r="C382" s="10"/>
      <c r="D382" s="10"/>
      <c r="E382" s="10"/>
      <c r="F382" s="10"/>
      <c r="G382" s="10"/>
      <c r="H382" s="13" t="n">
        <v>30</v>
      </c>
      <c r="I382" s="10" t="s">
        <v>50</v>
      </c>
      <c r="J382" s="12"/>
    </row>
    <row r="383" customFormat="false" ht="15" hidden="false" customHeight="false" outlineLevel="0" collapsed="false">
      <c r="A383" s="10"/>
      <c r="B383" s="10"/>
      <c r="C383" s="10"/>
      <c r="D383" s="10"/>
      <c r="E383" s="10"/>
      <c r="F383" s="10"/>
      <c r="G383" s="10"/>
      <c r="H383" s="13" t="n">
        <v>30</v>
      </c>
      <c r="I383" s="10" t="s">
        <v>50</v>
      </c>
      <c r="J383" s="12"/>
    </row>
    <row r="384" customFormat="false" ht="15" hidden="false" customHeight="false" outlineLevel="0" collapsed="false">
      <c r="A384" s="10"/>
      <c r="B384" s="10"/>
      <c r="C384" s="10"/>
      <c r="D384" s="10"/>
      <c r="E384" s="10"/>
      <c r="F384" s="10"/>
      <c r="G384" s="10"/>
      <c r="H384" s="13" t="n">
        <v>30</v>
      </c>
      <c r="I384" s="10" t="s">
        <v>50</v>
      </c>
      <c r="J384" s="12"/>
    </row>
    <row r="385" customFormat="false" ht="15" hidden="false" customHeight="false" outlineLevel="0" collapsed="false">
      <c r="A385" s="10"/>
      <c r="B385" s="10"/>
      <c r="C385" s="10"/>
      <c r="D385" s="10"/>
      <c r="E385" s="10"/>
      <c r="F385" s="10"/>
      <c r="G385" s="10"/>
      <c r="H385" s="13" t="n">
        <v>30</v>
      </c>
      <c r="I385" s="10" t="s">
        <v>50</v>
      </c>
      <c r="J385" s="12"/>
    </row>
    <row r="386" customFormat="false" ht="15" hidden="false" customHeight="false" outlineLevel="0" collapsed="false">
      <c r="A386" s="10"/>
      <c r="B386" s="10"/>
      <c r="C386" s="10"/>
      <c r="D386" s="10"/>
      <c r="E386" s="10"/>
      <c r="F386" s="10"/>
      <c r="G386" s="10"/>
      <c r="H386" s="13" t="n">
        <v>30</v>
      </c>
      <c r="I386" s="10" t="s">
        <v>50</v>
      </c>
      <c r="J386" s="12"/>
    </row>
    <row r="387" customFormat="false" ht="15" hidden="false" customHeight="false" outlineLevel="0" collapsed="false">
      <c r="A387" s="10"/>
      <c r="B387" s="10"/>
      <c r="C387" s="10"/>
      <c r="D387" s="10"/>
      <c r="E387" s="10"/>
      <c r="F387" s="10"/>
      <c r="G387" s="10"/>
      <c r="H387" s="13" t="n">
        <v>30</v>
      </c>
      <c r="I387" s="10" t="s">
        <v>50</v>
      </c>
      <c r="J387" s="12"/>
    </row>
    <row r="388" customFormat="false" ht="15" hidden="false" customHeight="false" outlineLevel="0" collapsed="false">
      <c r="A388" s="10"/>
      <c r="B388" s="10"/>
      <c r="C388" s="10"/>
      <c r="D388" s="10"/>
      <c r="E388" s="10"/>
      <c r="F388" s="10"/>
      <c r="G388" s="10"/>
      <c r="H388" s="13" t="n">
        <v>30</v>
      </c>
      <c r="I388" s="10" t="s">
        <v>50</v>
      </c>
      <c r="J388" s="12"/>
    </row>
    <row r="389" customFormat="false" ht="15" hidden="false" customHeight="false" outlineLevel="0" collapsed="false">
      <c r="A389" s="10"/>
      <c r="B389" s="10"/>
      <c r="C389" s="10"/>
      <c r="D389" s="10"/>
      <c r="E389" s="10"/>
      <c r="F389" s="10"/>
      <c r="G389" s="10"/>
      <c r="H389" s="13" t="n">
        <v>30</v>
      </c>
      <c r="I389" s="10" t="s">
        <v>50</v>
      </c>
      <c r="J389" s="12"/>
    </row>
    <row r="390" customFormat="false" ht="15" hidden="false" customHeight="false" outlineLevel="0" collapsed="false">
      <c r="A390" s="10"/>
      <c r="B390" s="10"/>
      <c r="C390" s="10"/>
      <c r="D390" s="10"/>
      <c r="E390" s="10"/>
      <c r="F390" s="10"/>
      <c r="G390" s="10"/>
      <c r="H390" s="13" t="n">
        <v>30</v>
      </c>
      <c r="I390" s="10" t="s">
        <v>50</v>
      </c>
      <c r="J390" s="12"/>
    </row>
    <row r="391" customFormat="false" ht="15" hidden="false" customHeight="false" outlineLevel="0" collapsed="false">
      <c r="A391" s="10"/>
      <c r="B391" s="10"/>
      <c r="C391" s="10"/>
      <c r="D391" s="10"/>
      <c r="E391" s="10"/>
      <c r="F391" s="10"/>
      <c r="G391" s="10"/>
      <c r="H391" s="13" t="n">
        <v>30</v>
      </c>
      <c r="I391" s="10" t="s">
        <v>50</v>
      </c>
      <c r="J391" s="12"/>
    </row>
    <row r="392" customFormat="false" ht="15" hidden="false" customHeight="false" outlineLevel="0" collapsed="false">
      <c r="A392" s="10"/>
      <c r="B392" s="10"/>
      <c r="C392" s="10"/>
      <c r="D392" s="10"/>
      <c r="E392" s="10"/>
      <c r="F392" s="10"/>
      <c r="G392" s="10"/>
      <c r="H392" s="13" t="n">
        <v>30</v>
      </c>
      <c r="I392" s="10" t="s">
        <v>50</v>
      </c>
      <c r="J392" s="12"/>
    </row>
    <row r="393" customFormat="false" ht="15" hidden="false" customHeight="false" outlineLevel="0" collapsed="false">
      <c r="A393" s="10"/>
      <c r="B393" s="10"/>
      <c r="C393" s="10"/>
      <c r="D393" s="10"/>
      <c r="E393" s="10"/>
      <c r="F393" s="10"/>
      <c r="G393" s="10"/>
      <c r="H393" s="13" t="n">
        <v>30</v>
      </c>
      <c r="I393" s="10" t="s">
        <v>50</v>
      </c>
      <c r="J393" s="12"/>
    </row>
    <row r="394" customFormat="false" ht="15" hidden="false" customHeight="false" outlineLevel="0" collapsed="false">
      <c r="A394" s="10"/>
      <c r="B394" s="10"/>
      <c r="C394" s="10"/>
      <c r="D394" s="10"/>
      <c r="E394" s="10"/>
      <c r="F394" s="10"/>
      <c r="G394" s="10"/>
      <c r="H394" s="13" t="n">
        <v>30</v>
      </c>
      <c r="I394" s="10" t="s">
        <v>50</v>
      </c>
      <c r="J394" s="12"/>
    </row>
    <row r="395" customFormat="false" ht="15" hidden="false" customHeight="false" outlineLevel="0" collapsed="false">
      <c r="A395" s="10"/>
      <c r="B395" s="10"/>
      <c r="C395" s="10"/>
      <c r="D395" s="10"/>
      <c r="E395" s="10"/>
      <c r="F395" s="10"/>
      <c r="G395" s="10"/>
      <c r="H395" s="13" t="n">
        <v>30</v>
      </c>
      <c r="I395" s="10" t="s">
        <v>50</v>
      </c>
      <c r="J395" s="12"/>
    </row>
    <row r="396" customFormat="false" ht="15" hidden="false" customHeight="false" outlineLevel="0" collapsed="false">
      <c r="A396" s="10"/>
      <c r="B396" s="10"/>
      <c r="C396" s="10"/>
      <c r="D396" s="10"/>
      <c r="E396" s="10"/>
      <c r="F396" s="10"/>
      <c r="G396" s="10"/>
      <c r="H396" s="13" t="n">
        <v>30</v>
      </c>
      <c r="I396" s="10" t="s">
        <v>50</v>
      </c>
      <c r="J396" s="12"/>
    </row>
    <row r="397" customFormat="false" ht="15" hidden="false" customHeight="false" outlineLevel="0" collapsed="false">
      <c r="A397" s="10"/>
      <c r="B397" s="10"/>
      <c r="C397" s="10"/>
      <c r="D397" s="10"/>
      <c r="E397" s="10"/>
      <c r="F397" s="10"/>
      <c r="G397" s="10"/>
      <c r="H397" s="13" t="n">
        <v>30</v>
      </c>
      <c r="I397" s="10" t="s">
        <v>50</v>
      </c>
      <c r="J397" s="12"/>
    </row>
    <row r="398" customFormat="false" ht="15" hidden="false" customHeight="false" outlineLevel="0" collapsed="false">
      <c r="A398" s="10"/>
      <c r="B398" s="10"/>
      <c r="C398" s="10"/>
      <c r="D398" s="10"/>
      <c r="E398" s="10"/>
      <c r="F398" s="10"/>
      <c r="G398" s="10"/>
      <c r="H398" s="13" t="n">
        <v>30</v>
      </c>
      <c r="I398" s="10" t="s">
        <v>50</v>
      </c>
      <c r="J398" s="12"/>
    </row>
    <row r="399" customFormat="false" ht="15" hidden="false" customHeight="false" outlineLevel="0" collapsed="false">
      <c r="A399" s="10"/>
      <c r="B399" s="10"/>
      <c r="C399" s="10"/>
      <c r="D399" s="10"/>
      <c r="E399" s="10"/>
      <c r="F399" s="10"/>
      <c r="G399" s="10"/>
      <c r="H399" s="13" t="n">
        <v>30</v>
      </c>
      <c r="I399" s="10" t="s">
        <v>50</v>
      </c>
      <c r="J399" s="12"/>
    </row>
    <row r="400" customFormat="false" ht="15" hidden="false" customHeight="false" outlineLevel="0" collapsed="false">
      <c r="A400" s="10"/>
      <c r="B400" s="10"/>
      <c r="C400" s="10"/>
      <c r="D400" s="10"/>
      <c r="E400" s="10"/>
      <c r="F400" s="10"/>
      <c r="G400" s="10"/>
      <c r="H400" s="13" t="n">
        <v>30</v>
      </c>
      <c r="I400" s="10" t="s">
        <v>50</v>
      </c>
      <c r="J400" s="12"/>
    </row>
    <row r="401" customFormat="false" ht="15" hidden="false" customHeight="false" outlineLevel="0" collapsed="false">
      <c r="A401" s="10"/>
      <c r="B401" s="10"/>
      <c r="C401" s="10"/>
      <c r="D401" s="10"/>
      <c r="E401" s="10"/>
      <c r="F401" s="10"/>
      <c r="G401" s="10"/>
      <c r="H401" s="13" t="n">
        <v>30</v>
      </c>
      <c r="I401" s="10" t="s">
        <v>50</v>
      </c>
      <c r="J401" s="12"/>
    </row>
    <row r="402" customFormat="false" ht="15" hidden="false" customHeight="false" outlineLevel="0" collapsed="false">
      <c r="A402" s="10"/>
      <c r="B402" s="10"/>
      <c r="C402" s="10"/>
      <c r="D402" s="10"/>
      <c r="E402" s="10"/>
      <c r="F402" s="10"/>
      <c r="G402" s="10"/>
      <c r="H402" s="13" t="n">
        <v>30</v>
      </c>
      <c r="I402" s="10" t="s">
        <v>50</v>
      </c>
      <c r="J402" s="12"/>
    </row>
    <row r="403" customFormat="false" ht="15" hidden="false" customHeight="false" outlineLevel="0" collapsed="false">
      <c r="A403" s="10"/>
      <c r="B403" s="10"/>
      <c r="C403" s="10"/>
      <c r="D403" s="10"/>
      <c r="E403" s="10"/>
      <c r="F403" s="10"/>
      <c r="G403" s="10"/>
      <c r="H403" s="13" t="n">
        <v>30</v>
      </c>
      <c r="I403" s="10" t="s">
        <v>50</v>
      </c>
      <c r="J403" s="12"/>
    </row>
    <row r="404" customFormat="false" ht="15" hidden="false" customHeight="false" outlineLevel="0" collapsed="false">
      <c r="A404" s="10"/>
      <c r="B404" s="10"/>
      <c r="C404" s="10"/>
      <c r="D404" s="10"/>
      <c r="E404" s="10"/>
      <c r="F404" s="10"/>
      <c r="G404" s="10"/>
      <c r="H404" s="13" t="n">
        <v>30</v>
      </c>
      <c r="I404" s="10" t="s">
        <v>50</v>
      </c>
      <c r="J404" s="12"/>
    </row>
    <row r="405" customFormat="false" ht="15" hidden="false" customHeight="false" outlineLevel="0" collapsed="false">
      <c r="A405" s="10"/>
      <c r="B405" s="10"/>
      <c r="C405" s="10"/>
      <c r="D405" s="10"/>
      <c r="E405" s="10"/>
      <c r="F405" s="10"/>
      <c r="G405" s="10"/>
      <c r="H405" s="13" t="n">
        <v>30</v>
      </c>
      <c r="I405" s="10" t="s">
        <v>50</v>
      </c>
      <c r="J405" s="12"/>
    </row>
    <row r="406" customFormat="false" ht="15" hidden="false" customHeight="false" outlineLevel="0" collapsed="false">
      <c r="A406" s="10"/>
      <c r="B406" s="10"/>
      <c r="C406" s="10"/>
      <c r="D406" s="10"/>
      <c r="E406" s="10"/>
      <c r="F406" s="10"/>
      <c r="G406" s="10"/>
      <c r="H406" s="13" t="n">
        <v>30</v>
      </c>
      <c r="I406" s="10" t="s">
        <v>50</v>
      </c>
      <c r="J406" s="12"/>
    </row>
    <row r="407" customFormat="false" ht="15" hidden="false" customHeight="false" outlineLevel="0" collapsed="false">
      <c r="A407" s="10"/>
      <c r="B407" s="10"/>
      <c r="C407" s="10"/>
      <c r="D407" s="10"/>
      <c r="E407" s="10"/>
      <c r="F407" s="10"/>
      <c r="G407" s="10"/>
      <c r="H407" s="13" t="n">
        <v>30</v>
      </c>
      <c r="I407" s="10" t="s">
        <v>50</v>
      </c>
      <c r="J407" s="12"/>
    </row>
    <row r="408" customFormat="false" ht="15" hidden="false" customHeight="false" outlineLevel="0" collapsed="false">
      <c r="A408" s="10"/>
      <c r="B408" s="10"/>
      <c r="C408" s="10"/>
      <c r="D408" s="10"/>
      <c r="E408" s="10"/>
      <c r="F408" s="10"/>
      <c r="G408" s="10"/>
      <c r="H408" s="13" t="n">
        <v>30</v>
      </c>
      <c r="I408" s="10" t="s">
        <v>50</v>
      </c>
      <c r="J408" s="12"/>
    </row>
    <row r="409" customFormat="false" ht="15" hidden="false" customHeight="false" outlineLevel="0" collapsed="false">
      <c r="A409" s="10"/>
      <c r="B409" s="10"/>
      <c r="C409" s="10"/>
      <c r="D409" s="10"/>
      <c r="E409" s="10"/>
      <c r="F409" s="10"/>
      <c r="G409" s="10"/>
      <c r="H409" s="13" t="n">
        <v>30</v>
      </c>
      <c r="I409" s="10" t="s">
        <v>50</v>
      </c>
      <c r="J409" s="12"/>
    </row>
    <row r="410" customFormat="false" ht="15" hidden="false" customHeight="false" outlineLevel="0" collapsed="false">
      <c r="A410" s="10"/>
      <c r="B410" s="10"/>
      <c r="C410" s="10"/>
      <c r="D410" s="10"/>
      <c r="E410" s="10"/>
      <c r="F410" s="10"/>
      <c r="G410" s="10"/>
      <c r="H410" s="13" t="n">
        <v>30</v>
      </c>
      <c r="I410" s="10" t="s">
        <v>50</v>
      </c>
      <c r="J410" s="12"/>
    </row>
    <row r="411" customFormat="false" ht="15" hidden="false" customHeight="false" outlineLevel="0" collapsed="false">
      <c r="A411" s="10"/>
      <c r="B411" s="10"/>
      <c r="C411" s="10"/>
      <c r="D411" s="10"/>
      <c r="E411" s="10"/>
      <c r="F411" s="10"/>
      <c r="G411" s="10"/>
      <c r="H411" s="13" t="n">
        <v>30</v>
      </c>
      <c r="I411" s="10" t="s">
        <v>50</v>
      </c>
      <c r="J411" s="12"/>
    </row>
    <row r="412" customFormat="false" ht="15" hidden="false" customHeight="false" outlineLevel="0" collapsed="false">
      <c r="A412" s="10"/>
      <c r="B412" s="10"/>
      <c r="C412" s="10"/>
      <c r="D412" s="10"/>
      <c r="E412" s="10"/>
      <c r="F412" s="10"/>
      <c r="G412" s="10"/>
      <c r="H412" s="13" t="n">
        <v>30</v>
      </c>
      <c r="I412" s="10" t="s">
        <v>50</v>
      </c>
      <c r="J412" s="12"/>
    </row>
    <row r="413" customFormat="false" ht="15" hidden="false" customHeight="false" outlineLevel="0" collapsed="false">
      <c r="A413" s="10"/>
      <c r="B413" s="10"/>
      <c r="C413" s="10"/>
      <c r="D413" s="10"/>
      <c r="E413" s="10"/>
      <c r="F413" s="10"/>
      <c r="G413" s="10"/>
      <c r="H413" s="13" t="n">
        <v>30</v>
      </c>
      <c r="I413" s="10" t="s">
        <v>50</v>
      </c>
      <c r="J413" s="12"/>
    </row>
    <row r="414" customFormat="false" ht="15" hidden="false" customHeight="false" outlineLevel="0" collapsed="false">
      <c r="A414" s="10"/>
      <c r="B414" s="10"/>
      <c r="C414" s="10"/>
      <c r="D414" s="10"/>
      <c r="E414" s="10"/>
      <c r="F414" s="10"/>
      <c r="G414" s="10"/>
      <c r="H414" s="13" t="n">
        <v>30</v>
      </c>
      <c r="I414" s="10" t="s">
        <v>50</v>
      </c>
      <c r="J414" s="12"/>
    </row>
    <row r="415" customFormat="false" ht="15" hidden="false" customHeight="false" outlineLevel="0" collapsed="false">
      <c r="A415" s="10"/>
      <c r="B415" s="10"/>
      <c r="C415" s="10"/>
      <c r="D415" s="10"/>
      <c r="E415" s="10"/>
      <c r="F415" s="10"/>
      <c r="G415" s="10"/>
      <c r="H415" s="13" t="n">
        <v>30</v>
      </c>
      <c r="I415" s="10" t="s">
        <v>50</v>
      </c>
      <c r="J415" s="12"/>
    </row>
    <row r="416" customFormat="false" ht="15" hidden="false" customHeight="false" outlineLevel="0" collapsed="false">
      <c r="A416" s="10"/>
      <c r="B416" s="10"/>
      <c r="C416" s="10"/>
      <c r="D416" s="10"/>
      <c r="E416" s="10"/>
      <c r="F416" s="10"/>
      <c r="G416" s="10"/>
      <c r="H416" s="13" t="n">
        <v>30</v>
      </c>
      <c r="I416" s="10" t="s">
        <v>50</v>
      </c>
      <c r="J416" s="12"/>
    </row>
    <row r="417" customFormat="false" ht="15" hidden="false" customHeight="false" outlineLevel="0" collapsed="false">
      <c r="A417" s="10"/>
      <c r="B417" s="10"/>
      <c r="C417" s="10"/>
      <c r="D417" s="10"/>
      <c r="E417" s="10"/>
      <c r="F417" s="10"/>
      <c r="G417" s="10"/>
      <c r="H417" s="13" t="n">
        <v>30</v>
      </c>
      <c r="I417" s="10" t="s">
        <v>50</v>
      </c>
      <c r="J417" s="12"/>
    </row>
    <row r="418" customFormat="false" ht="15" hidden="false" customHeight="false" outlineLevel="0" collapsed="false">
      <c r="A418" s="10"/>
      <c r="B418" s="10"/>
      <c r="C418" s="10"/>
      <c r="D418" s="10"/>
      <c r="E418" s="10"/>
      <c r="F418" s="10"/>
      <c r="G418" s="10"/>
      <c r="H418" s="13" t="n">
        <v>30</v>
      </c>
      <c r="I418" s="10" t="s">
        <v>50</v>
      </c>
      <c r="J418" s="12"/>
    </row>
    <row r="419" customFormat="false" ht="15" hidden="false" customHeight="false" outlineLevel="0" collapsed="false">
      <c r="A419" s="10"/>
      <c r="B419" s="10"/>
      <c r="C419" s="10"/>
      <c r="D419" s="10"/>
      <c r="E419" s="10"/>
      <c r="F419" s="10"/>
      <c r="G419" s="10"/>
      <c r="H419" s="13" t="n">
        <v>30</v>
      </c>
      <c r="I419" s="10" t="s">
        <v>50</v>
      </c>
      <c r="J419" s="12"/>
    </row>
    <row r="420" customFormat="false" ht="15" hidden="false" customHeight="false" outlineLevel="0" collapsed="false">
      <c r="A420" s="10"/>
      <c r="B420" s="10"/>
      <c r="C420" s="10"/>
      <c r="D420" s="10"/>
      <c r="E420" s="10"/>
      <c r="F420" s="10"/>
      <c r="G420" s="10"/>
      <c r="H420" s="13" t="n">
        <v>30</v>
      </c>
      <c r="I420" s="10" t="s">
        <v>50</v>
      </c>
      <c r="J420" s="12"/>
    </row>
    <row r="421" customFormat="false" ht="15" hidden="false" customHeight="false" outlineLevel="0" collapsed="false">
      <c r="A421" s="10"/>
      <c r="B421" s="10"/>
      <c r="C421" s="10"/>
      <c r="D421" s="10"/>
      <c r="E421" s="10"/>
      <c r="F421" s="10"/>
      <c r="G421" s="10"/>
      <c r="H421" s="13" t="n">
        <v>30</v>
      </c>
      <c r="I421" s="10" t="s">
        <v>50</v>
      </c>
      <c r="J421" s="12"/>
    </row>
    <row r="422" customFormat="false" ht="15" hidden="false" customHeight="false" outlineLevel="0" collapsed="false">
      <c r="A422" s="10"/>
      <c r="B422" s="10"/>
      <c r="C422" s="10"/>
      <c r="D422" s="10"/>
      <c r="E422" s="10"/>
      <c r="F422" s="10"/>
      <c r="G422" s="10"/>
      <c r="H422" s="13" t="n">
        <v>30</v>
      </c>
      <c r="I422" s="10" t="s">
        <v>50</v>
      </c>
      <c r="J422" s="12"/>
    </row>
    <row r="423" customFormat="false" ht="15" hidden="false" customHeight="false" outlineLevel="0" collapsed="false">
      <c r="A423" s="10"/>
      <c r="B423" s="10"/>
      <c r="C423" s="10"/>
      <c r="D423" s="10"/>
      <c r="E423" s="10"/>
      <c r="F423" s="10"/>
      <c r="G423" s="10"/>
      <c r="H423" s="13" t="n">
        <v>30</v>
      </c>
      <c r="I423" s="10" t="s">
        <v>50</v>
      </c>
      <c r="J423" s="12"/>
    </row>
    <row r="424" customFormat="false" ht="15" hidden="false" customHeight="false" outlineLevel="0" collapsed="false">
      <c r="A424" s="10"/>
      <c r="B424" s="10"/>
      <c r="C424" s="10"/>
      <c r="D424" s="10"/>
      <c r="E424" s="10"/>
      <c r="F424" s="10"/>
      <c r="G424" s="10"/>
      <c r="H424" s="13" t="n">
        <v>30</v>
      </c>
      <c r="I424" s="10" t="s">
        <v>50</v>
      </c>
      <c r="J424" s="12"/>
    </row>
    <row r="425" customFormat="false" ht="15" hidden="false" customHeight="false" outlineLevel="0" collapsed="false">
      <c r="A425" s="10"/>
      <c r="B425" s="10"/>
      <c r="C425" s="10"/>
      <c r="D425" s="10"/>
      <c r="E425" s="10"/>
      <c r="F425" s="10"/>
      <c r="G425" s="10"/>
      <c r="H425" s="13" t="n">
        <v>30</v>
      </c>
      <c r="I425" s="10" t="s">
        <v>50</v>
      </c>
      <c r="J425" s="12"/>
    </row>
    <row r="426" customFormat="false" ht="15" hidden="false" customHeight="false" outlineLevel="0" collapsed="false">
      <c r="A426" s="10"/>
      <c r="B426" s="10"/>
      <c r="C426" s="10"/>
      <c r="D426" s="10"/>
      <c r="E426" s="10"/>
      <c r="F426" s="10"/>
      <c r="G426" s="10"/>
      <c r="H426" s="13" t="n">
        <v>30</v>
      </c>
      <c r="I426" s="10" t="s">
        <v>50</v>
      </c>
      <c r="J426" s="12"/>
    </row>
    <row r="427" customFormat="false" ht="15" hidden="false" customHeight="false" outlineLevel="0" collapsed="false">
      <c r="A427" s="10"/>
      <c r="B427" s="10"/>
      <c r="C427" s="10"/>
      <c r="D427" s="10"/>
      <c r="E427" s="10"/>
      <c r="F427" s="10"/>
      <c r="G427" s="10"/>
      <c r="H427" s="13" t="n">
        <v>30</v>
      </c>
      <c r="I427" s="10" t="s">
        <v>50</v>
      </c>
      <c r="J427" s="12"/>
    </row>
    <row r="428" customFormat="false" ht="15" hidden="false" customHeight="false" outlineLevel="0" collapsed="false">
      <c r="A428" s="10"/>
      <c r="B428" s="10"/>
      <c r="C428" s="10"/>
      <c r="D428" s="10"/>
      <c r="E428" s="10"/>
      <c r="F428" s="10"/>
      <c r="G428" s="10"/>
      <c r="H428" s="13" t="n">
        <v>30</v>
      </c>
      <c r="I428" s="10" t="s">
        <v>50</v>
      </c>
      <c r="J428" s="12"/>
    </row>
    <row r="429" customFormat="false" ht="15" hidden="false" customHeight="false" outlineLevel="0" collapsed="false">
      <c r="A429" s="10"/>
      <c r="B429" s="10"/>
      <c r="C429" s="10"/>
      <c r="D429" s="10"/>
      <c r="E429" s="10"/>
      <c r="F429" s="10"/>
      <c r="G429" s="10"/>
      <c r="H429" s="13" t="n">
        <v>30</v>
      </c>
      <c r="I429" s="10" t="s">
        <v>50</v>
      </c>
      <c r="J429" s="12"/>
    </row>
    <row r="430" customFormat="false" ht="15" hidden="false" customHeight="false" outlineLevel="0" collapsed="false">
      <c r="A430" s="10"/>
      <c r="B430" s="10"/>
      <c r="C430" s="10"/>
      <c r="D430" s="10"/>
      <c r="E430" s="10"/>
      <c r="F430" s="10"/>
      <c r="G430" s="10"/>
      <c r="H430" s="13" t="n">
        <v>30</v>
      </c>
      <c r="I430" s="10" t="s">
        <v>50</v>
      </c>
      <c r="J430" s="12"/>
    </row>
    <row r="431" customFormat="false" ht="15" hidden="false" customHeight="false" outlineLevel="0" collapsed="false">
      <c r="A431" s="10"/>
      <c r="B431" s="10"/>
      <c r="C431" s="10"/>
      <c r="D431" s="10"/>
      <c r="E431" s="10"/>
      <c r="F431" s="10"/>
      <c r="G431" s="10"/>
      <c r="H431" s="13" t="n">
        <v>30</v>
      </c>
      <c r="I431" s="10" t="s">
        <v>50</v>
      </c>
      <c r="J431" s="12"/>
    </row>
    <row r="432" customFormat="false" ht="15" hidden="false" customHeight="false" outlineLevel="0" collapsed="false">
      <c r="A432" s="10"/>
      <c r="B432" s="10"/>
      <c r="C432" s="10"/>
      <c r="D432" s="10"/>
      <c r="E432" s="10"/>
      <c r="F432" s="10"/>
      <c r="G432" s="10"/>
      <c r="H432" s="13" t="n">
        <v>30</v>
      </c>
      <c r="I432" s="10" t="s">
        <v>50</v>
      </c>
      <c r="J432" s="12"/>
    </row>
    <row r="433" customFormat="false" ht="15" hidden="false" customHeight="false" outlineLevel="0" collapsed="false">
      <c r="A433" s="10"/>
      <c r="B433" s="10"/>
      <c r="C433" s="10"/>
      <c r="D433" s="10"/>
      <c r="E433" s="10"/>
      <c r="F433" s="10"/>
      <c r="G433" s="10"/>
      <c r="H433" s="13" t="n">
        <v>30</v>
      </c>
      <c r="I433" s="10" t="s">
        <v>50</v>
      </c>
      <c r="J433" s="12"/>
    </row>
    <row r="434" customFormat="false" ht="15" hidden="false" customHeight="false" outlineLevel="0" collapsed="false">
      <c r="A434" s="10"/>
      <c r="B434" s="10"/>
      <c r="C434" s="10"/>
      <c r="D434" s="10"/>
      <c r="E434" s="10"/>
      <c r="F434" s="10"/>
      <c r="G434" s="10"/>
      <c r="H434" s="13" t="n">
        <v>30</v>
      </c>
      <c r="I434" s="10" t="s">
        <v>50</v>
      </c>
      <c r="J434" s="12"/>
    </row>
    <row r="435" customFormat="false" ht="15" hidden="false" customHeight="false" outlineLevel="0" collapsed="false">
      <c r="A435" s="10"/>
      <c r="B435" s="10"/>
      <c r="C435" s="10"/>
      <c r="D435" s="10"/>
      <c r="E435" s="10"/>
      <c r="F435" s="10"/>
      <c r="G435" s="10"/>
      <c r="H435" s="13" t="n">
        <v>30</v>
      </c>
      <c r="I435" s="10" t="s">
        <v>50</v>
      </c>
      <c r="J435" s="12"/>
    </row>
    <row r="436" customFormat="false" ht="15" hidden="false" customHeight="false" outlineLevel="0" collapsed="false">
      <c r="A436" s="10"/>
      <c r="B436" s="10"/>
      <c r="C436" s="10"/>
      <c r="D436" s="10"/>
      <c r="E436" s="10"/>
      <c r="F436" s="10"/>
      <c r="G436" s="10"/>
      <c r="H436" s="13" t="n">
        <v>30</v>
      </c>
      <c r="I436" s="10" t="s">
        <v>50</v>
      </c>
      <c r="J436" s="12"/>
    </row>
    <row r="437" customFormat="false" ht="15" hidden="false" customHeight="false" outlineLevel="0" collapsed="false">
      <c r="A437" s="10"/>
      <c r="B437" s="10"/>
      <c r="C437" s="10"/>
      <c r="D437" s="10"/>
      <c r="E437" s="10"/>
      <c r="F437" s="10"/>
      <c r="G437" s="10"/>
      <c r="H437" s="13" t="n">
        <v>30</v>
      </c>
      <c r="I437" s="10" t="s">
        <v>50</v>
      </c>
      <c r="J437" s="12"/>
    </row>
    <row r="438" customFormat="false" ht="15" hidden="false" customHeight="false" outlineLevel="0" collapsed="false">
      <c r="A438" s="10"/>
      <c r="B438" s="10"/>
      <c r="C438" s="10"/>
      <c r="D438" s="10"/>
      <c r="E438" s="10"/>
      <c r="F438" s="10"/>
      <c r="G438" s="10"/>
      <c r="H438" s="13" t="n">
        <v>30</v>
      </c>
      <c r="I438" s="10" t="s">
        <v>50</v>
      </c>
      <c r="J438" s="12"/>
    </row>
    <row r="439" customFormat="false" ht="15" hidden="false" customHeight="false" outlineLevel="0" collapsed="false">
      <c r="A439" s="10"/>
      <c r="B439" s="10"/>
      <c r="C439" s="10"/>
      <c r="D439" s="10"/>
      <c r="E439" s="10"/>
      <c r="F439" s="10"/>
      <c r="G439" s="10"/>
      <c r="H439" s="13" t="n">
        <v>30</v>
      </c>
      <c r="I439" s="10" t="s">
        <v>50</v>
      </c>
      <c r="J439" s="12"/>
    </row>
    <row r="440" customFormat="false" ht="15" hidden="false" customHeight="false" outlineLevel="0" collapsed="false">
      <c r="A440" s="10"/>
      <c r="B440" s="10"/>
      <c r="C440" s="10"/>
      <c r="D440" s="10"/>
      <c r="E440" s="10"/>
      <c r="F440" s="10"/>
      <c r="G440" s="10"/>
      <c r="H440" s="13" t="n">
        <v>30</v>
      </c>
      <c r="I440" s="10" t="s">
        <v>50</v>
      </c>
      <c r="J440" s="12"/>
    </row>
    <row r="441" customFormat="false" ht="15" hidden="false" customHeight="false" outlineLevel="0" collapsed="false">
      <c r="A441" s="10"/>
      <c r="B441" s="10"/>
      <c r="C441" s="10"/>
      <c r="D441" s="10"/>
      <c r="E441" s="10"/>
      <c r="F441" s="10"/>
      <c r="G441" s="10"/>
      <c r="H441" s="13" t="n">
        <v>30</v>
      </c>
      <c r="I441" s="10" t="s">
        <v>50</v>
      </c>
      <c r="J441" s="12"/>
    </row>
    <row r="442" customFormat="false" ht="15" hidden="false" customHeight="false" outlineLevel="0" collapsed="false">
      <c r="A442" s="10"/>
      <c r="B442" s="10"/>
      <c r="C442" s="10"/>
      <c r="D442" s="10"/>
      <c r="E442" s="10"/>
      <c r="F442" s="10"/>
      <c r="G442" s="10"/>
      <c r="H442" s="13" t="n">
        <v>30</v>
      </c>
      <c r="I442" s="10" t="s">
        <v>50</v>
      </c>
      <c r="J442" s="12"/>
    </row>
    <row r="443" customFormat="false" ht="15" hidden="false" customHeight="false" outlineLevel="0" collapsed="false">
      <c r="A443" s="10"/>
      <c r="B443" s="10"/>
      <c r="C443" s="10"/>
      <c r="D443" s="10"/>
      <c r="E443" s="10"/>
      <c r="F443" s="10"/>
      <c r="G443" s="10"/>
      <c r="H443" s="13" t="n">
        <v>30</v>
      </c>
      <c r="I443" s="10" t="s">
        <v>50</v>
      </c>
      <c r="J443" s="12"/>
    </row>
    <row r="444" customFormat="false" ht="15" hidden="false" customHeight="false" outlineLevel="0" collapsed="false">
      <c r="A444" s="10"/>
      <c r="B444" s="10"/>
      <c r="C444" s="10"/>
      <c r="D444" s="10"/>
      <c r="E444" s="10"/>
      <c r="F444" s="10"/>
      <c r="G444" s="10"/>
      <c r="H444" s="13" t="n">
        <v>30</v>
      </c>
      <c r="I444" s="10" t="s">
        <v>50</v>
      </c>
      <c r="J444" s="12"/>
    </row>
    <row r="445" customFormat="false" ht="15" hidden="false" customHeight="false" outlineLevel="0" collapsed="false">
      <c r="A445" s="10"/>
      <c r="B445" s="10"/>
      <c r="C445" s="10"/>
      <c r="D445" s="10"/>
      <c r="E445" s="10"/>
      <c r="F445" s="10"/>
      <c r="G445" s="10"/>
      <c r="H445" s="13" t="n">
        <v>30</v>
      </c>
      <c r="I445" s="10" t="s">
        <v>50</v>
      </c>
      <c r="J445" s="12"/>
    </row>
    <row r="446" customFormat="false" ht="15" hidden="false" customHeight="false" outlineLevel="0" collapsed="false">
      <c r="A446" s="10"/>
      <c r="B446" s="10"/>
      <c r="C446" s="10"/>
      <c r="D446" s="10"/>
      <c r="E446" s="10"/>
      <c r="F446" s="10"/>
      <c r="G446" s="10"/>
      <c r="H446" s="13" t="n">
        <v>30</v>
      </c>
      <c r="I446" s="10" t="s">
        <v>50</v>
      </c>
      <c r="J446" s="12"/>
    </row>
    <row r="447" customFormat="false" ht="15" hidden="false" customHeight="false" outlineLevel="0" collapsed="false">
      <c r="A447" s="10"/>
      <c r="B447" s="10"/>
      <c r="C447" s="10"/>
      <c r="D447" s="10"/>
      <c r="E447" s="10"/>
      <c r="F447" s="10"/>
      <c r="G447" s="10"/>
      <c r="H447" s="13" t="n">
        <v>30</v>
      </c>
      <c r="I447" s="10" t="s">
        <v>50</v>
      </c>
      <c r="J447" s="12"/>
    </row>
    <row r="448" customFormat="false" ht="15" hidden="false" customHeight="false" outlineLevel="0" collapsed="false">
      <c r="A448" s="10"/>
      <c r="B448" s="10"/>
      <c r="C448" s="10"/>
      <c r="D448" s="10"/>
      <c r="E448" s="10"/>
      <c r="F448" s="10"/>
      <c r="G448" s="10"/>
      <c r="H448" s="13" t="n">
        <v>30</v>
      </c>
      <c r="I448" s="10" t="s">
        <v>50</v>
      </c>
      <c r="J448" s="12"/>
    </row>
    <row r="449" customFormat="false" ht="15" hidden="false" customHeight="false" outlineLevel="0" collapsed="false">
      <c r="A449" s="10"/>
      <c r="B449" s="10"/>
      <c r="C449" s="10"/>
      <c r="D449" s="10"/>
      <c r="E449" s="10"/>
      <c r="F449" s="10"/>
      <c r="G449" s="10"/>
      <c r="H449" s="13" t="n">
        <v>30</v>
      </c>
      <c r="I449" s="10" t="s">
        <v>50</v>
      </c>
      <c r="J449" s="12"/>
    </row>
    <row r="450" customFormat="false" ht="15" hidden="false" customHeight="false" outlineLevel="0" collapsed="false">
      <c r="A450" s="10"/>
      <c r="B450" s="10"/>
      <c r="C450" s="10"/>
      <c r="D450" s="10"/>
      <c r="E450" s="10"/>
      <c r="F450" s="10"/>
      <c r="G450" s="10"/>
      <c r="H450" s="13" t="n">
        <v>30</v>
      </c>
      <c r="I450" s="10" t="s">
        <v>50</v>
      </c>
      <c r="J450" s="12"/>
    </row>
    <row r="451" customFormat="false" ht="15" hidden="false" customHeight="false" outlineLevel="0" collapsed="false">
      <c r="A451" s="10"/>
      <c r="B451" s="10"/>
      <c r="C451" s="10"/>
      <c r="D451" s="10"/>
      <c r="E451" s="10"/>
      <c r="F451" s="10"/>
      <c r="G451" s="10"/>
      <c r="H451" s="13" t="n">
        <v>30</v>
      </c>
      <c r="I451" s="10" t="s">
        <v>50</v>
      </c>
      <c r="J451" s="12"/>
    </row>
    <row r="452" customFormat="false" ht="15" hidden="false" customHeight="false" outlineLevel="0" collapsed="false">
      <c r="A452" s="10"/>
      <c r="B452" s="10"/>
      <c r="C452" s="10"/>
      <c r="D452" s="10"/>
      <c r="E452" s="10"/>
      <c r="F452" s="10"/>
      <c r="G452" s="10"/>
      <c r="H452" s="13" t="n">
        <v>30</v>
      </c>
      <c r="I452" s="10" t="s">
        <v>50</v>
      </c>
      <c r="J452" s="12"/>
    </row>
    <row r="453" customFormat="false" ht="15" hidden="false" customHeight="false" outlineLevel="0" collapsed="false">
      <c r="A453" s="10"/>
      <c r="B453" s="10"/>
      <c r="C453" s="10"/>
      <c r="D453" s="10"/>
      <c r="E453" s="10"/>
      <c r="F453" s="10"/>
      <c r="G453" s="10"/>
      <c r="H453" s="13" t="n">
        <v>30</v>
      </c>
      <c r="I453" s="10" t="s">
        <v>50</v>
      </c>
      <c r="J453" s="12"/>
    </row>
    <row r="454" customFormat="false" ht="15" hidden="false" customHeight="false" outlineLevel="0" collapsed="false">
      <c r="A454" s="10"/>
      <c r="B454" s="10"/>
      <c r="C454" s="10"/>
      <c r="D454" s="10"/>
      <c r="E454" s="10"/>
      <c r="F454" s="10"/>
      <c r="G454" s="10"/>
      <c r="H454" s="13" t="n">
        <v>30</v>
      </c>
      <c r="I454" s="10" t="s">
        <v>50</v>
      </c>
      <c r="J454" s="12"/>
    </row>
    <row r="455" customFormat="false" ht="15" hidden="false" customHeight="false" outlineLevel="0" collapsed="false">
      <c r="A455" s="10"/>
      <c r="B455" s="10"/>
      <c r="C455" s="10"/>
      <c r="D455" s="10"/>
      <c r="E455" s="10"/>
      <c r="F455" s="10"/>
      <c r="G455" s="10"/>
      <c r="H455" s="13" t="n">
        <v>30</v>
      </c>
      <c r="I455" s="10" t="s">
        <v>50</v>
      </c>
      <c r="J455" s="12"/>
    </row>
    <row r="456" customFormat="false" ht="15" hidden="false" customHeight="false" outlineLevel="0" collapsed="false">
      <c r="A456" s="10"/>
      <c r="B456" s="10"/>
      <c r="C456" s="10"/>
      <c r="D456" s="10"/>
      <c r="E456" s="10"/>
      <c r="F456" s="10"/>
      <c r="G456" s="10"/>
      <c r="H456" s="13" t="n">
        <v>30</v>
      </c>
      <c r="I456" s="10" t="s">
        <v>50</v>
      </c>
      <c r="J456" s="12"/>
    </row>
    <row r="457" customFormat="false" ht="15" hidden="false" customHeight="false" outlineLevel="0" collapsed="false">
      <c r="A457" s="10"/>
      <c r="B457" s="10"/>
      <c r="C457" s="10"/>
      <c r="D457" s="10"/>
      <c r="E457" s="10"/>
      <c r="F457" s="10"/>
      <c r="G457" s="10"/>
      <c r="H457" s="13" t="n">
        <v>30</v>
      </c>
      <c r="I457" s="10" t="s">
        <v>50</v>
      </c>
      <c r="J457" s="12"/>
    </row>
    <row r="458" customFormat="false" ht="15" hidden="false" customHeight="false" outlineLevel="0" collapsed="false">
      <c r="A458" s="10"/>
      <c r="B458" s="10"/>
      <c r="C458" s="10"/>
      <c r="D458" s="10"/>
      <c r="E458" s="10"/>
      <c r="F458" s="10"/>
      <c r="G458" s="10"/>
      <c r="H458" s="13" t="n">
        <v>30</v>
      </c>
      <c r="I458" s="10" t="s">
        <v>50</v>
      </c>
      <c r="J458" s="12"/>
    </row>
    <row r="459" customFormat="false" ht="15" hidden="false" customHeight="false" outlineLevel="0" collapsed="false">
      <c r="A459" s="10"/>
      <c r="B459" s="10"/>
      <c r="C459" s="10"/>
      <c r="D459" s="10"/>
      <c r="E459" s="10"/>
      <c r="F459" s="10"/>
      <c r="G459" s="10"/>
      <c r="H459" s="13" t="n">
        <v>30</v>
      </c>
      <c r="I459" s="10" t="s">
        <v>50</v>
      </c>
      <c r="J459" s="12"/>
    </row>
    <row r="460" customFormat="false" ht="15" hidden="false" customHeight="false" outlineLevel="0" collapsed="false">
      <c r="A460" s="10"/>
      <c r="B460" s="10"/>
      <c r="C460" s="10"/>
      <c r="D460" s="10"/>
      <c r="E460" s="10"/>
      <c r="F460" s="10"/>
      <c r="G460" s="10"/>
      <c r="H460" s="13" t="n">
        <v>30</v>
      </c>
      <c r="I460" s="10" t="s">
        <v>50</v>
      </c>
      <c r="J460" s="12"/>
    </row>
    <row r="461" customFormat="false" ht="15" hidden="false" customHeight="false" outlineLevel="0" collapsed="false">
      <c r="A461" s="10"/>
      <c r="B461" s="10"/>
      <c r="C461" s="10"/>
      <c r="D461" s="10"/>
      <c r="E461" s="10"/>
      <c r="F461" s="10"/>
      <c r="G461" s="10"/>
      <c r="H461" s="13" t="n">
        <v>30</v>
      </c>
      <c r="I461" s="10" t="s">
        <v>50</v>
      </c>
      <c r="J461" s="12"/>
    </row>
    <row r="462" customFormat="false" ht="15" hidden="false" customHeight="false" outlineLevel="0" collapsed="false">
      <c r="A462" s="10"/>
      <c r="B462" s="10"/>
      <c r="C462" s="10"/>
      <c r="D462" s="10"/>
      <c r="E462" s="10"/>
      <c r="F462" s="10"/>
      <c r="G462" s="10"/>
      <c r="H462" s="13" t="n">
        <v>30</v>
      </c>
      <c r="I462" s="10" t="s">
        <v>50</v>
      </c>
      <c r="J462" s="12"/>
    </row>
    <row r="463" customFormat="false" ht="15" hidden="false" customHeight="false" outlineLevel="0" collapsed="false">
      <c r="A463" s="10"/>
      <c r="B463" s="10"/>
      <c r="C463" s="10"/>
      <c r="D463" s="10"/>
      <c r="E463" s="10"/>
      <c r="F463" s="10"/>
      <c r="G463" s="10"/>
      <c r="H463" s="13" t="n">
        <v>30</v>
      </c>
      <c r="I463" s="10" t="s">
        <v>50</v>
      </c>
      <c r="J463" s="12"/>
    </row>
    <row r="464" customFormat="false" ht="15" hidden="false" customHeight="false" outlineLevel="0" collapsed="false">
      <c r="A464" s="10"/>
      <c r="B464" s="10"/>
      <c r="C464" s="10"/>
      <c r="D464" s="10"/>
      <c r="E464" s="10"/>
      <c r="F464" s="10"/>
      <c r="G464" s="10"/>
      <c r="H464" s="13" t="n">
        <v>30</v>
      </c>
      <c r="I464" s="10" t="s">
        <v>50</v>
      </c>
      <c r="J464" s="12"/>
    </row>
    <row r="465" customFormat="false" ht="15" hidden="false" customHeight="false" outlineLevel="0" collapsed="false">
      <c r="A465" s="10"/>
      <c r="B465" s="10"/>
      <c r="C465" s="10"/>
      <c r="D465" s="10"/>
      <c r="E465" s="10"/>
      <c r="F465" s="10"/>
      <c r="G465" s="10"/>
      <c r="H465" s="13" t="n">
        <v>30</v>
      </c>
      <c r="I465" s="10" t="s">
        <v>50</v>
      </c>
      <c r="J465" s="12"/>
    </row>
    <row r="466" customFormat="false" ht="15" hidden="false" customHeight="false" outlineLevel="0" collapsed="false">
      <c r="A466" s="10"/>
      <c r="B466" s="10"/>
      <c r="C466" s="10"/>
      <c r="D466" s="10"/>
      <c r="E466" s="10"/>
      <c r="F466" s="10"/>
      <c r="G466" s="10"/>
      <c r="H466" s="13" t="n">
        <v>30</v>
      </c>
      <c r="I466" s="10" t="s">
        <v>50</v>
      </c>
      <c r="J466" s="12"/>
    </row>
    <row r="467" customFormat="false" ht="15" hidden="false" customHeight="false" outlineLevel="0" collapsed="false">
      <c r="A467" s="10"/>
      <c r="B467" s="10"/>
      <c r="C467" s="10"/>
      <c r="D467" s="10"/>
      <c r="E467" s="10"/>
      <c r="F467" s="10"/>
      <c r="G467" s="10"/>
      <c r="H467" s="13" t="n">
        <v>30</v>
      </c>
      <c r="I467" s="10" t="s">
        <v>50</v>
      </c>
      <c r="J467" s="12"/>
    </row>
    <row r="468" customFormat="false" ht="15" hidden="false" customHeight="false" outlineLevel="0" collapsed="false">
      <c r="A468" s="10"/>
      <c r="B468" s="10"/>
      <c r="C468" s="10"/>
      <c r="D468" s="10"/>
      <c r="E468" s="10"/>
      <c r="F468" s="10"/>
      <c r="G468" s="10"/>
      <c r="H468" s="13" t="n">
        <v>30</v>
      </c>
      <c r="I468" s="10" t="s">
        <v>50</v>
      </c>
      <c r="J468" s="12"/>
    </row>
    <row r="469" customFormat="false" ht="15" hidden="false" customHeight="false" outlineLevel="0" collapsed="false">
      <c r="A469" s="10"/>
      <c r="B469" s="10"/>
      <c r="C469" s="10"/>
      <c r="D469" s="10"/>
      <c r="E469" s="10"/>
      <c r="F469" s="10"/>
      <c r="G469" s="10"/>
      <c r="H469" s="13" t="n">
        <v>30</v>
      </c>
      <c r="I469" s="10" t="s">
        <v>50</v>
      </c>
      <c r="J469" s="12"/>
    </row>
    <row r="470" customFormat="false" ht="15" hidden="false" customHeight="false" outlineLevel="0" collapsed="false">
      <c r="A470" s="10"/>
      <c r="B470" s="10"/>
      <c r="C470" s="10"/>
      <c r="D470" s="10"/>
      <c r="E470" s="10"/>
      <c r="F470" s="10"/>
      <c r="G470" s="10"/>
      <c r="H470" s="13" t="n">
        <v>30</v>
      </c>
      <c r="I470" s="10" t="s">
        <v>50</v>
      </c>
      <c r="J470" s="12"/>
    </row>
    <row r="471" customFormat="false" ht="15" hidden="false" customHeight="false" outlineLevel="0" collapsed="false">
      <c r="A471" s="10"/>
      <c r="B471" s="10"/>
      <c r="C471" s="10"/>
      <c r="D471" s="10"/>
      <c r="E471" s="10"/>
      <c r="F471" s="10"/>
      <c r="G471" s="10"/>
      <c r="H471" s="13" t="n">
        <v>30</v>
      </c>
      <c r="I471" s="10" t="s">
        <v>50</v>
      </c>
      <c r="J471" s="12"/>
    </row>
    <row r="472" customFormat="false" ht="15" hidden="false" customHeight="false" outlineLevel="0" collapsed="false">
      <c r="A472" s="10"/>
      <c r="B472" s="10"/>
      <c r="C472" s="10"/>
      <c r="D472" s="10"/>
      <c r="E472" s="10"/>
      <c r="F472" s="10"/>
      <c r="G472" s="10"/>
      <c r="H472" s="13" t="n">
        <v>30</v>
      </c>
      <c r="I472" s="10" t="s">
        <v>50</v>
      </c>
      <c r="J472" s="12"/>
    </row>
    <row r="473" customFormat="false" ht="15" hidden="false" customHeight="false" outlineLevel="0" collapsed="false">
      <c r="A473" s="10"/>
      <c r="B473" s="10"/>
      <c r="C473" s="10"/>
      <c r="D473" s="10"/>
      <c r="E473" s="10"/>
      <c r="F473" s="10"/>
      <c r="G473" s="10"/>
      <c r="H473" s="13" t="n">
        <v>30</v>
      </c>
      <c r="I473" s="10" t="s">
        <v>50</v>
      </c>
      <c r="J473" s="12"/>
    </row>
    <row r="474" customFormat="false" ht="15" hidden="false" customHeight="false" outlineLevel="0" collapsed="false">
      <c r="A474" s="10"/>
      <c r="B474" s="10"/>
      <c r="C474" s="10"/>
      <c r="D474" s="10"/>
      <c r="E474" s="10"/>
      <c r="F474" s="10"/>
      <c r="G474" s="10"/>
      <c r="H474" s="13" t="n">
        <v>30</v>
      </c>
      <c r="I474" s="10" t="s">
        <v>50</v>
      </c>
      <c r="J474" s="12"/>
    </row>
    <row r="475" customFormat="false" ht="15" hidden="false" customHeight="false" outlineLevel="0" collapsed="false">
      <c r="A475" s="10"/>
      <c r="B475" s="10"/>
      <c r="C475" s="10"/>
      <c r="D475" s="10"/>
      <c r="E475" s="10"/>
      <c r="F475" s="10"/>
      <c r="G475" s="10"/>
      <c r="H475" s="13" t="n">
        <v>30</v>
      </c>
      <c r="I475" s="10" t="s">
        <v>50</v>
      </c>
      <c r="J475" s="12"/>
    </row>
    <row r="476" customFormat="false" ht="15" hidden="false" customHeight="false" outlineLevel="0" collapsed="false">
      <c r="A476" s="10"/>
      <c r="B476" s="10"/>
      <c r="C476" s="10"/>
      <c r="D476" s="10"/>
      <c r="E476" s="10"/>
      <c r="F476" s="10"/>
      <c r="G476" s="10"/>
      <c r="H476" s="13" t="n">
        <v>30</v>
      </c>
      <c r="I476" s="10" t="s">
        <v>50</v>
      </c>
      <c r="J476" s="12"/>
    </row>
    <row r="477" customFormat="false" ht="15" hidden="false" customHeight="false" outlineLevel="0" collapsed="false">
      <c r="A477" s="10"/>
      <c r="B477" s="10"/>
      <c r="C477" s="10"/>
      <c r="D477" s="10"/>
      <c r="E477" s="10"/>
      <c r="F477" s="10"/>
      <c r="G477" s="10"/>
      <c r="H477" s="13" t="n">
        <v>30</v>
      </c>
      <c r="I477" s="10" t="s">
        <v>50</v>
      </c>
      <c r="J477" s="12"/>
    </row>
    <row r="478" customFormat="false" ht="15" hidden="false" customHeight="false" outlineLevel="0" collapsed="false">
      <c r="A478" s="10"/>
      <c r="B478" s="10"/>
      <c r="C478" s="10"/>
      <c r="D478" s="10"/>
      <c r="E478" s="10"/>
      <c r="F478" s="10"/>
      <c r="G478" s="10"/>
      <c r="H478" s="13" t="n">
        <v>30</v>
      </c>
      <c r="I478" s="10" t="s">
        <v>50</v>
      </c>
      <c r="J478" s="12"/>
    </row>
    <row r="479" customFormat="false" ht="15" hidden="false" customHeight="false" outlineLevel="0" collapsed="false">
      <c r="A479" s="10"/>
      <c r="B479" s="10"/>
      <c r="C479" s="10"/>
      <c r="D479" s="10"/>
      <c r="E479" s="10"/>
      <c r="F479" s="10"/>
      <c r="G479" s="10"/>
      <c r="H479" s="13" t="n">
        <v>30</v>
      </c>
      <c r="I479" s="10" t="s">
        <v>50</v>
      </c>
      <c r="J479" s="12"/>
    </row>
    <row r="480" customFormat="false" ht="15" hidden="false" customHeight="false" outlineLevel="0" collapsed="false">
      <c r="A480" s="10"/>
      <c r="B480" s="10"/>
      <c r="C480" s="10"/>
      <c r="D480" s="10"/>
      <c r="E480" s="10"/>
      <c r="F480" s="10"/>
      <c r="G480" s="10"/>
      <c r="H480" s="13" t="n">
        <v>30</v>
      </c>
      <c r="I480" s="10" t="s">
        <v>50</v>
      </c>
      <c r="J480" s="12"/>
    </row>
    <row r="481" customFormat="false" ht="15" hidden="false" customHeight="false" outlineLevel="0" collapsed="false">
      <c r="A481" s="10"/>
      <c r="B481" s="10"/>
      <c r="C481" s="10"/>
      <c r="D481" s="10"/>
      <c r="E481" s="10"/>
      <c r="F481" s="10"/>
      <c r="G481" s="10"/>
      <c r="H481" s="13" t="n">
        <v>30</v>
      </c>
      <c r="I481" s="10" t="s">
        <v>50</v>
      </c>
      <c r="J481" s="12"/>
    </row>
    <row r="482" customFormat="false" ht="15" hidden="false" customHeight="false" outlineLevel="0" collapsed="false">
      <c r="A482" s="10"/>
      <c r="B482" s="10"/>
      <c r="C482" s="10"/>
      <c r="D482" s="10"/>
      <c r="E482" s="10"/>
      <c r="F482" s="10"/>
      <c r="G482" s="10"/>
      <c r="H482" s="13" t="n">
        <v>30</v>
      </c>
      <c r="I482" s="10" t="s">
        <v>50</v>
      </c>
      <c r="J482" s="12"/>
    </row>
    <row r="483" customFormat="false" ht="15" hidden="false" customHeight="false" outlineLevel="0" collapsed="false">
      <c r="A483" s="10"/>
      <c r="B483" s="10"/>
      <c r="C483" s="10"/>
      <c r="D483" s="10"/>
      <c r="E483" s="10"/>
      <c r="F483" s="10"/>
      <c r="G483" s="10"/>
      <c r="H483" s="13" t="n">
        <v>30</v>
      </c>
      <c r="I483" s="10" t="s">
        <v>50</v>
      </c>
      <c r="J483" s="12"/>
    </row>
    <row r="484" customFormat="false" ht="15" hidden="false" customHeight="false" outlineLevel="0" collapsed="false">
      <c r="A484" s="10"/>
      <c r="B484" s="10"/>
      <c r="C484" s="10"/>
      <c r="D484" s="10"/>
      <c r="E484" s="10"/>
      <c r="F484" s="10"/>
      <c r="G484" s="10"/>
      <c r="H484" s="13" t="n">
        <v>30</v>
      </c>
      <c r="I484" s="10" t="s">
        <v>50</v>
      </c>
      <c r="J484" s="12"/>
    </row>
    <row r="485" customFormat="false" ht="15" hidden="false" customHeight="false" outlineLevel="0" collapsed="false">
      <c r="A485" s="10"/>
      <c r="B485" s="10"/>
      <c r="C485" s="10"/>
      <c r="D485" s="10"/>
      <c r="E485" s="10"/>
      <c r="F485" s="10"/>
      <c r="G485" s="10"/>
      <c r="H485" s="13" t="n">
        <v>30</v>
      </c>
      <c r="I485" s="10" t="s">
        <v>50</v>
      </c>
      <c r="J485" s="12"/>
    </row>
    <row r="486" customFormat="false" ht="15" hidden="false" customHeight="false" outlineLevel="0" collapsed="false">
      <c r="A486" s="10"/>
      <c r="B486" s="10"/>
      <c r="C486" s="10"/>
      <c r="D486" s="10"/>
      <c r="E486" s="10"/>
      <c r="F486" s="10"/>
      <c r="G486" s="10"/>
      <c r="H486" s="13" t="n">
        <v>30</v>
      </c>
      <c r="I486" s="10" t="s">
        <v>50</v>
      </c>
      <c r="J486" s="12"/>
    </row>
    <row r="487" customFormat="false" ht="15" hidden="false" customHeight="false" outlineLevel="0" collapsed="false">
      <c r="A487" s="10"/>
      <c r="B487" s="10"/>
      <c r="C487" s="10"/>
      <c r="D487" s="10"/>
      <c r="E487" s="10"/>
      <c r="F487" s="10"/>
      <c r="G487" s="10"/>
      <c r="H487" s="13" t="n">
        <v>30</v>
      </c>
      <c r="I487" s="10" t="s">
        <v>50</v>
      </c>
      <c r="J487" s="12"/>
    </row>
    <row r="488" customFormat="false" ht="15" hidden="false" customHeight="false" outlineLevel="0" collapsed="false">
      <c r="A488" s="10"/>
      <c r="B488" s="10"/>
      <c r="C488" s="10"/>
      <c r="D488" s="10"/>
      <c r="E488" s="10"/>
      <c r="F488" s="10"/>
      <c r="G488" s="10"/>
      <c r="H488" s="13" t="n">
        <v>30</v>
      </c>
      <c r="I488" s="10" t="s">
        <v>50</v>
      </c>
      <c r="J488" s="12"/>
    </row>
    <row r="489" customFormat="false" ht="15" hidden="false" customHeight="false" outlineLevel="0" collapsed="false">
      <c r="A489" s="10"/>
      <c r="B489" s="10"/>
      <c r="C489" s="10"/>
      <c r="D489" s="10"/>
      <c r="E489" s="10"/>
      <c r="F489" s="10"/>
      <c r="G489" s="10"/>
      <c r="H489" s="13" t="n">
        <v>30</v>
      </c>
      <c r="I489" s="10" t="s">
        <v>50</v>
      </c>
      <c r="J489" s="12"/>
    </row>
    <row r="490" customFormat="false" ht="15" hidden="false" customHeight="false" outlineLevel="0" collapsed="false">
      <c r="A490" s="10"/>
      <c r="B490" s="10"/>
      <c r="C490" s="10"/>
      <c r="D490" s="10"/>
      <c r="E490" s="10"/>
      <c r="F490" s="10"/>
      <c r="G490" s="10"/>
      <c r="H490" s="13" t="n">
        <v>30</v>
      </c>
      <c r="I490" s="10" t="s">
        <v>50</v>
      </c>
      <c r="J490" s="12"/>
    </row>
    <row r="491" customFormat="false" ht="15" hidden="false" customHeight="false" outlineLevel="0" collapsed="false">
      <c r="A491" s="10"/>
      <c r="B491" s="10"/>
      <c r="C491" s="10"/>
      <c r="D491" s="10"/>
      <c r="E491" s="10"/>
      <c r="F491" s="10"/>
      <c r="G491" s="10"/>
      <c r="H491" s="13" t="n">
        <v>30</v>
      </c>
      <c r="I491" s="10" t="s">
        <v>50</v>
      </c>
      <c r="J491" s="12"/>
    </row>
    <row r="492" customFormat="false" ht="15" hidden="false" customHeight="false" outlineLevel="0" collapsed="false">
      <c r="A492" s="10"/>
      <c r="B492" s="10"/>
      <c r="C492" s="10"/>
      <c r="D492" s="10"/>
      <c r="E492" s="10"/>
      <c r="F492" s="10"/>
      <c r="G492" s="10"/>
      <c r="H492" s="13" t="n">
        <v>30</v>
      </c>
      <c r="I492" s="10" t="s">
        <v>50</v>
      </c>
      <c r="J492" s="12"/>
    </row>
    <row r="493" customFormat="false" ht="15" hidden="false" customHeight="false" outlineLevel="0" collapsed="false">
      <c r="A493" s="10"/>
      <c r="B493" s="10"/>
      <c r="C493" s="10"/>
      <c r="D493" s="10"/>
      <c r="E493" s="10"/>
      <c r="F493" s="10"/>
      <c r="G493" s="10"/>
      <c r="H493" s="13" t="n">
        <v>30</v>
      </c>
      <c r="I493" s="10" t="s">
        <v>50</v>
      </c>
      <c r="J493" s="12"/>
    </row>
    <row r="494" customFormat="false" ht="15" hidden="false" customHeight="false" outlineLevel="0" collapsed="false">
      <c r="A494" s="10"/>
      <c r="B494" s="10"/>
      <c r="C494" s="10"/>
      <c r="D494" s="10"/>
      <c r="E494" s="10"/>
      <c r="F494" s="10"/>
      <c r="G494" s="10"/>
      <c r="H494" s="13" t="n">
        <v>30</v>
      </c>
      <c r="I494" s="10" t="s">
        <v>50</v>
      </c>
      <c r="J494" s="12"/>
    </row>
    <row r="495" customFormat="false" ht="15" hidden="false" customHeight="false" outlineLevel="0" collapsed="false">
      <c r="A495" s="10"/>
      <c r="B495" s="10"/>
      <c r="C495" s="10"/>
      <c r="D495" s="10"/>
      <c r="E495" s="10"/>
      <c r="F495" s="10"/>
      <c r="G495" s="10"/>
      <c r="H495" s="13" t="n">
        <v>30</v>
      </c>
      <c r="I495" s="10" t="s">
        <v>50</v>
      </c>
      <c r="J495" s="12"/>
    </row>
    <row r="496" customFormat="false" ht="15" hidden="false" customHeight="false" outlineLevel="0" collapsed="false">
      <c r="A496" s="10"/>
      <c r="B496" s="10"/>
      <c r="C496" s="10"/>
      <c r="D496" s="10"/>
      <c r="E496" s="10"/>
      <c r="F496" s="10"/>
      <c r="G496" s="10"/>
      <c r="H496" s="13" t="n">
        <v>30</v>
      </c>
      <c r="I496" s="10" t="s">
        <v>50</v>
      </c>
      <c r="J496" s="12"/>
    </row>
    <row r="497" customFormat="false" ht="15" hidden="false" customHeight="false" outlineLevel="0" collapsed="false">
      <c r="A497" s="10"/>
      <c r="B497" s="10"/>
      <c r="C497" s="10"/>
      <c r="D497" s="10"/>
      <c r="E497" s="10"/>
      <c r="F497" s="10"/>
      <c r="G497" s="10"/>
      <c r="H497" s="13" t="n">
        <v>30</v>
      </c>
      <c r="I497" s="10" t="s">
        <v>50</v>
      </c>
      <c r="J497" s="12"/>
    </row>
    <row r="498" customFormat="false" ht="15" hidden="false" customHeight="false" outlineLevel="0" collapsed="false">
      <c r="A498" s="10"/>
      <c r="B498" s="10"/>
      <c r="C498" s="10"/>
      <c r="D498" s="10"/>
      <c r="E498" s="10"/>
      <c r="F498" s="10"/>
      <c r="G498" s="10"/>
      <c r="H498" s="13" t="n">
        <v>30</v>
      </c>
      <c r="I498" s="10" t="s">
        <v>50</v>
      </c>
      <c r="J498" s="12"/>
    </row>
    <row r="499" customFormat="false" ht="15" hidden="false" customHeight="false" outlineLevel="0" collapsed="false">
      <c r="A499" s="10"/>
      <c r="B499" s="10"/>
      <c r="C499" s="10"/>
      <c r="D499" s="10"/>
      <c r="E499" s="10"/>
      <c r="F499" s="10"/>
      <c r="G499" s="10"/>
      <c r="H499" s="13" t="n">
        <v>30</v>
      </c>
      <c r="I499" s="10" t="s">
        <v>50</v>
      </c>
      <c r="J499" s="12"/>
    </row>
    <row r="500" customFormat="false" ht="15" hidden="false" customHeight="false" outlineLevel="0" collapsed="false">
      <c r="A500" s="10"/>
      <c r="B500" s="10"/>
      <c r="C500" s="10"/>
      <c r="D500" s="10"/>
      <c r="E500" s="10"/>
      <c r="F500" s="10"/>
      <c r="G500" s="10"/>
      <c r="H500" s="13" t="n">
        <v>30</v>
      </c>
      <c r="I500" s="10" t="s">
        <v>50</v>
      </c>
      <c r="J500" s="12"/>
    </row>
    <row r="501" customFormat="false" ht="15" hidden="false" customHeight="false" outlineLevel="0" collapsed="false">
      <c r="A501" s="10"/>
      <c r="B501" s="10"/>
      <c r="C501" s="10"/>
      <c r="D501" s="10"/>
      <c r="E501" s="10"/>
      <c r="F501" s="10"/>
      <c r="G501" s="10"/>
      <c r="H501" s="13" t="n">
        <v>30</v>
      </c>
      <c r="I501" s="10" t="s">
        <v>50</v>
      </c>
      <c r="J501" s="12"/>
    </row>
    <row r="502" customFormat="false" ht="15" hidden="false" customHeight="false" outlineLevel="0" collapsed="false">
      <c r="A502" s="10"/>
      <c r="B502" s="10"/>
      <c r="C502" s="10"/>
      <c r="D502" s="10"/>
      <c r="E502" s="10"/>
      <c r="F502" s="10"/>
      <c r="G502" s="10"/>
      <c r="H502" s="13" t="n">
        <v>30</v>
      </c>
      <c r="I502" s="10" t="s">
        <v>50</v>
      </c>
      <c r="J502" s="12"/>
    </row>
    <row r="503" customFormat="false" ht="15" hidden="false" customHeight="false" outlineLevel="0" collapsed="false">
      <c r="A503" s="10"/>
      <c r="B503" s="10"/>
      <c r="C503" s="10"/>
      <c r="D503" s="10"/>
      <c r="E503" s="10"/>
      <c r="F503" s="10"/>
      <c r="G503" s="10"/>
      <c r="H503" s="13" t="n">
        <v>30</v>
      </c>
      <c r="I503" s="10" t="s">
        <v>50</v>
      </c>
      <c r="J503" s="12"/>
    </row>
    <row r="504" customFormat="false" ht="15" hidden="false" customHeight="false" outlineLevel="0" collapsed="false">
      <c r="A504" s="10"/>
      <c r="B504" s="10"/>
      <c r="C504" s="10"/>
      <c r="D504" s="10"/>
      <c r="E504" s="10"/>
      <c r="F504" s="10"/>
      <c r="G504" s="10"/>
      <c r="H504" s="13" t="n">
        <v>30</v>
      </c>
      <c r="I504" s="10" t="s">
        <v>50</v>
      </c>
      <c r="J504" s="12"/>
    </row>
  </sheetData>
  <dataValidations count="1">
    <dataValidation allowBlank="true" errorStyle="stop" operator="between" showDropDown="false" showErrorMessage="false" showInputMessage="false" sqref="I5:I5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K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5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11" min="9" style="0" width="10"/>
  </cols>
  <sheetData>
    <row r="1" customFormat="false" ht="19.7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15" hidden="false" customHeight="false" outlineLevel="0" collapsed="false">
      <c r="A4" s="6" t="s">
        <v>99</v>
      </c>
      <c r="B4" s="6" t="s">
        <v>100</v>
      </c>
      <c r="C4" s="6" t="s">
        <v>34</v>
      </c>
      <c r="D4" s="6" t="s">
        <v>101</v>
      </c>
      <c r="E4" s="6" t="s">
        <v>102</v>
      </c>
      <c r="F4" s="6" t="s">
        <v>103</v>
      </c>
      <c r="G4" s="6" t="s">
        <v>104</v>
      </c>
      <c r="H4" s="6" t="s">
        <v>105</v>
      </c>
      <c r="I4" s="6" t="s">
        <v>106</v>
      </c>
      <c r="J4" s="6" t="s">
        <v>107</v>
      </c>
      <c r="K4" s="6" t="s">
        <v>41</v>
      </c>
    </row>
    <row r="5" customFormat="false" ht="15" hidden="false" customHeight="false" outlineLevel="0" collapsed="false">
      <c r="A5" s="10" t="s">
        <v>108</v>
      </c>
      <c r="B5" s="10" t="s">
        <v>109</v>
      </c>
      <c r="C5" s="10" t="s">
        <v>110</v>
      </c>
      <c r="D5" s="10" t="s">
        <v>111</v>
      </c>
      <c r="E5" s="10" t="s">
        <v>112</v>
      </c>
      <c r="F5" s="10" t="s">
        <v>113</v>
      </c>
      <c r="G5" s="11" t="n">
        <v>12.5</v>
      </c>
      <c r="H5" s="11" t="n">
        <v>4.8</v>
      </c>
      <c r="I5" s="10" t="s">
        <v>114</v>
      </c>
      <c r="J5" s="13" t="n">
        <v>50</v>
      </c>
      <c r="K5" s="10" t="s">
        <v>50</v>
      </c>
    </row>
    <row r="6" customFormat="false" ht="15" hidden="false" customHeight="false" outlineLevel="0" collapsed="false">
      <c r="A6" s="10" t="s">
        <v>115</v>
      </c>
      <c r="B6" s="10" t="s">
        <v>116</v>
      </c>
      <c r="C6" s="10" t="s">
        <v>117</v>
      </c>
      <c r="D6" s="10" t="s">
        <v>118</v>
      </c>
      <c r="E6" s="10" t="s">
        <v>112</v>
      </c>
      <c r="F6" s="10" t="s">
        <v>113</v>
      </c>
      <c r="G6" s="11" t="n">
        <v>22</v>
      </c>
      <c r="H6" s="11" t="n">
        <v>9.2</v>
      </c>
      <c r="I6" s="10" t="s">
        <v>114</v>
      </c>
      <c r="J6" s="13" t="n">
        <v>30</v>
      </c>
      <c r="K6" s="10" t="s">
        <v>50</v>
      </c>
    </row>
    <row r="7" customFormat="false" ht="15" hidden="false" customHeight="false" outlineLevel="0" collapsed="false">
      <c r="A7" s="10" t="s">
        <v>119</v>
      </c>
      <c r="B7" s="10" t="s">
        <v>120</v>
      </c>
      <c r="C7" s="10" t="s">
        <v>121</v>
      </c>
      <c r="D7" s="10" t="s">
        <v>122</v>
      </c>
      <c r="E7" s="10" t="s">
        <v>112</v>
      </c>
      <c r="F7" s="10" t="s">
        <v>113</v>
      </c>
      <c r="G7" s="11" t="n">
        <v>1.2</v>
      </c>
      <c r="H7" s="11" t="n">
        <v>0.45</v>
      </c>
      <c r="I7" s="10" t="s">
        <v>114</v>
      </c>
      <c r="J7" s="13" t="n">
        <v>500</v>
      </c>
      <c r="K7" s="10" t="s">
        <v>50</v>
      </c>
    </row>
    <row r="8" customFormat="false" ht="15" hidden="false" customHeight="false" outlineLevel="0" collapsed="false">
      <c r="A8" s="10" t="s">
        <v>123</v>
      </c>
      <c r="B8" s="10" t="s">
        <v>124</v>
      </c>
      <c r="C8" s="10" t="s">
        <v>125</v>
      </c>
      <c r="D8" s="10" t="s">
        <v>126</v>
      </c>
      <c r="E8" s="10" t="s">
        <v>127</v>
      </c>
      <c r="F8" s="10" t="s">
        <v>128</v>
      </c>
      <c r="G8" s="11" t="n">
        <v>85</v>
      </c>
      <c r="H8" s="11" t="n">
        <v>0</v>
      </c>
      <c r="I8" s="10" t="s">
        <v>114</v>
      </c>
      <c r="J8" s="13" t="n">
        <v>0</v>
      </c>
      <c r="K8" s="10" t="s">
        <v>50</v>
      </c>
    </row>
    <row r="9" customFormat="false" ht="15" hidden="false" customHeight="false" outlineLevel="0" collapsed="false">
      <c r="A9" s="10" t="s">
        <v>129</v>
      </c>
      <c r="B9" s="10" t="s">
        <v>130</v>
      </c>
      <c r="C9" s="10" t="s">
        <v>131</v>
      </c>
      <c r="D9" s="10" t="s">
        <v>132</v>
      </c>
      <c r="E9" s="10" t="s">
        <v>133</v>
      </c>
      <c r="F9" s="10" t="s">
        <v>134</v>
      </c>
      <c r="G9" s="11" t="n">
        <v>0</v>
      </c>
      <c r="H9" s="11" t="n">
        <v>48</v>
      </c>
      <c r="I9" s="10" t="s">
        <v>114</v>
      </c>
      <c r="J9" s="13" t="n">
        <v>20</v>
      </c>
      <c r="K9" s="10" t="s">
        <v>50</v>
      </c>
    </row>
    <row r="10" customFormat="false" ht="15" hidden="false" customHeight="false" outlineLevel="0" collapsed="false">
      <c r="A10" s="10" t="s">
        <v>135</v>
      </c>
      <c r="B10" s="10" t="s">
        <v>136</v>
      </c>
      <c r="C10" s="10" t="s">
        <v>137</v>
      </c>
      <c r="D10" s="10" t="s">
        <v>138</v>
      </c>
      <c r="E10" s="10" t="s">
        <v>133</v>
      </c>
      <c r="F10" s="10" t="s">
        <v>139</v>
      </c>
      <c r="G10" s="11" t="n">
        <v>0</v>
      </c>
      <c r="H10" s="11" t="n">
        <v>35</v>
      </c>
      <c r="I10" s="10" t="s">
        <v>114</v>
      </c>
      <c r="J10" s="13" t="n">
        <v>5</v>
      </c>
      <c r="K10" s="10" t="s">
        <v>50</v>
      </c>
    </row>
    <row r="11" customFormat="false" ht="15" hidden="false" customHeight="false" outlineLevel="0" collapsed="false">
      <c r="A11" s="10"/>
      <c r="B11" s="10"/>
      <c r="C11" s="10"/>
      <c r="D11" s="10"/>
      <c r="E11" s="10" t="s">
        <v>112</v>
      </c>
      <c r="F11" s="10" t="s">
        <v>113</v>
      </c>
      <c r="G11" s="11"/>
      <c r="H11" s="11"/>
      <c r="I11" s="10" t="s">
        <v>114</v>
      </c>
      <c r="J11" s="13" t="n">
        <v>0</v>
      </c>
      <c r="K11" s="10" t="s">
        <v>50</v>
      </c>
    </row>
    <row r="12" customFormat="false" ht="15" hidden="false" customHeight="false" outlineLevel="0" collapsed="false">
      <c r="A12" s="10"/>
      <c r="B12" s="10"/>
      <c r="C12" s="10"/>
      <c r="D12" s="10"/>
      <c r="E12" s="10" t="s">
        <v>112</v>
      </c>
      <c r="F12" s="10" t="s">
        <v>113</v>
      </c>
      <c r="G12" s="11"/>
      <c r="H12" s="11"/>
      <c r="I12" s="10" t="s">
        <v>114</v>
      </c>
      <c r="J12" s="13" t="n">
        <v>0</v>
      </c>
      <c r="K12" s="10" t="s">
        <v>50</v>
      </c>
    </row>
    <row r="13" customFormat="false" ht="15" hidden="false" customHeight="false" outlineLevel="0" collapsed="false">
      <c r="A13" s="10"/>
      <c r="B13" s="10"/>
      <c r="C13" s="10"/>
      <c r="D13" s="10"/>
      <c r="E13" s="10" t="s">
        <v>112</v>
      </c>
      <c r="F13" s="10" t="s">
        <v>113</v>
      </c>
      <c r="G13" s="11"/>
      <c r="H13" s="11"/>
      <c r="I13" s="10" t="s">
        <v>114</v>
      </c>
      <c r="J13" s="13" t="n">
        <v>0</v>
      </c>
      <c r="K13" s="10" t="s">
        <v>50</v>
      </c>
    </row>
    <row r="14" customFormat="false" ht="15" hidden="false" customHeight="false" outlineLevel="0" collapsed="false">
      <c r="A14" s="10"/>
      <c r="B14" s="10"/>
      <c r="C14" s="10"/>
      <c r="D14" s="10"/>
      <c r="E14" s="10" t="s">
        <v>112</v>
      </c>
      <c r="F14" s="10" t="s">
        <v>113</v>
      </c>
      <c r="G14" s="11"/>
      <c r="H14" s="11"/>
      <c r="I14" s="10" t="s">
        <v>114</v>
      </c>
      <c r="J14" s="13" t="n">
        <v>0</v>
      </c>
      <c r="K14" s="10" t="s">
        <v>50</v>
      </c>
    </row>
    <row r="15" customFormat="false" ht="15" hidden="false" customHeight="false" outlineLevel="0" collapsed="false">
      <c r="A15" s="10"/>
      <c r="B15" s="10"/>
      <c r="C15" s="10"/>
      <c r="D15" s="10"/>
      <c r="E15" s="10" t="s">
        <v>112</v>
      </c>
      <c r="F15" s="10" t="s">
        <v>113</v>
      </c>
      <c r="G15" s="11"/>
      <c r="H15" s="11"/>
      <c r="I15" s="10" t="s">
        <v>114</v>
      </c>
      <c r="J15" s="13" t="n">
        <v>0</v>
      </c>
      <c r="K15" s="10" t="s">
        <v>50</v>
      </c>
    </row>
    <row r="16" customFormat="false" ht="15" hidden="false" customHeight="false" outlineLevel="0" collapsed="false">
      <c r="A16" s="10"/>
      <c r="B16" s="10"/>
      <c r="C16" s="10"/>
      <c r="D16" s="10"/>
      <c r="E16" s="10" t="s">
        <v>112</v>
      </c>
      <c r="F16" s="10" t="s">
        <v>113</v>
      </c>
      <c r="G16" s="11"/>
      <c r="H16" s="11"/>
      <c r="I16" s="10" t="s">
        <v>114</v>
      </c>
      <c r="J16" s="13" t="n">
        <v>0</v>
      </c>
      <c r="K16" s="10" t="s">
        <v>50</v>
      </c>
    </row>
    <row r="17" customFormat="false" ht="15" hidden="false" customHeight="false" outlineLevel="0" collapsed="false">
      <c r="A17" s="10"/>
      <c r="B17" s="10"/>
      <c r="C17" s="10"/>
      <c r="D17" s="10"/>
      <c r="E17" s="10" t="s">
        <v>112</v>
      </c>
      <c r="F17" s="10" t="s">
        <v>113</v>
      </c>
      <c r="G17" s="11"/>
      <c r="H17" s="11"/>
      <c r="I17" s="10" t="s">
        <v>114</v>
      </c>
      <c r="J17" s="13" t="n">
        <v>0</v>
      </c>
      <c r="K17" s="10" t="s">
        <v>50</v>
      </c>
    </row>
    <row r="18" customFormat="false" ht="15" hidden="false" customHeight="false" outlineLevel="0" collapsed="false">
      <c r="A18" s="10"/>
      <c r="B18" s="10"/>
      <c r="C18" s="10"/>
      <c r="D18" s="10"/>
      <c r="E18" s="10" t="s">
        <v>112</v>
      </c>
      <c r="F18" s="10" t="s">
        <v>113</v>
      </c>
      <c r="G18" s="11"/>
      <c r="H18" s="11"/>
      <c r="I18" s="10" t="s">
        <v>114</v>
      </c>
      <c r="J18" s="13" t="n">
        <v>0</v>
      </c>
      <c r="K18" s="10" t="s">
        <v>50</v>
      </c>
    </row>
    <row r="19" customFormat="false" ht="15" hidden="false" customHeight="false" outlineLevel="0" collapsed="false">
      <c r="A19" s="10"/>
      <c r="B19" s="10"/>
      <c r="C19" s="10"/>
      <c r="D19" s="10"/>
      <c r="E19" s="10" t="s">
        <v>112</v>
      </c>
      <c r="F19" s="10" t="s">
        <v>113</v>
      </c>
      <c r="G19" s="11"/>
      <c r="H19" s="11"/>
      <c r="I19" s="10" t="s">
        <v>114</v>
      </c>
      <c r="J19" s="13" t="n">
        <v>0</v>
      </c>
      <c r="K19" s="10" t="s">
        <v>50</v>
      </c>
    </row>
    <row r="20" customFormat="false" ht="15" hidden="false" customHeight="false" outlineLevel="0" collapsed="false">
      <c r="A20" s="10"/>
      <c r="B20" s="10"/>
      <c r="C20" s="10"/>
      <c r="D20" s="10"/>
      <c r="E20" s="10" t="s">
        <v>112</v>
      </c>
      <c r="F20" s="10" t="s">
        <v>113</v>
      </c>
      <c r="G20" s="11"/>
      <c r="H20" s="11"/>
      <c r="I20" s="10" t="s">
        <v>114</v>
      </c>
      <c r="J20" s="13" t="n">
        <v>0</v>
      </c>
      <c r="K20" s="10" t="s">
        <v>50</v>
      </c>
    </row>
    <row r="21" customFormat="false" ht="15" hidden="false" customHeight="false" outlineLevel="0" collapsed="false">
      <c r="A21" s="10"/>
      <c r="B21" s="10"/>
      <c r="C21" s="10"/>
      <c r="D21" s="10"/>
      <c r="E21" s="10" t="s">
        <v>112</v>
      </c>
      <c r="F21" s="10" t="s">
        <v>113</v>
      </c>
      <c r="G21" s="11"/>
      <c r="H21" s="11"/>
      <c r="I21" s="10" t="s">
        <v>114</v>
      </c>
      <c r="J21" s="13" t="n">
        <v>0</v>
      </c>
      <c r="K21" s="10" t="s">
        <v>50</v>
      </c>
    </row>
    <row r="22" customFormat="false" ht="15" hidden="false" customHeight="false" outlineLevel="0" collapsed="false">
      <c r="A22" s="10"/>
      <c r="B22" s="10"/>
      <c r="C22" s="10"/>
      <c r="D22" s="10"/>
      <c r="E22" s="10" t="s">
        <v>112</v>
      </c>
      <c r="F22" s="10" t="s">
        <v>113</v>
      </c>
      <c r="G22" s="11"/>
      <c r="H22" s="11"/>
      <c r="I22" s="10" t="s">
        <v>114</v>
      </c>
      <c r="J22" s="13" t="n">
        <v>0</v>
      </c>
      <c r="K22" s="10" t="s">
        <v>50</v>
      </c>
    </row>
    <row r="23" customFormat="false" ht="15" hidden="false" customHeight="false" outlineLevel="0" collapsed="false">
      <c r="A23" s="10"/>
      <c r="B23" s="10"/>
      <c r="C23" s="10"/>
      <c r="D23" s="10"/>
      <c r="E23" s="10" t="s">
        <v>112</v>
      </c>
      <c r="F23" s="10" t="s">
        <v>113</v>
      </c>
      <c r="G23" s="11"/>
      <c r="H23" s="11"/>
      <c r="I23" s="10" t="s">
        <v>114</v>
      </c>
      <c r="J23" s="13" t="n">
        <v>0</v>
      </c>
      <c r="K23" s="10" t="s">
        <v>50</v>
      </c>
    </row>
    <row r="24" customFormat="false" ht="15" hidden="false" customHeight="false" outlineLevel="0" collapsed="false">
      <c r="A24" s="10"/>
      <c r="B24" s="10"/>
      <c r="C24" s="10"/>
      <c r="D24" s="10"/>
      <c r="E24" s="10" t="s">
        <v>112</v>
      </c>
      <c r="F24" s="10" t="s">
        <v>113</v>
      </c>
      <c r="G24" s="11"/>
      <c r="H24" s="11"/>
      <c r="I24" s="10" t="s">
        <v>114</v>
      </c>
      <c r="J24" s="13" t="n">
        <v>0</v>
      </c>
      <c r="K24" s="10" t="s">
        <v>50</v>
      </c>
    </row>
    <row r="25" customFormat="false" ht="15" hidden="false" customHeight="false" outlineLevel="0" collapsed="false">
      <c r="A25" s="10"/>
      <c r="B25" s="10"/>
      <c r="C25" s="10"/>
      <c r="D25" s="10"/>
      <c r="E25" s="10" t="s">
        <v>112</v>
      </c>
      <c r="F25" s="10" t="s">
        <v>113</v>
      </c>
      <c r="G25" s="11"/>
      <c r="H25" s="11"/>
      <c r="I25" s="10" t="s">
        <v>114</v>
      </c>
      <c r="J25" s="13" t="n">
        <v>0</v>
      </c>
      <c r="K25" s="10" t="s">
        <v>50</v>
      </c>
    </row>
    <row r="26" customFormat="false" ht="15" hidden="false" customHeight="false" outlineLevel="0" collapsed="false">
      <c r="A26" s="10"/>
      <c r="B26" s="10"/>
      <c r="C26" s="10"/>
      <c r="D26" s="10"/>
      <c r="E26" s="10" t="s">
        <v>112</v>
      </c>
      <c r="F26" s="10" t="s">
        <v>113</v>
      </c>
      <c r="G26" s="11"/>
      <c r="H26" s="11"/>
      <c r="I26" s="10" t="s">
        <v>114</v>
      </c>
      <c r="J26" s="13" t="n">
        <v>0</v>
      </c>
      <c r="K26" s="10" t="s">
        <v>50</v>
      </c>
    </row>
    <row r="27" customFormat="false" ht="15" hidden="false" customHeight="false" outlineLevel="0" collapsed="false">
      <c r="A27" s="10"/>
      <c r="B27" s="10"/>
      <c r="C27" s="10"/>
      <c r="D27" s="10"/>
      <c r="E27" s="10" t="s">
        <v>112</v>
      </c>
      <c r="F27" s="10" t="s">
        <v>113</v>
      </c>
      <c r="G27" s="11"/>
      <c r="H27" s="11"/>
      <c r="I27" s="10" t="s">
        <v>114</v>
      </c>
      <c r="J27" s="13" t="n">
        <v>0</v>
      </c>
      <c r="K27" s="10" t="s">
        <v>50</v>
      </c>
    </row>
    <row r="28" customFormat="false" ht="15" hidden="false" customHeight="false" outlineLevel="0" collapsed="false">
      <c r="A28" s="10"/>
      <c r="B28" s="10"/>
      <c r="C28" s="10"/>
      <c r="D28" s="10"/>
      <c r="E28" s="10" t="s">
        <v>112</v>
      </c>
      <c r="F28" s="10" t="s">
        <v>113</v>
      </c>
      <c r="G28" s="11"/>
      <c r="H28" s="11"/>
      <c r="I28" s="10" t="s">
        <v>114</v>
      </c>
      <c r="J28" s="13" t="n">
        <v>0</v>
      </c>
      <c r="K28" s="10" t="s">
        <v>50</v>
      </c>
    </row>
    <row r="29" customFormat="false" ht="15" hidden="false" customHeight="false" outlineLevel="0" collapsed="false">
      <c r="A29" s="10"/>
      <c r="B29" s="10"/>
      <c r="C29" s="10"/>
      <c r="D29" s="10"/>
      <c r="E29" s="10" t="s">
        <v>112</v>
      </c>
      <c r="F29" s="10" t="s">
        <v>113</v>
      </c>
      <c r="G29" s="11"/>
      <c r="H29" s="11"/>
      <c r="I29" s="10" t="s">
        <v>114</v>
      </c>
      <c r="J29" s="13" t="n">
        <v>0</v>
      </c>
      <c r="K29" s="10" t="s">
        <v>50</v>
      </c>
    </row>
    <row r="30" customFormat="false" ht="15" hidden="false" customHeight="false" outlineLevel="0" collapsed="false">
      <c r="A30" s="10"/>
      <c r="B30" s="10"/>
      <c r="C30" s="10"/>
      <c r="D30" s="10"/>
      <c r="E30" s="10" t="s">
        <v>112</v>
      </c>
      <c r="F30" s="10" t="s">
        <v>113</v>
      </c>
      <c r="G30" s="11"/>
      <c r="H30" s="11"/>
      <c r="I30" s="10" t="s">
        <v>114</v>
      </c>
      <c r="J30" s="13" t="n">
        <v>0</v>
      </c>
      <c r="K30" s="10" t="s">
        <v>50</v>
      </c>
    </row>
    <row r="31" customFormat="false" ht="15" hidden="false" customHeight="false" outlineLevel="0" collapsed="false">
      <c r="A31" s="10"/>
      <c r="B31" s="10"/>
      <c r="C31" s="10"/>
      <c r="D31" s="10"/>
      <c r="E31" s="10" t="s">
        <v>112</v>
      </c>
      <c r="F31" s="10" t="s">
        <v>113</v>
      </c>
      <c r="G31" s="11"/>
      <c r="H31" s="11"/>
      <c r="I31" s="10" t="s">
        <v>114</v>
      </c>
      <c r="J31" s="13" t="n">
        <v>0</v>
      </c>
      <c r="K31" s="10" t="s">
        <v>50</v>
      </c>
    </row>
    <row r="32" customFormat="false" ht="15" hidden="false" customHeight="false" outlineLevel="0" collapsed="false">
      <c r="A32" s="10"/>
      <c r="B32" s="10"/>
      <c r="C32" s="10"/>
      <c r="D32" s="10"/>
      <c r="E32" s="10" t="s">
        <v>112</v>
      </c>
      <c r="F32" s="10" t="s">
        <v>113</v>
      </c>
      <c r="G32" s="11"/>
      <c r="H32" s="11"/>
      <c r="I32" s="10" t="s">
        <v>114</v>
      </c>
      <c r="J32" s="13" t="n">
        <v>0</v>
      </c>
      <c r="K32" s="10" t="s">
        <v>50</v>
      </c>
    </row>
    <row r="33" customFormat="false" ht="15" hidden="false" customHeight="false" outlineLevel="0" collapsed="false">
      <c r="A33" s="10"/>
      <c r="B33" s="10"/>
      <c r="C33" s="10"/>
      <c r="D33" s="10"/>
      <c r="E33" s="10" t="s">
        <v>112</v>
      </c>
      <c r="F33" s="10" t="s">
        <v>113</v>
      </c>
      <c r="G33" s="11"/>
      <c r="H33" s="11"/>
      <c r="I33" s="10" t="s">
        <v>114</v>
      </c>
      <c r="J33" s="13" t="n">
        <v>0</v>
      </c>
      <c r="K33" s="10" t="s">
        <v>50</v>
      </c>
    </row>
    <row r="34" customFormat="false" ht="15" hidden="false" customHeight="false" outlineLevel="0" collapsed="false">
      <c r="A34" s="10"/>
      <c r="B34" s="10"/>
      <c r="C34" s="10"/>
      <c r="D34" s="10"/>
      <c r="E34" s="10" t="s">
        <v>112</v>
      </c>
      <c r="F34" s="10" t="s">
        <v>113</v>
      </c>
      <c r="G34" s="11"/>
      <c r="H34" s="11"/>
      <c r="I34" s="10" t="s">
        <v>114</v>
      </c>
      <c r="J34" s="13" t="n">
        <v>0</v>
      </c>
      <c r="K34" s="10" t="s">
        <v>50</v>
      </c>
    </row>
    <row r="35" customFormat="false" ht="15" hidden="false" customHeight="false" outlineLevel="0" collapsed="false">
      <c r="A35" s="10"/>
      <c r="B35" s="10"/>
      <c r="C35" s="10"/>
      <c r="D35" s="10"/>
      <c r="E35" s="10" t="s">
        <v>112</v>
      </c>
      <c r="F35" s="10" t="s">
        <v>113</v>
      </c>
      <c r="G35" s="11"/>
      <c r="H35" s="11"/>
      <c r="I35" s="10" t="s">
        <v>114</v>
      </c>
      <c r="J35" s="13" t="n">
        <v>0</v>
      </c>
      <c r="K35" s="10" t="s">
        <v>50</v>
      </c>
    </row>
    <row r="36" customFormat="false" ht="15" hidden="false" customHeight="false" outlineLevel="0" collapsed="false">
      <c r="A36" s="10"/>
      <c r="B36" s="10"/>
      <c r="C36" s="10"/>
      <c r="D36" s="10"/>
      <c r="E36" s="10" t="s">
        <v>112</v>
      </c>
      <c r="F36" s="10" t="s">
        <v>113</v>
      </c>
      <c r="G36" s="11"/>
      <c r="H36" s="11"/>
      <c r="I36" s="10" t="s">
        <v>114</v>
      </c>
      <c r="J36" s="13" t="n">
        <v>0</v>
      </c>
      <c r="K36" s="10" t="s">
        <v>50</v>
      </c>
    </row>
    <row r="37" customFormat="false" ht="15" hidden="false" customHeight="false" outlineLevel="0" collapsed="false">
      <c r="A37" s="10"/>
      <c r="B37" s="10"/>
      <c r="C37" s="10"/>
      <c r="D37" s="10"/>
      <c r="E37" s="10" t="s">
        <v>112</v>
      </c>
      <c r="F37" s="10" t="s">
        <v>113</v>
      </c>
      <c r="G37" s="11"/>
      <c r="H37" s="11"/>
      <c r="I37" s="10" t="s">
        <v>114</v>
      </c>
      <c r="J37" s="13" t="n">
        <v>0</v>
      </c>
      <c r="K37" s="10" t="s">
        <v>50</v>
      </c>
    </row>
    <row r="38" customFormat="false" ht="15" hidden="false" customHeight="false" outlineLevel="0" collapsed="false">
      <c r="A38" s="10"/>
      <c r="B38" s="10"/>
      <c r="C38" s="10"/>
      <c r="D38" s="10"/>
      <c r="E38" s="10" t="s">
        <v>112</v>
      </c>
      <c r="F38" s="10" t="s">
        <v>113</v>
      </c>
      <c r="G38" s="11"/>
      <c r="H38" s="11"/>
      <c r="I38" s="10" t="s">
        <v>114</v>
      </c>
      <c r="J38" s="13" t="n">
        <v>0</v>
      </c>
      <c r="K38" s="10" t="s">
        <v>50</v>
      </c>
    </row>
    <row r="39" customFormat="false" ht="15" hidden="false" customHeight="false" outlineLevel="0" collapsed="false">
      <c r="A39" s="10"/>
      <c r="B39" s="10"/>
      <c r="C39" s="10"/>
      <c r="D39" s="10"/>
      <c r="E39" s="10" t="s">
        <v>112</v>
      </c>
      <c r="F39" s="10" t="s">
        <v>113</v>
      </c>
      <c r="G39" s="11"/>
      <c r="H39" s="11"/>
      <c r="I39" s="10" t="s">
        <v>114</v>
      </c>
      <c r="J39" s="13" t="n">
        <v>0</v>
      </c>
      <c r="K39" s="10" t="s">
        <v>50</v>
      </c>
    </row>
    <row r="40" customFormat="false" ht="15" hidden="false" customHeight="false" outlineLevel="0" collapsed="false">
      <c r="A40" s="10"/>
      <c r="B40" s="10"/>
      <c r="C40" s="10"/>
      <c r="D40" s="10"/>
      <c r="E40" s="10" t="s">
        <v>112</v>
      </c>
      <c r="F40" s="10" t="s">
        <v>113</v>
      </c>
      <c r="G40" s="11"/>
      <c r="H40" s="11"/>
      <c r="I40" s="10" t="s">
        <v>114</v>
      </c>
      <c r="J40" s="13" t="n">
        <v>0</v>
      </c>
      <c r="K40" s="10" t="s">
        <v>50</v>
      </c>
    </row>
    <row r="41" customFormat="false" ht="15" hidden="false" customHeight="false" outlineLevel="0" collapsed="false">
      <c r="A41" s="10"/>
      <c r="B41" s="10"/>
      <c r="C41" s="10"/>
      <c r="D41" s="10"/>
      <c r="E41" s="10" t="s">
        <v>112</v>
      </c>
      <c r="F41" s="10" t="s">
        <v>113</v>
      </c>
      <c r="G41" s="11"/>
      <c r="H41" s="11"/>
      <c r="I41" s="10" t="s">
        <v>114</v>
      </c>
      <c r="J41" s="13" t="n">
        <v>0</v>
      </c>
      <c r="K41" s="10" t="s">
        <v>50</v>
      </c>
    </row>
    <row r="42" customFormat="false" ht="15" hidden="false" customHeight="false" outlineLevel="0" collapsed="false">
      <c r="A42" s="10"/>
      <c r="B42" s="10"/>
      <c r="C42" s="10"/>
      <c r="D42" s="10"/>
      <c r="E42" s="10" t="s">
        <v>112</v>
      </c>
      <c r="F42" s="10" t="s">
        <v>113</v>
      </c>
      <c r="G42" s="11"/>
      <c r="H42" s="11"/>
      <c r="I42" s="10" t="s">
        <v>114</v>
      </c>
      <c r="J42" s="13" t="n">
        <v>0</v>
      </c>
      <c r="K42" s="10" t="s">
        <v>50</v>
      </c>
    </row>
    <row r="43" customFormat="false" ht="15" hidden="false" customHeight="false" outlineLevel="0" collapsed="false">
      <c r="A43" s="10"/>
      <c r="B43" s="10"/>
      <c r="C43" s="10"/>
      <c r="D43" s="10"/>
      <c r="E43" s="10" t="s">
        <v>112</v>
      </c>
      <c r="F43" s="10" t="s">
        <v>113</v>
      </c>
      <c r="G43" s="11"/>
      <c r="H43" s="11"/>
      <c r="I43" s="10" t="s">
        <v>114</v>
      </c>
      <c r="J43" s="13" t="n">
        <v>0</v>
      </c>
      <c r="K43" s="10" t="s">
        <v>50</v>
      </c>
    </row>
    <row r="44" customFormat="false" ht="15" hidden="false" customHeight="false" outlineLevel="0" collapsed="false">
      <c r="A44" s="10"/>
      <c r="B44" s="10"/>
      <c r="C44" s="10"/>
      <c r="D44" s="10"/>
      <c r="E44" s="10" t="s">
        <v>112</v>
      </c>
      <c r="F44" s="10" t="s">
        <v>113</v>
      </c>
      <c r="G44" s="11"/>
      <c r="H44" s="11"/>
      <c r="I44" s="10" t="s">
        <v>114</v>
      </c>
      <c r="J44" s="13" t="n">
        <v>0</v>
      </c>
      <c r="K44" s="10" t="s">
        <v>50</v>
      </c>
    </row>
    <row r="45" customFormat="false" ht="15" hidden="false" customHeight="false" outlineLevel="0" collapsed="false">
      <c r="A45" s="10"/>
      <c r="B45" s="10"/>
      <c r="C45" s="10"/>
      <c r="D45" s="10"/>
      <c r="E45" s="10" t="s">
        <v>112</v>
      </c>
      <c r="F45" s="10" t="s">
        <v>113</v>
      </c>
      <c r="G45" s="11"/>
      <c r="H45" s="11"/>
      <c r="I45" s="10" t="s">
        <v>114</v>
      </c>
      <c r="J45" s="13" t="n">
        <v>0</v>
      </c>
      <c r="K45" s="10" t="s">
        <v>50</v>
      </c>
    </row>
    <row r="46" customFormat="false" ht="15" hidden="false" customHeight="false" outlineLevel="0" collapsed="false">
      <c r="A46" s="10"/>
      <c r="B46" s="10"/>
      <c r="C46" s="10"/>
      <c r="D46" s="10"/>
      <c r="E46" s="10" t="s">
        <v>112</v>
      </c>
      <c r="F46" s="10" t="s">
        <v>113</v>
      </c>
      <c r="G46" s="11"/>
      <c r="H46" s="11"/>
      <c r="I46" s="10" t="s">
        <v>114</v>
      </c>
      <c r="J46" s="13" t="n">
        <v>0</v>
      </c>
      <c r="K46" s="10" t="s">
        <v>50</v>
      </c>
    </row>
    <row r="47" customFormat="false" ht="15" hidden="false" customHeight="false" outlineLevel="0" collapsed="false">
      <c r="A47" s="10"/>
      <c r="B47" s="10"/>
      <c r="C47" s="10"/>
      <c r="D47" s="10"/>
      <c r="E47" s="10" t="s">
        <v>112</v>
      </c>
      <c r="F47" s="10" t="s">
        <v>113</v>
      </c>
      <c r="G47" s="11"/>
      <c r="H47" s="11"/>
      <c r="I47" s="10" t="s">
        <v>114</v>
      </c>
      <c r="J47" s="13" t="n">
        <v>0</v>
      </c>
      <c r="K47" s="10" t="s">
        <v>50</v>
      </c>
    </row>
    <row r="48" customFormat="false" ht="15" hidden="false" customHeight="false" outlineLevel="0" collapsed="false">
      <c r="A48" s="10"/>
      <c r="B48" s="10"/>
      <c r="C48" s="10"/>
      <c r="D48" s="10"/>
      <c r="E48" s="10" t="s">
        <v>112</v>
      </c>
      <c r="F48" s="10" t="s">
        <v>113</v>
      </c>
      <c r="G48" s="11"/>
      <c r="H48" s="11"/>
      <c r="I48" s="10" t="s">
        <v>114</v>
      </c>
      <c r="J48" s="13" t="n">
        <v>0</v>
      </c>
      <c r="K48" s="10" t="s">
        <v>50</v>
      </c>
    </row>
    <row r="49" customFormat="false" ht="15" hidden="false" customHeight="false" outlineLevel="0" collapsed="false">
      <c r="A49" s="10"/>
      <c r="B49" s="10"/>
      <c r="C49" s="10"/>
      <c r="D49" s="10"/>
      <c r="E49" s="10" t="s">
        <v>112</v>
      </c>
      <c r="F49" s="10" t="s">
        <v>113</v>
      </c>
      <c r="G49" s="11"/>
      <c r="H49" s="11"/>
      <c r="I49" s="10" t="s">
        <v>114</v>
      </c>
      <c r="J49" s="13" t="n">
        <v>0</v>
      </c>
      <c r="K49" s="10" t="s">
        <v>50</v>
      </c>
    </row>
    <row r="50" customFormat="false" ht="15" hidden="false" customHeight="false" outlineLevel="0" collapsed="false">
      <c r="A50" s="10"/>
      <c r="B50" s="10"/>
      <c r="C50" s="10"/>
      <c r="D50" s="10"/>
      <c r="E50" s="10" t="s">
        <v>112</v>
      </c>
      <c r="F50" s="10" t="s">
        <v>113</v>
      </c>
      <c r="G50" s="11"/>
      <c r="H50" s="11"/>
      <c r="I50" s="10" t="s">
        <v>114</v>
      </c>
      <c r="J50" s="13" t="n">
        <v>0</v>
      </c>
      <c r="K50" s="10" t="s">
        <v>50</v>
      </c>
    </row>
    <row r="51" customFormat="false" ht="15" hidden="false" customHeight="false" outlineLevel="0" collapsed="false">
      <c r="A51" s="10"/>
      <c r="B51" s="10"/>
      <c r="C51" s="10"/>
      <c r="D51" s="10"/>
      <c r="E51" s="10" t="s">
        <v>112</v>
      </c>
      <c r="F51" s="10" t="s">
        <v>113</v>
      </c>
      <c r="G51" s="11"/>
      <c r="H51" s="11"/>
      <c r="I51" s="10" t="s">
        <v>114</v>
      </c>
      <c r="J51" s="13" t="n">
        <v>0</v>
      </c>
      <c r="K51" s="10" t="s">
        <v>50</v>
      </c>
    </row>
    <row r="52" customFormat="false" ht="15" hidden="false" customHeight="false" outlineLevel="0" collapsed="false">
      <c r="A52" s="10"/>
      <c r="B52" s="10"/>
      <c r="C52" s="10"/>
      <c r="D52" s="10"/>
      <c r="E52" s="10" t="s">
        <v>112</v>
      </c>
      <c r="F52" s="10" t="s">
        <v>113</v>
      </c>
      <c r="G52" s="11"/>
      <c r="H52" s="11"/>
      <c r="I52" s="10" t="s">
        <v>114</v>
      </c>
      <c r="J52" s="13" t="n">
        <v>0</v>
      </c>
      <c r="K52" s="10" t="s">
        <v>50</v>
      </c>
    </row>
    <row r="53" customFormat="false" ht="15" hidden="false" customHeight="false" outlineLevel="0" collapsed="false">
      <c r="A53" s="10"/>
      <c r="B53" s="10"/>
      <c r="C53" s="10"/>
      <c r="D53" s="10"/>
      <c r="E53" s="10" t="s">
        <v>112</v>
      </c>
      <c r="F53" s="10" t="s">
        <v>113</v>
      </c>
      <c r="G53" s="11"/>
      <c r="H53" s="11"/>
      <c r="I53" s="10" t="s">
        <v>114</v>
      </c>
      <c r="J53" s="13" t="n">
        <v>0</v>
      </c>
      <c r="K53" s="10" t="s">
        <v>50</v>
      </c>
    </row>
    <row r="54" customFormat="false" ht="15" hidden="false" customHeight="false" outlineLevel="0" collapsed="false">
      <c r="A54" s="10"/>
      <c r="B54" s="10"/>
      <c r="C54" s="10"/>
      <c r="D54" s="10"/>
      <c r="E54" s="10" t="s">
        <v>112</v>
      </c>
      <c r="F54" s="10" t="s">
        <v>113</v>
      </c>
      <c r="G54" s="11"/>
      <c r="H54" s="11"/>
      <c r="I54" s="10" t="s">
        <v>114</v>
      </c>
      <c r="J54" s="13" t="n">
        <v>0</v>
      </c>
      <c r="K54" s="10" t="s">
        <v>50</v>
      </c>
    </row>
    <row r="55" customFormat="false" ht="15" hidden="false" customHeight="false" outlineLevel="0" collapsed="false">
      <c r="A55" s="10"/>
      <c r="B55" s="10"/>
      <c r="C55" s="10"/>
      <c r="D55" s="10"/>
      <c r="E55" s="10" t="s">
        <v>112</v>
      </c>
      <c r="F55" s="10" t="s">
        <v>113</v>
      </c>
      <c r="G55" s="11"/>
      <c r="H55" s="11"/>
      <c r="I55" s="10" t="s">
        <v>114</v>
      </c>
      <c r="J55" s="13" t="n">
        <v>0</v>
      </c>
      <c r="K55" s="10" t="s">
        <v>50</v>
      </c>
    </row>
    <row r="56" customFormat="false" ht="15" hidden="false" customHeight="false" outlineLevel="0" collapsed="false">
      <c r="A56" s="10"/>
      <c r="B56" s="10"/>
      <c r="C56" s="10"/>
      <c r="D56" s="10"/>
      <c r="E56" s="10" t="s">
        <v>112</v>
      </c>
      <c r="F56" s="10" t="s">
        <v>113</v>
      </c>
      <c r="G56" s="11"/>
      <c r="H56" s="11"/>
      <c r="I56" s="10" t="s">
        <v>114</v>
      </c>
      <c r="J56" s="13" t="n">
        <v>0</v>
      </c>
      <c r="K56" s="10" t="s">
        <v>50</v>
      </c>
    </row>
    <row r="57" customFormat="false" ht="15" hidden="false" customHeight="false" outlineLevel="0" collapsed="false">
      <c r="A57" s="10"/>
      <c r="B57" s="10"/>
      <c r="C57" s="10"/>
      <c r="D57" s="10"/>
      <c r="E57" s="10" t="s">
        <v>112</v>
      </c>
      <c r="F57" s="10" t="s">
        <v>113</v>
      </c>
      <c r="G57" s="11"/>
      <c r="H57" s="11"/>
      <c r="I57" s="10" t="s">
        <v>114</v>
      </c>
      <c r="J57" s="13" t="n">
        <v>0</v>
      </c>
      <c r="K57" s="10" t="s">
        <v>50</v>
      </c>
    </row>
    <row r="58" customFormat="false" ht="15" hidden="false" customHeight="false" outlineLevel="0" collapsed="false">
      <c r="A58" s="10"/>
      <c r="B58" s="10"/>
      <c r="C58" s="10"/>
      <c r="D58" s="10"/>
      <c r="E58" s="10" t="s">
        <v>112</v>
      </c>
      <c r="F58" s="10" t="s">
        <v>113</v>
      </c>
      <c r="G58" s="11"/>
      <c r="H58" s="11"/>
      <c r="I58" s="10" t="s">
        <v>114</v>
      </c>
      <c r="J58" s="13" t="n">
        <v>0</v>
      </c>
      <c r="K58" s="10" t="s">
        <v>50</v>
      </c>
    </row>
    <row r="59" customFormat="false" ht="15" hidden="false" customHeight="false" outlineLevel="0" collapsed="false">
      <c r="A59" s="10"/>
      <c r="B59" s="10"/>
      <c r="C59" s="10"/>
      <c r="D59" s="10"/>
      <c r="E59" s="10" t="s">
        <v>112</v>
      </c>
      <c r="F59" s="10" t="s">
        <v>113</v>
      </c>
      <c r="G59" s="11"/>
      <c r="H59" s="11"/>
      <c r="I59" s="10" t="s">
        <v>114</v>
      </c>
      <c r="J59" s="13" t="n">
        <v>0</v>
      </c>
      <c r="K59" s="10" t="s">
        <v>50</v>
      </c>
    </row>
    <row r="60" customFormat="false" ht="15" hidden="false" customHeight="false" outlineLevel="0" collapsed="false">
      <c r="A60" s="10"/>
      <c r="B60" s="10"/>
      <c r="C60" s="10"/>
      <c r="D60" s="10"/>
      <c r="E60" s="10" t="s">
        <v>112</v>
      </c>
      <c r="F60" s="10" t="s">
        <v>113</v>
      </c>
      <c r="G60" s="11"/>
      <c r="H60" s="11"/>
      <c r="I60" s="10" t="s">
        <v>114</v>
      </c>
      <c r="J60" s="13" t="n">
        <v>0</v>
      </c>
      <c r="K60" s="10" t="s">
        <v>50</v>
      </c>
    </row>
    <row r="61" customFormat="false" ht="15" hidden="false" customHeight="false" outlineLevel="0" collapsed="false">
      <c r="A61" s="10"/>
      <c r="B61" s="10"/>
      <c r="C61" s="10"/>
      <c r="D61" s="10"/>
      <c r="E61" s="10" t="s">
        <v>112</v>
      </c>
      <c r="F61" s="10" t="s">
        <v>113</v>
      </c>
      <c r="G61" s="11"/>
      <c r="H61" s="11"/>
      <c r="I61" s="10" t="s">
        <v>114</v>
      </c>
      <c r="J61" s="13" t="n">
        <v>0</v>
      </c>
      <c r="K61" s="10" t="s">
        <v>50</v>
      </c>
    </row>
    <row r="62" customFormat="false" ht="15" hidden="false" customHeight="false" outlineLevel="0" collapsed="false">
      <c r="A62" s="10"/>
      <c r="B62" s="10"/>
      <c r="C62" s="10"/>
      <c r="D62" s="10"/>
      <c r="E62" s="10" t="s">
        <v>112</v>
      </c>
      <c r="F62" s="10" t="s">
        <v>113</v>
      </c>
      <c r="G62" s="11"/>
      <c r="H62" s="11"/>
      <c r="I62" s="10" t="s">
        <v>114</v>
      </c>
      <c r="J62" s="13" t="n">
        <v>0</v>
      </c>
      <c r="K62" s="10" t="s">
        <v>50</v>
      </c>
    </row>
    <row r="63" customFormat="false" ht="15" hidden="false" customHeight="false" outlineLevel="0" collapsed="false">
      <c r="A63" s="10"/>
      <c r="B63" s="10"/>
      <c r="C63" s="10"/>
      <c r="D63" s="10"/>
      <c r="E63" s="10" t="s">
        <v>112</v>
      </c>
      <c r="F63" s="10" t="s">
        <v>113</v>
      </c>
      <c r="G63" s="11"/>
      <c r="H63" s="11"/>
      <c r="I63" s="10" t="s">
        <v>114</v>
      </c>
      <c r="J63" s="13" t="n">
        <v>0</v>
      </c>
      <c r="K63" s="10" t="s">
        <v>50</v>
      </c>
    </row>
    <row r="64" customFormat="false" ht="15" hidden="false" customHeight="false" outlineLevel="0" collapsed="false">
      <c r="A64" s="10"/>
      <c r="B64" s="10"/>
      <c r="C64" s="10"/>
      <c r="D64" s="10"/>
      <c r="E64" s="10" t="s">
        <v>112</v>
      </c>
      <c r="F64" s="10" t="s">
        <v>113</v>
      </c>
      <c r="G64" s="11"/>
      <c r="H64" s="11"/>
      <c r="I64" s="10" t="s">
        <v>114</v>
      </c>
      <c r="J64" s="13" t="n">
        <v>0</v>
      </c>
      <c r="K64" s="10" t="s">
        <v>50</v>
      </c>
    </row>
    <row r="65" customFormat="false" ht="15" hidden="false" customHeight="false" outlineLevel="0" collapsed="false">
      <c r="A65" s="10"/>
      <c r="B65" s="10"/>
      <c r="C65" s="10"/>
      <c r="D65" s="10"/>
      <c r="E65" s="10" t="s">
        <v>112</v>
      </c>
      <c r="F65" s="10" t="s">
        <v>113</v>
      </c>
      <c r="G65" s="11"/>
      <c r="H65" s="11"/>
      <c r="I65" s="10" t="s">
        <v>114</v>
      </c>
      <c r="J65" s="13" t="n">
        <v>0</v>
      </c>
      <c r="K65" s="10" t="s">
        <v>50</v>
      </c>
    </row>
    <row r="66" customFormat="false" ht="15" hidden="false" customHeight="false" outlineLevel="0" collapsed="false">
      <c r="A66" s="10"/>
      <c r="B66" s="10"/>
      <c r="C66" s="10"/>
      <c r="D66" s="10"/>
      <c r="E66" s="10" t="s">
        <v>112</v>
      </c>
      <c r="F66" s="10" t="s">
        <v>113</v>
      </c>
      <c r="G66" s="11"/>
      <c r="H66" s="11"/>
      <c r="I66" s="10" t="s">
        <v>114</v>
      </c>
      <c r="J66" s="13" t="n">
        <v>0</v>
      </c>
      <c r="K66" s="10" t="s">
        <v>50</v>
      </c>
    </row>
    <row r="67" customFormat="false" ht="15" hidden="false" customHeight="false" outlineLevel="0" collapsed="false">
      <c r="A67" s="10"/>
      <c r="B67" s="10"/>
      <c r="C67" s="10"/>
      <c r="D67" s="10"/>
      <c r="E67" s="10" t="s">
        <v>112</v>
      </c>
      <c r="F67" s="10" t="s">
        <v>113</v>
      </c>
      <c r="G67" s="11"/>
      <c r="H67" s="11"/>
      <c r="I67" s="10" t="s">
        <v>114</v>
      </c>
      <c r="J67" s="13" t="n">
        <v>0</v>
      </c>
      <c r="K67" s="10" t="s">
        <v>50</v>
      </c>
    </row>
    <row r="68" customFormat="false" ht="15" hidden="false" customHeight="false" outlineLevel="0" collapsed="false">
      <c r="A68" s="10"/>
      <c r="B68" s="10"/>
      <c r="C68" s="10"/>
      <c r="D68" s="10"/>
      <c r="E68" s="10" t="s">
        <v>112</v>
      </c>
      <c r="F68" s="10" t="s">
        <v>113</v>
      </c>
      <c r="G68" s="11"/>
      <c r="H68" s="11"/>
      <c r="I68" s="10" t="s">
        <v>114</v>
      </c>
      <c r="J68" s="13" t="n">
        <v>0</v>
      </c>
      <c r="K68" s="10" t="s">
        <v>50</v>
      </c>
    </row>
    <row r="69" customFormat="false" ht="15" hidden="false" customHeight="false" outlineLevel="0" collapsed="false">
      <c r="A69" s="10"/>
      <c r="B69" s="10"/>
      <c r="C69" s="10"/>
      <c r="D69" s="10"/>
      <c r="E69" s="10" t="s">
        <v>112</v>
      </c>
      <c r="F69" s="10" t="s">
        <v>113</v>
      </c>
      <c r="G69" s="11"/>
      <c r="H69" s="11"/>
      <c r="I69" s="10" t="s">
        <v>114</v>
      </c>
      <c r="J69" s="13" t="n">
        <v>0</v>
      </c>
      <c r="K69" s="10" t="s">
        <v>50</v>
      </c>
    </row>
    <row r="70" customFormat="false" ht="15" hidden="false" customHeight="false" outlineLevel="0" collapsed="false">
      <c r="A70" s="10"/>
      <c r="B70" s="10"/>
      <c r="C70" s="10"/>
      <c r="D70" s="10"/>
      <c r="E70" s="10" t="s">
        <v>112</v>
      </c>
      <c r="F70" s="10" t="s">
        <v>113</v>
      </c>
      <c r="G70" s="11"/>
      <c r="H70" s="11"/>
      <c r="I70" s="10" t="s">
        <v>114</v>
      </c>
      <c r="J70" s="13" t="n">
        <v>0</v>
      </c>
      <c r="K70" s="10" t="s">
        <v>50</v>
      </c>
    </row>
    <row r="71" customFormat="false" ht="15" hidden="false" customHeight="false" outlineLevel="0" collapsed="false">
      <c r="A71" s="10"/>
      <c r="B71" s="10"/>
      <c r="C71" s="10"/>
      <c r="D71" s="10"/>
      <c r="E71" s="10" t="s">
        <v>112</v>
      </c>
      <c r="F71" s="10" t="s">
        <v>113</v>
      </c>
      <c r="G71" s="11"/>
      <c r="H71" s="11"/>
      <c r="I71" s="10" t="s">
        <v>114</v>
      </c>
      <c r="J71" s="13" t="n">
        <v>0</v>
      </c>
      <c r="K71" s="10" t="s">
        <v>50</v>
      </c>
    </row>
    <row r="72" customFormat="false" ht="15" hidden="false" customHeight="false" outlineLevel="0" collapsed="false">
      <c r="A72" s="10"/>
      <c r="B72" s="10"/>
      <c r="C72" s="10"/>
      <c r="D72" s="10"/>
      <c r="E72" s="10" t="s">
        <v>112</v>
      </c>
      <c r="F72" s="10" t="s">
        <v>113</v>
      </c>
      <c r="G72" s="11"/>
      <c r="H72" s="11"/>
      <c r="I72" s="10" t="s">
        <v>114</v>
      </c>
      <c r="J72" s="13" t="n">
        <v>0</v>
      </c>
      <c r="K72" s="10" t="s">
        <v>50</v>
      </c>
    </row>
    <row r="73" customFormat="false" ht="15" hidden="false" customHeight="false" outlineLevel="0" collapsed="false">
      <c r="A73" s="10"/>
      <c r="B73" s="10"/>
      <c r="C73" s="10"/>
      <c r="D73" s="10"/>
      <c r="E73" s="10" t="s">
        <v>112</v>
      </c>
      <c r="F73" s="10" t="s">
        <v>113</v>
      </c>
      <c r="G73" s="11"/>
      <c r="H73" s="11"/>
      <c r="I73" s="10" t="s">
        <v>114</v>
      </c>
      <c r="J73" s="13" t="n">
        <v>0</v>
      </c>
      <c r="K73" s="10" t="s">
        <v>50</v>
      </c>
    </row>
    <row r="74" customFormat="false" ht="15" hidden="false" customHeight="false" outlineLevel="0" collapsed="false">
      <c r="A74" s="10"/>
      <c r="B74" s="10"/>
      <c r="C74" s="10"/>
      <c r="D74" s="10"/>
      <c r="E74" s="10" t="s">
        <v>112</v>
      </c>
      <c r="F74" s="10" t="s">
        <v>113</v>
      </c>
      <c r="G74" s="11"/>
      <c r="H74" s="11"/>
      <c r="I74" s="10" t="s">
        <v>114</v>
      </c>
      <c r="J74" s="13" t="n">
        <v>0</v>
      </c>
      <c r="K74" s="10" t="s">
        <v>50</v>
      </c>
    </row>
    <row r="75" customFormat="false" ht="15" hidden="false" customHeight="false" outlineLevel="0" collapsed="false">
      <c r="A75" s="10"/>
      <c r="B75" s="10"/>
      <c r="C75" s="10"/>
      <c r="D75" s="10"/>
      <c r="E75" s="10" t="s">
        <v>112</v>
      </c>
      <c r="F75" s="10" t="s">
        <v>113</v>
      </c>
      <c r="G75" s="11"/>
      <c r="H75" s="11"/>
      <c r="I75" s="10" t="s">
        <v>114</v>
      </c>
      <c r="J75" s="13" t="n">
        <v>0</v>
      </c>
      <c r="K75" s="10" t="s">
        <v>50</v>
      </c>
    </row>
    <row r="76" customFormat="false" ht="15" hidden="false" customHeight="false" outlineLevel="0" collapsed="false">
      <c r="A76" s="10"/>
      <c r="B76" s="10"/>
      <c r="C76" s="10"/>
      <c r="D76" s="10"/>
      <c r="E76" s="10" t="s">
        <v>112</v>
      </c>
      <c r="F76" s="10" t="s">
        <v>113</v>
      </c>
      <c r="G76" s="11"/>
      <c r="H76" s="11"/>
      <c r="I76" s="10" t="s">
        <v>114</v>
      </c>
      <c r="J76" s="13" t="n">
        <v>0</v>
      </c>
      <c r="K76" s="10" t="s">
        <v>50</v>
      </c>
    </row>
    <row r="77" customFormat="false" ht="15" hidden="false" customHeight="false" outlineLevel="0" collapsed="false">
      <c r="A77" s="10"/>
      <c r="B77" s="10"/>
      <c r="C77" s="10"/>
      <c r="D77" s="10"/>
      <c r="E77" s="10" t="s">
        <v>112</v>
      </c>
      <c r="F77" s="10" t="s">
        <v>113</v>
      </c>
      <c r="G77" s="11"/>
      <c r="H77" s="11"/>
      <c r="I77" s="10" t="s">
        <v>114</v>
      </c>
      <c r="J77" s="13" t="n">
        <v>0</v>
      </c>
      <c r="K77" s="10" t="s">
        <v>50</v>
      </c>
    </row>
    <row r="78" customFormat="false" ht="15" hidden="false" customHeight="false" outlineLevel="0" collapsed="false">
      <c r="A78" s="10"/>
      <c r="B78" s="10"/>
      <c r="C78" s="10"/>
      <c r="D78" s="10"/>
      <c r="E78" s="10" t="s">
        <v>112</v>
      </c>
      <c r="F78" s="10" t="s">
        <v>113</v>
      </c>
      <c r="G78" s="11"/>
      <c r="H78" s="11"/>
      <c r="I78" s="10" t="s">
        <v>114</v>
      </c>
      <c r="J78" s="13" t="n">
        <v>0</v>
      </c>
      <c r="K78" s="10" t="s">
        <v>50</v>
      </c>
    </row>
    <row r="79" customFormat="false" ht="15" hidden="false" customHeight="false" outlineLevel="0" collapsed="false">
      <c r="A79" s="10"/>
      <c r="B79" s="10"/>
      <c r="C79" s="10"/>
      <c r="D79" s="10"/>
      <c r="E79" s="10" t="s">
        <v>112</v>
      </c>
      <c r="F79" s="10" t="s">
        <v>113</v>
      </c>
      <c r="G79" s="11"/>
      <c r="H79" s="11"/>
      <c r="I79" s="10" t="s">
        <v>114</v>
      </c>
      <c r="J79" s="13" t="n">
        <v>0</v>
      </c>
      <c r="K79" s="10" t="s">
        <v>50</v>
      </c>
    </row>
    <row r="80" customFormat="false" ht="15" hidden="false" customHeight="false" outlineLevel="0" collapsed="false">
      <c r="A80" s="10"/>
      <c r="B80" s="10"/>
      <c r="C80" s="10"/>
      <c r="D80" s="10"/>
      <c r="E80" s="10" t="s">
        <v>112</v>
      </c>
      <c r="F80" s="10" t="s">
        <v>113</v>
      </c>
      <c r="G80" s="11"/>
      <c r="H80" s="11"/>
      <c r="I80" s="10" t="s">
        <v>114</v>
      </c>
      <c r="J80" s="13" t="n">
        <v>0</v>
      </c>
      <c r="K80" s="10" t="s">
        <v>50</v>
      </c>
    </row>
    <row r="81" customFormat="false" ht="15" hidden="false" customHeight="false" outlineLevel="0" collapsed="false">
      <c r="A81" s="10"/>
      <c r="B81" s="10"/>
      <c r="C81" s="10"/>
      <c r="D81" s="10"/>
      <c r="E81" s="10" t="s">
        <v>112</v>
      </c>
      <c r="F81" s="10" t="s">
        <v>113</v>
      </c>
      <c r="G81" s="11"/>
      <c r="H81" s="11"/>
      <c r="I81" s="10" t="s">
        <v>114</v>
      </c>
      <c r="J81" s="13" t="n">
        <v>0</v>
      </c>
      <c r="K81" s="10" t="s">
        <v>50</v>
      </c>
    </row>
    <row r="82" customFormat="false" ht="15" hidden="false" customHeight="false" outlineLevel="0" collapsed="false">
      <c r="A82" s="10"/>
      <c r="B82" s="10"/>
      <c r="C82" s="10"/>
      <c r="D82" s="10"/>
      <c r="E82" s="10" t="s">
        <v>112</v>
      </c>
      <c r="F82" s="10" t="s">
        <v>113</v>
      </c>
      <c r="G82" s="11"/>
      <c r="H82" s="11"/>
      <c r="I82" s="10" t="s">
        <v>114</v>
      </c>
      <c r="J82" s="13" t="n">
        <v>0</v>
      </c>
      <c r="K82" s="10" t="s">
        <v>50</v>
      </c>
    </row>
    <row r="83" customFormat="false" ht="15" hidden="false" customHeight="false" outlineLevel="0" collapsed="false">
      <c r="A83" s="10"/>
      <c r="B83" s="10"/>
      <c r="C83" s="10"/>
      <c r="D83" s="10"/>
      <c r="E83" s="10" t="s">
        <v>112</v>
      </c>
      <c r="F83" s="10" t="s">
        <v>113</v>
      </c>
      <c r="G83" s="11"/>
      <c r="H83" s="11"/>
      <c r="I83" s="10" t="s">
        <v>114</v>
      </c>
      <c r="J83" s="13" t="n">
        <v>0</v>
      </c>
      <c r="K83" s="10" t="s">
        <v>50</v>
      </c>
    </row>
    <row r="84" customFormat="false" ht="15" hidden="false" customHeight="false" outlineLevel="0" collapsed="false">
      <c r="A84" s="10"/>
      <c r="B84" s="10"/>
      <c r="C84" s="10"/>
      <c r="D84" s="10"/>
      <c r="E84" s="10" t="s">
        <v>112</v>
      </c>
      <c r="F84" s="10" t="s">
        <v>113</v>
      </c>
      <c r="G84" s="11"/>
      <c r="H84" s="11"/>
      <c r="I84" s="10" t="s">
        <v>114</v>
      </c>
      <c r="J84" s="13" t="n">
        <v>0</v>
      </c>
      <c r="K84" s="10" t="s">
        <v>50</v>
      </c>
    </row>
    <row r="85" customFormat="false" ht="15" hidden="false" customHeight="false" outlineLevel="0" collapsed="false">
      <c r="A85" s="10"/>
      <c r="B85" s="10"/>
      <c r="C85" s="10"/>
      <c r="D85" s="10"/>
      <c r="E85" s="10" t="s">
        <v>112</v>
      </c>
      <c r="F85" s="10" t="s">
        <v>113</v>
      </c>
      <c r="G85" s="11"/>
      <c r="H85" s="11"/>
      <c r="I85" s="10" t="s">
        <v>114</v>
      </c>
      <c r="J85" s="13" t="n">
        <v>0</v>
      </c>
      <c r="K85" s="10" t="s">
        <v>50</v>
      </c>
    </row>
    <row r="86" customFormat="false" ht="15" hidden="false" customHeight="false" outlineLevel="0" collapsed="false">
      <c r="A86" s="10"/>
      <c r="B86" s="10"/>
      <c r="C86" s="10"/>
      <c r="D86" s="10"/>
      <c r="E86" s="10" t="s">
        <v>112</v>
      </c>
      <c r="F86" s="10" t="s">
        <v>113</v>
      </c>
      <c r="G86" s="11"/>
      <c r="H86" s="11"/>
      <c r="I86" s="10" t="s">
        <v>114</v>
      </c>
      <c r="J86" s="13" t="n">
        <v>0</v>
      </c>
      <c r="K86" s="10" t="s">
        <v>50</v>
      </c>
    </row>
    <row r="87" customFormat="false" ht="15" hidden="false" customHeight="false" outlineLevel="0" collapsed="false">
      <c r="A87" s="10"/>
      <c r="B87" s="10"/>
      <c r="C87" s="10"/>
      <c r="D87" s="10"/>
      <c r="E87" s="10" t="s">
        <v>112</v>
      </c>
      <c r="F87" s="10" t="s">
        <v>113</v>
      </c>
      <c r="G87" s="11"/>
      <c r="H87" s="11"/>
      <c r="I87" s="10" t="s">
        <v>114</v>
      </c>
      <c r="J87" s="13" t="n">
        <v>0</v>
      </c>
      <c r="K87" s="10" t="s">
        <v>50</v>
      </c>
    </row>
    <row r="88" customFormat="false" ht="15" hidden="false" customHeight="false" outlineLevel="0" collapsed="false">
      <c r="A88" s="10"/>
      <c r="B88" s="10"/>
      <c r="C88" s="10"/>
      <c r="D88" s="10"/>
      <c r="E88" s="10" t="s">
        <v>112</v>
      </c>
      <c r="F88" s="10" t="s">
        <v>113</v>
      </c>
      <c r="G88" s="11"/>
      <c r="H88" s="11"/>
      <c r="I88" s="10" t="s">
        <v>114</v>
      </c>
      <c r="J88" s="13" t="n">
        <v>0</v>
      </c>
      <c r="K88" s="10" t="s">
        <v>50</v>
      </c>
    </row>
    <row r="89" customFormat="false" ht="15" hidden="false" customHeight="false" outlineLevel="0" collapsed="false">
      <c r="A89" s="10"/>
      <c r="B89" s="10"/>
      <c r="C89" s="10"/>
      <c r="D89" s="10"/>
      <c r="E89" s="10" t="s">
        <v>112</v>
      </c>
      <c r="F89" s="10" t="s">
        <v>113</v>
      </c>
      <c r="G89" s="11"/>
      <c r="H89" s="11"/>
      <c r="I89" s="10" t="s">
        <v>114</v>
      </c>
      <c r="J89" s="13" t="n">
        <v>0</v>
      </c>
      <c r="K89" s="10" t="s">
        <v>50</v>
      </c>
    </row>
    <row r="90" customFormat="false" ht="15" hidden="false" customHeight="false" outlineLevel="0" collapsed="false">
      <c r="A90" s="10"/>
      <c r="B90" s="10"/>
      <c r="C90" s="10"/>
      <c r="D90" s="10"/>
      <c r="E90" s="10" t="s">
        <v>112</v>
      </c>
      <c r="F90" s="10" t="s">
        <v>113</v>
      </c>
      <c r="G90" s="11"/>
      <c r="H90" s="11"/>
      <c r="I90" s="10" t="s">
        <v>114</v>
      </c>
      <c r="J90" s="13" t="n">
        <v>0</v>
      </c>
      <c r="K90" s="10" t="s">
        <v>50</v>
      </c>
    </row>
    <row r="91" customFormat="false" ht="15" hidden="false" customHeight="false" outlineLevel="0" collapsed="false">
      <c r="A91" s="10"/>
      <c r="B91" s="10"/>
      <c r="C91" s="10"/>
      <c r="D91" s="10"/>
      <c r="E91" s="10" t="s">
        <v>112</v>
      </c>
      <c r="F91" s="10" t="s">
        <v>113</v>
      </c>
      <c r="G91" s="11"/>
      <c r="H91" s="11"/>
      <c r="I91" s="10" t="s">
        <v>114</v>
      </c>
      <c r="J91" s="13" t="n">
        <v>0</v>
      </c>
      <c r="K91" s="10" t="s">
        <v>50</v>
      </c>
    </row>
    <row r="92" customFormat="false" ht="15" hidden="false" customHeight="false" outlineLevel="0" collapsed="false">
      <c r="A92" s="10"/>
      <c r="B92" s="10"/>
      <c r="C92" s="10"/>
      <c r="D92" s="10"/>
      <c r="E92" s="10" t="s">
        <v>112</v>
      </c>
      <c r="F92" s="10" t="s">
        <v>113</v>
      </c>
      <c r="G92" s="11"/>
      <c r="H92" s="11"/>
      <c r="I92" s="10" t="s">
        <v>114</v>
      </c>
      <c r="J92" s="13" t="n">
        <v>0</v>
      </c>
      <c r="K92" s="10" t="s">
        <v>50</v>
      </c>
    </row>
    <row r="93" customFormat="false" ht="15" hidden="false" customHeight="false" outlineLevel="0" collapsed="false">
      <c r="A93" s="10"/>
      <c r="B93" s="10"/>
      <c r="C93" s="10"/>
      <c r="D93" s="10"/>
      <c r="E93" s="10" t="s">
        <v>112</v>
      </c>
      <c r="F93" s="10" t="s">
        <v>113</v>
      </c>
      <c r="G93" s="11"/>
      <c r="H93" s="11"/>
      <c r="I93" s="10" t="s">
        <v>114</v>
      </c>
      <c r="J93" s="13" t="n">
        <v>0</v>
      </c>
      <c r="K93" s="10" t="s">
        <v>50</v>
      </c>
    </row>
    <row r="94" customFormat="false" ht="15" hidden="false" customHeight="false" outlineLevel="0" collapsed="false">
      <c r="A94" s="10"/>
      <c r="B94" s="10"/>
      <c r="C94" s="10"/>
      <c r="D94" s="10"/>
      <c r="E94" s="10" t="s">
        <v>112</v>
      </c>
      <c r="F94" s="10" t="s">
        <v>113</v>
      </c>
      <c r="G94" s="11"/>
      <c r="H94" s="11"/>
      <c r="I94" s="10" t="s">
        <v>114</v>
      </c>
      <c r="J94" s="13" t="n">
        <v>0</v>
      </c>
      <c r="K94" s="10" t="s">
        <v>50</v>
      </c>
    </row>
    <row r="95" customFormat="false" ht="15" hidden="false" customHeight="false" outlineLevel="0" collapsed="false">
      <c r="A95" s="10"/>
      <c r="B95" s="10"/>
      <c r="C95" s="10"/>
      <c r="D95" s="10"/>
      <c r="E95" s="10" t="s">
        <v>112</v>
      </c>
      <c r="F95" s="10" t="s">
        <v>113</v>
      </c>
      <c r="G95" s="11"/>
      <c r="H95" s="11"/>
      <c r="I95" s="10" t="s">
        <v>114</v>
      </c>
      <c r="J95" s="13" t="n">
        <v>0</v>
      </c>
      <c r="K95" s="10" t="s">
        <v>50</v>
      </c>
    </row>
    <row r="96" customFormat="false" ht="15" hidden="false" customHeight="false" outlineLevel="0" collapsed="false">
      <c r="A96" s="10"/>
      <c r="B96" s="10"/>
      <c r="C96" s="10"/>
      <c r="D96" s="10"/>
      <c r="E96" s="10" t="s">
        <v>112</v>
      </c>
      <c r="F96" s="10" t="s">
        <v>113</v>
      </c>
      <c r="G96" s="11"/>
      <c r="H96" s="11"/>
      <c r="I96" s="10" t="s">
        <v>114</v>
      </c>
      <c r="J96" s="13" t="n">
        <v>0</v>
      </c>
      <c r="K96" s="10" t="s">
        <v>50</v>
      </c>
    </row>
    <row r="97" customFormat="false" ht="15" hidden="false" customHeight="false" outlineLevel="0" collapsed="false">
      <c r="A97" s="10"/>
      <c r="B97" s="10"/>
      <c r="C97" s="10"/>
      <c r="D97" s="10"/>
      <c r="E97" s="10" t="s">
        <v>112</v>
      </c>
      <c r="F97" s="10" t="s">
        <v>113</v>
      </c>
      <c r="G97" s="11"/>
      <c r="H97" s="11"/>
      <c r="I97" s="10" t="s">
        <v>114</v>
      </c>
      <c r="J97" s="13" t="n">
        <v>0</v>
      </c>
      <c r="K97" s="10" t="s">
        <v>50</v>
      </c>
    </row>
    <row r="98" customFormat="false" ht="15" hidden="false" customHeight="false" outlineLevel="0" collapsed="false">
      <c r="A98" s="10"/>
      <c r="B98" s="10"/>
      <c r="C98" s="10"/>
      <c r="D98" s="10"/>
      <c r="E98" s="10" t="s">
        <v>112</v>
      </c>
      <c r="F98" s="10" t="s">
        <v>113</v>
      </c>
      <c r="G98" s="11"/>
      <c r="H98" s="11"/>
      <c r="I98" s="10" t="s">
        <v>114</v>
      </c>
      <c r="J98" s="13" t="n">
        <v>0</v>
      </c>
      <c r="K98" s="10" t="s">
        <v>50</v>
      </c>
    </row>
    <row r="99" customFormat="false" ht="15" hidden="false" customHeight="false" outlineLevel="0" collapsed="false">
      <c r="A99" s="10"/>
      <c r="B99" s="10"/>
      <c r="C99" s="10"/>
      <c r="D99" s="10"/>
      <c r="E99" s="10" t="s">
        <v>112</v>
      </c>
      <c r="F99" s="10" t="s">
        <v>113</v>
      </c>
      <c r="G99" s="11"/>
      <c r="H99" s="11"/>
      <c r="I99" s="10" t="s">
        <v>114</v>
      </c>
      <c r="J99" s="13" t="n">
        <v>0</v>
      </c>
      <c r="K99" s="10" t="s">
        <v>50</v>
      </c>
    </row>
    <row r="100" customFormat="false" ht="15" hidden="false" customHeight="false" outlineLevel="0" collapsed="false">
      <c r="A100" s="10"/>
      <c r="B100" s="10"/>
      <c r="C100" s="10"/>
      <c r="D100" s="10"/>
      <c r="E100" s="10" t="s">
        <v>112</v>
      </c>
      <c r="F100" s="10" t="s">
        <v>113</v>
      </c>
      <c r="G100" s="11"/>
      <c r="H100" s="11"/>
      <c r="I100" s="10" t="s">
        <v>114</v>
      </c>
      <c r="J100" s="13" t="n">
        <v>0</v>
      </c>
      <c r="K100" s="10" t="s">
        <v>50</v>
      </c>
    </row>
    <row r="101" customFormat="false" ht="15" hidden="false" customHeight="false" outlineLevel="0" collapsed="false">
      <c r="A101" s="10"/>
      <c r="B101" s="10"/>
      <c r="C101" s="10"/>
      <c r="D101" s="10"/>
      <c r="E101" s="10" t="s">
        <v>112</v>
      </c>
      <c r="F101" s="10" t="s">
        <v>113</v>
      </c>
      <c r="G101" s="11"/>
      <c r="H101" s="11"/>
      <c r="I101" s="10" t="s">
        <v>114</v>
      </c>
      <c r="J101" s="13" t="n">
        <v>0</v>
      </c>
      <c r="K101" s="10" t="s">
        <v>50</v>
      </c>
    </row>
    <row r="102" customFormat="false" ht="15" hidden="false" customHeight="false" outlineLevel="0" collapsed="false">
      <c r="A102" s="10"/>
      <c r="B102" s="10"/>
      <c r="C102" s="10"/>
      <c r="D102" s="10"/>
      <c r="E102" s="10" t="s">
        <v>112</v>
      </c>
      <c r="F102" s="10" t="s">
        <v>113</v>
      </c>
      <c r="G102" s="11"/>
      <c r="H102" s="11"/>
      <c r="I102" s="10" t="s">
        <v>114</v>
      </c>
      <c r="J102" s="13" t="n">
        <v>0</v>
      </c>
      <c r="K102" s="10" t="s">
        <v>50</v>
      </c>
    </row>
    <row r="103" customFormat="false" ht="15" hidden="false" customHeight="false" outlineLevel="0" collapsed="false">
      <c r="A103" s="10"/>
      <c r="B103" s="10"/>
      <c r="C103" s="10"/>
      <c r="D103" s="10"/>
      <c r="E103" s="10" t="s">
        <v>112</v>
      </c>
      <c r="F103" s="10" t="s">
        <v>113</v>
      </c>
      <c r="G103" s="11"/>
      <c r="H103" s="11"/>
      <c r="I103" s="10" t="s">
        <v>114</v>
      </c>
      <c r="J103" s="13" t="n">
        <v>0</v>
      </c>
      <c r="K103" s="10" t="s">
        <v>50</v>
      </c>
    </row>
    <row r="104" customFormat="false" ht="15" hidden="false" customHeight="false" outlineLevel="0" collapsed="false">
      <c r="A104" s="10"/>
      <c r="B104" s="10"/>
      <c r="C104" s="10"/>
      <c r="D104" s="10"/>
      <c r="E104" s="10" t="s">
        <v>112</v>
      </c>
      <c r="F104" s="10" t="s">
        <v>113</v>
      </c>
      <c r="G104" s="11"/>
      <c r="H104" s="11"/>
      <c r="I104" s="10" t="s">
        <v>114</v>
      </c>
      <c r="J104" s="13" t="n">
        <v>0</v>
      </c>
      <c r="K104" s="10" t="s">
        <v>50</v>
      </c>
    </row>
    <row r="105" customFormat="false" ht="15" hidden="false" customHeight="false" outlineLevel="0" collapsed="false">
      <c r="A105" s="10"/>
      <c r="B105" s="10"/>
      <c r="C105" s="10"/>
      <c r="D105" s="10"/>
      <c r="E105" s="10" t="s">
        <v>112</v>
      </c>
      <c r="F105" s="10" t="s">
        <v>113</v>
      </c>
      <c r="G105" s="11"/>
      <c r="H105" s="11"/>
      <c r="I105" s="10" t="s">
        <v>114</v>
      </c>
      <c r="J105" s="13" t="n">
        <v>0</v>
      </c>
      <c r="K105" s="10" t="s">
        <v>50</v>
      </c>
    </row>
    <row r="106" customFormat="false" ht="15" hidden="false" customHeight="false" outlineLevel="0" collapsed="false">
      <c r="A106" s="10"/>
      <c r="B106" s="10"/>
      <c r="C106" s="10"/>
      <c r="D106" s="10"/>
      <c r="E106" s="10" t="s">
        <v>112</v>
      </c>
      <c r="F106" s="10" t="s">
        <v>113</v>
      </c>
      <c r="G106" s="11"/>
      <c r="H106" s="11"/>
      <c r="I106" s="10" t="s">
        <v>114</v>
      </c>
      <c r="J106" s="13" t="n">
        <v>0</v>
      </c>
      <c r="K106" s="10" t="s">
        <v>50</v>
      </c>
    </row>
    <row r="107" customFormat="false" ht="15" hidden="false" customHeight="false" outlineLevel="0" collapsed="false">
      <c r="A107" s="10"/>
      <c r="B107" s="10"/>
      <c r="C107" s="10"/>
      <c r="D107" s="10"/>
      <c r="E107" s="10" t="s">
        <v>112</v>
      </c>
      <c r="F107" s="10" t="s">
        <v>113</v>
      </c>
      <c r="G107" s="11"/>
      <c r="H107" s="11"/>
      <c r="I107" s="10" t="s">
        <v>114</v>
      </c>
      <c r="J107" s="13" t="n">
        <v>0</v>
      </c>
      <c r="K107" s="10" t="s">
        <v>50</v>
      </c>
    </row>
    <row r="108" customFormat="false" ht="15" hidden="false" customHeight="false" outlineLevel="0" collapsed="false">
      <c r="A108" s="10"/>
      <c r="B108" s="10"/>
      <c r="C108" s="10"/>
      <c r="D108" s="10"/>
      <c r="E108" s="10" t="s">
        <v>112</v>
      </c>
      <c r="F108" s="10" t="s">
        <v>113</v>
      </c>
      <c r="G108" s="11"/>
      <c r="H108" s="11"/>
      <c r="I108" s="10" t="s">
        <v>114</v>
      </c>
      <c r="J108" s="13" t="n">
        <v>0</v>
      </c>
      <c r="K108" s="10" t="s">
        <v>50</v>
      </c>
    </row>
    <row r="109" customFormat="false" ht="15" hidden="false" customHeight="false" outlineLevel="0" collapsed="false">
      <c r="A109" s="10"/>
      <c r="B109" s="10"/>
      <c r="C109" s="10"/>
      <c r="D109" s="10"/>
      <c r="E109" s="10" t="s">
        <v>112</v>
      </c>
      <c r="F109" s="10" t="s">
        <v>113</v>
      </c>
      <c r="G109" s="11"/>
      <c r="H109" s="11"/>
      <c r="I109" s="10" t="s">
        <v>114</v>
      </c>
      <c r="J109" s="13" t="n">
        <v>0</v>
      </c>
      <c r="K109" s="10" t="s">
        <v>50</v>
      </c>
    </row>
    <row r="110" customFormat="false" ht="15" hidden="false" customHeight="false" outlineLevel="0" collapsed="false">
      <c r="A110" s="10"/>
      <c r="B110" s="10"/>
      <c r="C110" s="10"/>
      <c r="D110" s="10"/>
      <c r="E110" s="10" t="s">
        <v>112</v>
      </c>
      <c r="F110" s="10" t="s">
        <v>113</v>
      </c>
      <c r="G110" s="11"/>
      <c r="H110" s="11"/>
      <c r="I110" s="10" t="s">
        <v>114</v>
      </c>
      <c r="J110" s="13" t="n">
        <v>0</v>
      </c>
      <c r="K110" s="10" t="s">
        <v>50</v>
      </c>
    </row>
    <row r="111" customFormat="false" ht="15" hidden="false" customHeight="false" outlineLevel="0" collapsed="false">
      <c r="A111" s="10"/>
      <c r="B111" s="10"/>
      <c r="C111" s="10"/>
      <c r="D111" s="10"/>
      <c r="E111" s="10" t="s">
        <v>112</v>
      </c>
      <c r="F111" s="10" t="s">
        <v>113</v>
      </c>
      <c r="G111" s="11"/>
      <c r="H111" s="11"/>
      <c r="I111" s="10" t="s">
        <v>114</v>
      </c>
      <c r="J111" s="13" t="n">
        <v>0</v>
      </c>
      <c r="K111" s="10" t="s">
        <v>50</v>
      </c>
    </row>
    <row r="112" customFormat="false" ht="15" hidden="false" customHeight="false" outlineLevel="0" collapsed="false">
      <c r="A112" s="10"/>
      <c r="B112" s="10"/>
      <c r="C112" s="10"/>
      <c r="D112" s="10"/>
      <c r="E112" s="10" t="s">
        <v>112</v>
      </c>
      <c r="F112" s="10" t="s">
        <v>113</v>
      </c>
      <c r="G112" s="11"/>
      <c r="H112" s="11"/>
      <c r="I112" s="10" t="s">
        <v>114</v>
      </c>
      <c r="J112" s="13" t="n">
        <v>0</v>
      </c>
      <c r="K112" s="10" t="s">
        <v>50</v>
      </c>
    </row>
    <row r="113" customFormat="false" ht="15" hidden="false" customHeight="false" outlineLevel="0" collapsed="false">
      <c r="A113" s="10"/>
      <c r="B113" s="10"/>
      <c r="C113" s="10"/>
      <c r="D113" s="10"/>
      <c r="E113" s="10" t="s">
        <v>112</v>
      </c>
      <c r="F113" s="10" t="s">
        <v>113</v>
      </c>
      <c r="G113" s="11"/>
      <c r="H113" s="11"/>
      <c r="I113" s="10" t="s">
        <v>114</v>
      </c>
      <c r="J113" s="13" t="n">
        <v>0</v>
      </c>
      <c r="K113" s="10" t="s">
        <v>50</v>
      </c>
    </row>
    <row r="114" customFormat="false" ht="15" hidden="false" customHeight="false" outlineLevel="0" collapsed="false">
      <c r="A114" s="10"/>
      <c r="B114" s="10"/>
      <c r="C114" s="10"/>
      <c r="D114" s="10"/>
      <c r="E114" s="10" t="s">
        <v>112</v>
      </c>
      <c r="F114" s="10" t="s">
        <v>113</v>
      </c>
      <c r="G114" s="11"/>
      <c r="H114" s="11"/>
      <c r="I114" s="10" t="s">
        <v>114</v>
      </c>
      <c r="J114" s="13" t="n">
        <v>0</v>
      </c>
      <c r="K114" s="10" t="s">
        <v>50</v>
      </c>
    </row>
    <row r="115" customFormat="false" ht="15" hidden="false" customHeight="false" outlineLevel="0" collapsed="false">
      <c r="A115" s="10"/>
      <c r="B115" s="10"/>
      <c r="C115" s="10"/>
      <c r="D115" s="10"/>
      <c r="E115" s="10" t="s">
        <v>112</v>
      </c>
      <c r="F115" s="10" t="s">
        <v>113</v>
      </c>
      <c r="G115" s="11"/>
      <c r="H115" s="11"/>
      <c r="I115" s="10" t="s">
        <v>114</v>
      </c>
      <c r="J115" s="13" t="n">
        <v>0</v>
      </c>
      <c r="K115" s="10" t="s">
        <v>50</v>
      </c>
    </row>
    <row r="116" customFormat="false" ht="15" hidden="false" customHeight="false" outlineLevel="0" collapsed="false">
      <c r="A116" s="10"/>
      <c r="B116" s="10"/>
      <c r="C116" s="10"/>
      <c r="D116" s="10"/>
      <c r="E116" s="10" t="s">
        <v>112</v>
      </c>
      <c r="F116" s="10" t="s">
        <v>113</v>
      </c>
      <c r="G116" s="11"/>
      <c r="H116" s="11"/>
      <c r="I116" s="10" t="s">
        <v>114</v>
      </c>
      <c r="J116" s="13" t="n">
        <v>0</v>
      </c>
      <c r="K116" s="10" t="s">
        <v>50</v>
      </c>
    </row>
    <row r="117" customFormat="false" ht="15" hidden="false" customHeight="false" outlineLevel="0" collapsed="false">
      <c r="A117" s="10"/>
      <c r="B117" s="10"/>
      <c r="C117" s="10"/>
      <c r="D117" s="10"/>
      <c r="E117" s="10" t="s">
        <v>112</v>
      </c>
      <c r="F117" s="10" t="s">
        <v>113</v>
      </c>
      <c r="G117" s="11"/>
      <c r="H117" s="11"/>
      <c r="I117" s="10" t="s">
        <v>114</v>
      </c>
      <c r="J117" s="13" t="n">
        <v>0</v>
      </c>
      <c r="K117" s="10" t="s">
        <v>50</v>
      </c>
    </row>
    <row r="118" customFormat="false" ht="15" hidden="false" customHeight="false" outlineLevel="0" collapsed="false">
      <c r="A118" s="10"/>
      <c r="B118" s="10"/>
      <c r="C118" s="10"/>
      <c r="D118" s="10"/>
      <c r="E118" s="10" t="s">
        <v>112</v>
      </c>
      <c r="F118" s="10" t="s">
        <v>113</v>
      </c>
      <c r="G118" s="11"/>
      <c r="H118" s="11"/>
      <c r="I118" s="10" t="s">
        <v>114</v>
      </c>
      <c r="J118" s="13" t="n">
        <v>0</v>
      </c>
      <c r="K118" s="10" t="s">
        <v>50</v>
      </c>
    </row>
    <row r="119" customFormat="false" ht="15" hidden="false" customHeight="false" outlineLevel="0" collapsed="false">
      <c r="A119" s="10"/>
      <c r="B119" s="10"/>
      <c r="C119" s="10"/>
      <c r="D119" s="10"/>
      <c r="E119" s="10" t="s">
        <v>112</v>
      </c>
      <c r="F119" s="10" t="s">
        <v>113</v>
      </c>
      <c r="G119" s="11"/>
      <c r="H119" s="11"/>
      <c r="I119" s="10" t="s">
        <v>114</v>
      </c>
      <c r="J119" s="13" t="n">
        <v>0</v>
      </c>
      <c r="K119" s="10" t="s">
        <v>50</v>
      </c>
    </row>
    <row r="120" customFormat="false" ht="15" hidden="false" customHeight="false" outlineLevel="0" collapsed="false">
      <c r="A120" s="10"/>
      <c r="B120" s="10"/>
      <c r="C120" s="10"/>
      <c r="D120" s="10"/>
      <c r="E120" s="10" t="s">
        <v>112</v>
      </c>
      <c r="F120" s="10" t="s">
        <v>113</v>
      </c>
      <c r="G120" s="11"/>
      <c r="H120" s="11"/>
      <c r="I120" s="10" t="s">
        <v>114</v>
      </c>
      <c r="J120" s="13" t="n">
        <v>0</v>
      </c>
      <c r="K120" s="10" t="s">
        <v>50</v>
      </c>
    </row>
    <row r="121" customFormat="false" ht="15" hidden="false" customHeight="false" outlineLevel="0" collapsed="false">
      <c r="A121" s="10"/>
      <c r="B121" s="10"/>
      <c r="C121" s="10"/>
      <c r="D121" s="10"/>
      <c r="E121" s="10" t="s">
        <v>112</v>
      </c>
      <c r="F121" s="10" t="s">
        <v>113</v>
      </c>
      <c r="G121" s="11"/>
      <c r="H121" s="11"/>
      <c r="I121" s="10" t="s">
        <v>114</v>
      </c>
      <c r="J121" s="13" t="n">
        <v>0</v>
      </c>
      <c r="K121" s="10" t="s">
        <v>50</v>
      </c>
    </row>
    <row r="122" customFormat="false" ht="15" hidden="false" customHeight="false" outlineLevel="0" collapsed="false">
      <c r="A122" s="10"/>
      <c r="B122" s="10"/>
      <c r="C122" s="10"/>
      <c r="D122" s="10"/>
      <c r="E122" s="10" t="s">
        <v>112</v>
      </c>
      <c r="F122" s="10" t="s">
        <v>113</v>
      </c>
      <c r="G122" s="11"/>
      <c r="H122" s="11"/>
      <c r="I122" s="10" t="s">
        <v>114</v>
      </c>
      <c r="J122" s="13" t="n">
        <v>0</v>
      </c>
      <c r="K122" s="10" t="s">
        <v>50</v>
      </c>
    </row>
    <row r="123" customFormat="false" ht="15" hidden="false" customHeight="false" outlineLevel="0" collapsed="false">
      <c r="A123" s="10"/>
      <c r="B123" s="10"/>
      <c r="C123" s="10"/>
      <c r="D123" s="10"/>
      <c r="E123" s="10" t="s">
        <v>112</v>
      </c>
      <c r="F123" s="10" t="s">
        <v>113</v>
      </c>
      <c r="G123" s="11"/>
      <c r="H123" s="11"/>
      <c r="I123" s="10" t="s">
        <v>114</v>
      </c>
      <c r="J123" s="13" t="n">
        <v>0</v>
      </c>
      <c r="K123" s="10" t="s">
        <v>50</v>
      </c>
    </row>
    <row r="124" customFormat="false" ht="15" hidden="false" customHeight="false" outlineLevel="0" collapsed="false">
      <c r="A124" s="10"/>
      <c r="B124" s="10"/>
      <c r="C124" s="10"/>
      <c r="D124" s="10"/>
      <c r="E124" s="10" t="s">
        <v>112</v>
      </c>
      <c r="F124" s="10" t="s">
        <v>113</v>
      </c>
      <c r="G124" s="11"/>
      <c r="H124" s="11"/>
      <c r="I124" s="10" t="s">
        <v>114</v>
      </c>
      <c r="J124" s="13" t="n">
        <v>0</v>
      </c>
      <c r="K124" s="10" t="s">
        <v>50</v>
      </c>
    </row>
    <row r="125" customFormat="false" ht="15" hidden="false" customHeight="false" outlineLevel="0" collapsed="false">
      <c r="A125" s="10"/>
      <c r="B125" s="10"/>
      <c r="C125" s="10"/>
      <c r="D125" s="10"/>
      <c r="E125" s="10" t="s">
        <v>112</v>
      </c>
      <c r="F125" s="10" t="s">
        <v>113</v>
      </c>
      <c r="G125" s="11"/>
      <c r="H125" s="11"/>
      <c r="I125" s="10" t="s">
        <v>114</v>
      </c>
      <c r="J125" s="13" t="n">
        <v>0</v>
      </c>
      <c r="K125" s="10" t="s">
        <v>50</v>
      </c>
    </row>
    <row r="126" customFormat="false" ht="15" hidden="false" customHeight="false" outlineLevel="0" collapsed="false">
      <c r="A126" s="10"/>
      <c r="B126" s="10"/>
      <c r="C126" s="10"/>
      <c r="D126" s="10"/>
      <c r="E126" s="10" t="s">
        <v>112</v>
      </c>
      <c r="F126" s="10" t="s">
        <v>113</v>
      </c>
      <c r="G126" s="11"/>
      <c r="H126" s="11"/>
      <c r="I126" s="10" t="s">
        <v>114</v>
      </c>
      <c r="J126" s="13" t="n">
        <v>0</v>
      </c>
      <c r="K126" s="10" t="s">
        <v>50</v>
      </c>
    </row>
    <row r="127" customFormat="false" ht="15" hidden="false" customHeight="false" outlineLevel="0" collapsed="false">
      <c r="A127" s="10"/>
      <c r="B127" s="10"/>
      <c r="C127" s="10"/>
      <c r="D127" s="10"/>
      <c r="E127" s="10" t="s">
        <v>112</v>
      </c>
      <c r="F127" s="10" t="s">
        <v>113</v>
      </c>
      <c r="G127" s="11"/>
      <c r="H127" s="11"/>
      <c r="I127" s="10" t="s">
        <v>114</v>
      </c>
      <c r="J127" s="13" t="n">
        <v>0</v>
      </c>
      <c r="K127" s="10" t="s">
        <v>50</v>
      </c>
    </row>
    <row r="128" customFormat="false" ht="15" hidden="false" customHeight="false" outlineLevel="0" collapsed="false">
      <c r="A128" s="10"/>
      <c r="B128" s="10"/>
      <c r="C128" s="10"/>
      <c r="D128" s="10"/>
      <c r="E128" s="10" t="s">
        <v>112</v>
      </c>
      <c r="F128" s="10" t="s">
        <v>113</v>
      </c>
      <c r="G128" s="11"/>
      <c r="H128" s="11"/>
      <c r="I128" s="10" t="s">
        <v>114</v>
      </c>
      <c r="J128" s="13" t="n">
        <v>0</v>
      </c>
      <c r="K128" s="10" t="s">
        <v>50</v>
      </c>
    </row>
    <row r="129" customFormat="false" ht="15" hidden="false" customHeight="false" outlineLevel="0" collapsed="false">
      <c r="A129" s="10"/>
      <c r="B129" s="10"/>
      <c r="C129" s="10"/>
      <c r="D129" s="10"/>
      <c r="E129" s="10" t="s">
        <v>112</v>
      </c>
      <c r="F129" s="10" t="s">
        <v>113</v>
      </c>
      <c r="G129" s="11"/>
      <c r="H129" s="11"/>
      <c r="I129" s="10" t="s">
        <v>114</v>
      </c>
      <c r="J129" s="13" t="n">
        <v>0</v>
      </c>
      <c r="K129" s="10" t="s">
        <v>50</v>
      </c>
    </row>
    <row r="130" customFormat="false" ht="15" hidden="false" customHeight="false" outlineLevel="0" collapsed="false">
      <c r="A130" s="10"/>
      <c r="B130" s="10"/>
      <c r="C130" s="10"/>
      <c r="D130" s="10"/>
      <c r="E130" s="10" t="s">
        <v>112</v>
      </c>
      <c r="F130" s="10" t="s">
        <v>113</v>
      </c>
      <c r="G130" s="11"/>
      <c r="H130" s="11"/>
      <c r="I130" s="10" t="s">
        <v>114</v>
      </c>
      <c r="J130" s="13" t="n">
        <v>0</v>
      </c>
      <c r="K130" s="10" t="s">
        <v>50</v>
      </c>
    </row>
    <row r="131" customFormat="false" ht="15" hidden="false" customHeight="false" outlineLevel="0" collapsed="false">
      <c r="A131" s="10"/>
      <c r="B131" s="10"/>
      <c r="C131" s="10"/>
      <c r="D131" s="10"/>
      <c r="E131" s="10" t="s">
        <v>112</v>
      </c>
      <c r="F131" s="10" t="s">
        <v>113</v>
      </c>
      <c r="G131" s="11"/>
      <c r="H131" s="11"/>
      <c r="I131" s="10" t="s">
        <v>114</v>
      </c>
      <c r="J131" s="13" t="n">
        <v>0</v>
      </c>
      <c r="K131" s="10" t="s">
        <v>50</v>
      </c>
    </row>
    <row r="132" customFormat="false" ht="15" hidden="false" customHeight="false" outlineLevel="0" collapsed="false">
      <c r="A132" s="10"/>
      <c r="B132" s="10"/>
      <c r="C132" s="10"/>
      <c r="D132" s="10"/>
      <c r="E132" s="10" t="s">
        <v>112</v>
      </c>
      <c r="F132" s="10" t="s">
        <v>113</v>
      </c>
      <c r="G132" s="11"/>
      <c r="H132" s="11"/>
      <c r="I132" s="10" t="s">
        <v>114</v>
      </c>
      <c r="J132" s="13" t="n">
        <v>0</v>
      </c>
      <c r="K132" s="10" t="s">
        <v>50</v>
      </c>
    </row>
    <row r="133" customFormat="false" ht="15" hidden="false" customHeight="false" outlineLevel="0" collapsed="false">
      <c r="A133" s="10"/>
      <c r="B133" s="10"/>
      <c r="C133" s="10"/>
      <c r="D133" s="10"/>
      <c r="E133" s="10" t="s">
        <v>112</v>
      </c>
      <c r="F133" s="10" t="s">
        <v>113</v>
      </c>
      <c r="G133" s="11"/>
      <c r="H133" s="11"/>
      <c r="I133" s="10" t="s">
        <v>114</v>
      </c>
      <c r="J133" s="13" t="n">
        <v>0</v>
      </c>
      <c r="K133" s="10" t="s">
        <v>50</v>
      </c>
    </row>
    <row r="134" customFormat="false" ht="15" hidden="false" customHeight="false" outlineLevel="0" collapsed="false">
      <c r="A134" s="10"/>
      <c r="B134" s="10"/>
      <c r="C134" s="10"/>
      <c r="D134" s="10"/>
      <c r="E134" s="10" t="s">
        <v>112</v>
      </c>
      <c r="F134" s="10" t="s">
        <v>113</v>
      </c>
      <c r="G134" s="11"/>
      <c r="H134" s="11"/>
      <c r="I134" s="10" t="s">
        <v>114</v>
      </c>
      <c r="J134" s="13" t="n">
        <v>0</v>
      </c>
      <c r="K134" s="10" t="s">
        <v>50</v>
      </c>
    </row>
    <row r="135" customFormat="false" ht="15" hidden="false" customHeight="false" outlineLevel="0" collapsed="false">
      <c r="A135" s="10"/>
      <c r="B135" s="10"/>
      <c r="C135" s="10"/>
      <c r="D135" s="10"/>
      <c r="E135" s="10" t="s">
        <v>112</v>
      </c>
      <c r="F135" s="10" t="s">
        <v>113</v>
      </c>
      <c r="G135" s="11"/>
      <c r="H135" s="11"/>
      <c r="I135" s="10" t="s">
        <v>114</v>
      </c>
      <c r="J135" s="13" t="n">
        <v>0</v>
      </c>
      <c r="K135" s="10" t="s">
        <v>50</v>
      </c>
    </row>
    <row r="136" customFormat="false" ht="15" hidden="false" customHeight="false" outlineLevel="0" collapsed="false">
      <c r="A136" s="10"/>
      <c r="B136" s="10"/>
      <c r="C136" s="10"/>
      <c r="D136" s="10"/>
      <c r="E136" s="10" t="s">
        <v>112</v>
      </c>
      <c r="F136" s="10" t="s">
        <v>113</v>
      </c>
      <c r="G136" s="11"/>
      <c r="H136" s="11"/>
      <c r="I136" s="10" t="s">
        <v>114</v>
      </c>
      <c r="J136" s="13" t="n">
        <v>0</v>
      </c>
      <c r="K136" s="10" t="s">
        <v>50</v>
      </c>
    </row>
    <row r="137" customFormat="false" ht="15" hidden="false" customHeight="false" outlineLevel="0" collapsed="false">
      <c r="A137" s="10"/>
      <c r="B137" s="10"/>
      <c r="C137" s="10"/>
      <c r="D137" s="10"/>
      <c r="E137" s="10" t="s">
        <v>112</v>
      </c>
      <c r="F137" s="10" t="s">
        <v>113</v>
      </c>
      <c r="G137" s="11"/>
      <c r="H137" s="11"/>
      <c r="I137" s="10" t="s">
        <v>114</v>
      </c>
      <c r="J137" s="13" t="n">
        <v>0</v>
      </c>
      <c r="K137" s="10" t="s">
        <v>50</v>
      </c>
    </row>
    <row r="138" customFormat="false" ht="15" hidden="false" customHeight="false" outlineLevel="0" collapsed="false">
      <c r="A138" s="10"/>
      <c r="B138" s="10"/>
      <c r="C138" s="10"/>
      <c r="D138" s="10"/>
      <c r="E138" s="10" t="s">
        <v>112</v>
      </c>
      <c r="F138" s="10" t="s">
        <v>113</v>
      </c>
      <c r="G138" s="11"/>
      <c r="H138" s="11"/>
      <c r="I138" s="10" t="s">
        <v>114</v>
      </c>
      <c r="J138" s="13" t="n">
        <v>0</v>
      </c>
      <c r="K138" s="10" t="s">
        <v>50</v>
      </c>
    </row>
    <row r="139" customFormat="false" ht="15" hidden="false" customHeight="false" outlineLevel="0" collapsed="false">
      <c r="A139" s="10"/>
      <c r="B139" s="10"/>
      <c r="C139" s="10"/>
      <c r="D139" s="10"/>
      <c r="E139" s="10" t="s">
        <v>112</v>
      </c>
      <c r="F139" s="10" t="s">
        <v>113</v>
      </c>
      <c r="G139" s="11"/>
      <c r="H139" s="11"/>
      <c r="I139" s="10" t="s">
        <v>114</v>
      </c>
      <c r="J139" s="13" t="n">
        <v>0</v>
      </c>
      <c r="K139" s="10" t="s">
        <v>50</v>
      </c>
    </row>
    <row r="140" customFormat="false" ht="15" hidden="false" customHeight="false" outlineLevel="0" collapsed="false">
      <c r="A140" s="10"/>
      <c r="B140" s="10"/>
      <c r="C140" s="10"/>
      <c r="D140" s="10"/>
      <c r="E140" s="10" t="s">
        <v>112</v>
      </c>
      <c r="F140" s="10" t="s">
        <v>113</v>
      </c>
      <c r="G140" s="11"/>
      <c r="H140" s="11"/>
      <c r="I140" s="10" t="s">
        <v>114</v>
      </c>
      <c r="J140" s="13" t="n">
        <v>0</v>
      </c>
      <c r="K140" s="10" t="s">
        <v>50</v>
      </c>
    </row>
    <row r="141" customFormat="false" ht="15" hidden="false" customHeight="false" outlineLevel="0" collapsed="false">
      <c r="A141" s="10"/>
      <c r="B141" s="10"/>
      <c r="C141" s="10"/>
      <c r="D141" s="10"/>
      <c r="E141" s="10" t="s">
        <v>112</v>
      </c>
      <c r="F141" s="10" t="s">
        <v>113</v>
      </c>
      <c r="G141" s="11"/>
      <c r="H141" s="11"/>
      <c r="I141" s="10" t="s">
        <v>114</v>
      </c>
      <c r="J141" s="13" t="n">
        <v>0</v>
      </c>
      <c r="K141" s="10" t="s">
        <v>50</v>
      </c>
    </row>
    <row r="142" customFormat="false" ht="15" hidden="false" customHeight="false" outlineLevel="0" collapsed="false">
      <c r="A142" s="10"/>
      <c r="B142" s="10"/>
      <c r="C142" s="10"/>
      <c r="D142" s="10"/>
      <c r="E142" s="10" t="s">
        <v>112</v>
      </c>
      <c r="F142" s="10" t="s">
        <v>113</v>
      </c>
      <c r="G142" s="11"/>
      <c r="H142" s="11"/>
      <c r="I142" s="10" t="s">
        <v>114</v>
      </c>
      <c r="J142" s="13" t="n">
        <v>0</v>
      </c>
      <c r="K142" s="10" t="s">
        <v>50</v>
      </c>
    </row>
    <row r="143" customFormat="false" ht="15" hidden="false" customHeight="false" outlineLevel="0" collapsed="false">
      <c r="A143" s="10"/>
      <c r="B143" s="10"/>
      <c r="C143" s="10"/>
      <c r="D143" s="10"/>
      <c r="E143" s="10" t="s">
        <v>112</v>
      </c>
      <c r="F143" s="10" t="s">
        <v>113</v>
      </c>
      <c r="G143" s="11"/>
      <c r="H143" s="11"/>
      <c r="I143" s="10" t="s">
        <v>114</v>
      </c>
      <c r="J143" s="13" t="n">
        <v>0</v>
      </c>
      <c r="K143" s="10" t="s">
        <v>50</v>
      </c>
    </row>
    <row r="144" customFormat="false" ht="15" hidden="false" customHeight="false" outlineLevel="0" collapsed="false">
      <c r="A144" s="10"/>
      <c r="B144" s="10"/>
      <c r="C144" s="10"/>
      <c r="D144" s="10"/>
      <c r="E144" s="10" t="s">
        <v>112</v>
      </c>
      <c r="F144" s="10" t="s">
        <v>113</v>
      </c>
      <c r="G144" s="11"/>
      <c r="H144" s="11"/>
      <c r="I144" s="10" t="s">
        <v>114</v>
      </c>
      <c r="J144" s="13" t="n">
        <v>0</v>
      </c>
      <c r="K144" s="10" t="s">
        <v>50</v>
      </c>
    </row>
    <row r="145" customFormat="false" ht="15" hidden="false" customHeight="false" outlineLevel="0" collapsed="false">
      <c r="A145" s="10"/>
      <c r="B145" s="10"/>
      <c r="C145" s="10"/>
      <c r="D145" s="10"/>
      <c r="E145" s="10" t="s">
        <v>112</v>
      </c>
      <c r="F145" s="10" t="s">
        <v>113</v>
      </c>
      <c r="G145" s="11"/>
      <c r="H145" s="11"/>
      <c r="I145" s="10" t="s">
        <v>114</v>
      </c>
      <c r="J145" s="13" t="n">
        <v>0</v>
      </c>
      <c r="K145" s="10" t="s">
        <v>50</v>
      </c>
    </row>
    <row r="146" customFormat="false" ht="15" hidden="false" customHeight="false" outlineLevel="0" collapsed="false">
      <c r="A146" s="10"/>
      <c r="B146" s="10"/>
      <c r="C146" s="10"/>
      <c r="D146" s="10"/>
      <c r="E146" s="10" t="s">
        <v>112</v>
      </c>
      <c r="F146" s="10" t="s">
        <v>113</v>
      </c>
      <c r="G146" s="11"/>
      <c r="H146" s="11"/>
      <c r="I146" s="10" t="s">
        <v>114</v>
      </c>
      <c r="J146" s="13" t="n">
        <v>0</v>
      </c>
      <c r="K146" s="10" t="s">
        <v>50</v>
      </c>
    </row>
    <row r="147" customFormat="false" ht="15" hidden="false" customHeight="false" outlineLevel="0" collapsed="false">
      <c r="A147" s="10"/>
      <c r="B147" s="10"/>
      <c r="C147" s="10"/>
      <c r="D147" s="10"/>
      <c r="E147" s="10" t="s">
        <v>112</v>
      </c>
      <c r="F147" s="10" t="s">
        <v>113</v>
      </c>
      <c r="G147" s="11"/>
      <c r="H147" s="11"/>
      <c r="I147" s="10" t="s">
        <v>114</v>
      </c>
      <c r="J147" s="13" t="n">
        <v>0</v>
      </c>
      <c r="K147" s="10" t="s">
        <v>50</v>
      </c>
    </row>
    <row r="148" customFormat="false" ht="15" hidden="false" customHeight="false" outlineLevel="0" collapsed="false">
      <c r="A148" s="10"/>
      <c r="B148" s="10"/>
      <c r="C148" s="10"/>
      <c r="D148" s="10"/>
      <c r="E148" s="10" t="s">
        <v>112</v>
      </c>
      <c r="F148" s="10" t="s">
        <v>113</v>
      </c>
      <c r="G148" s="11"/>
      <c r="H148" s="11"/>
      <c r="I148" s="10" t="s">
        <v>114</v>
      </c>
      <c r="J148" s="13" t="n">
        <v>0</v>
      </c>
      <c r="K148" s="10" t="s">
        <v>50</v>
      </c>
    </row>
    <row r="149" customFormat="false" ht="15" hidden="false" customHeight="false" outlineLevel="0" collapsed="false">
      <c r="A149" s="10"/>
      <c r="B149" s="10"/>
      <c r="C149" s="10"/>
      <c r="D149" s="10"/>
      <c r="E149" s="10" t="s">
        <v>112</v>
      </c>
      <c r="F149" s="10" t="s">
        <v>113</v>
      </c>
      <c r="G149" s="11"/>
      <c r="H149" s="11"/>
      <c r="I149" s="10" t="s">
        <v>114</v>
      </c>
      <c r="J149" s="13" t="n">
        <v>0</v>
      </c>
      <c r="K149" s="10" t="s">
        <v>50</v>
      </c>
    </row>
    <row r="150" customFormat="false" ht="15" hidden="false" customHeight="false" outlineLevel="0" collapsed="false">
      <c r="A150" s="10"/>
      <c r="B150" s="10"/>
      <c r="C150" s="10"/>
      <c r="D150" s="10"/>
      <c r="E150" s="10" t="s">
        <v>112</v>
      </c>
      <c r="F150" s="10" t="s">
        <v>113</v>
      </c>
      <c r="G150" s="11"/>
      <c r="H150" s="11"/>
      <c r="I150" s="10" t="s">
        <v>114</v>
      </c>
      <c r="J150" s="13" t="n">
        <v>0</v>
      </c>
      <c r="K150" s="10" t="s">
        <v>50</v>
      </c>
    </row>
    <row r="151" customFormat="false" ht="15" hidden="false" customHeight="false" outlineLevel="0" collapsed="false">
      <c r="A151" s="10"/>
      <c r="B151" s="10"/>
      <c r="C151" s="10"/>
      <c r="D151" s="10"/>
      <c r="E151" s="10" t="s">
        <v>112</v>
      </c>
      <c r="F151" s="10" t="s">
        <v>113</v>
      </c>
      <c r="G151" s="11"/>
      <c r="H151" s="11"/>
      <c r="I151" s="10" t="s">
        <v>114</v>
      </c>
      <c r="J151" s="13" t="n">
        <v>0</v>
      </c>
      <c r="K151" s="10" t="s">
        <v>50</v>
      </c>
    </row>
    <row r="152" customFormat="false" ht="15" hidden="false" customHeight="false" outlineLevel="0" collapsed="false">
      <c r="A152" s="10"/>
      <c r="B152" s="10"/>
      <c r="C152" s="10"/>
      <c r="D152" s="10"/>
      <c r="E152" s="10" t="s">
        <v>112</v>
      </c>
      <c r="F152" s="10" t="s">
        <v>113</v>
      </c>
      <c r="G152" s="11"/>
      <c r="H152" s="11"/>
      <c r="I152" s="10" t="s">
        <v>114</v>
      </c>
      <c r="J152" s="13" t="n">
        <v>0</v>
      </c>
      <c r="K152" s="10" t="s">
        <v>50</v>
      </c>
    </row>
    <row r="153" customFormat="false" ht="15" hidden="false" customHeight="false" outlineLevel="0" collapsed="false">
      <c r="A153" s="10"/>
      <c r="B153" s="10"/>
      <c r="C153" s="10"/>
      <c r="D153" s="10"/>
      <c r="E153" s="10" t="s">
        <v>112</v>
      </c>
      <c r="F153" s="10" t="s">
        <v>113</v>
      </c>
      <c r="G153" s="11"/>
      <c r="H153" s="11"/>
      <c r="I153" s="10" t="s">
        <v>114</v>
      </c>
      <c r="J153" s="13" t="n">
        <v>0</v>
      </c>
      <c r="K153" s="10" t="s">
        <v>50</v>
      </c>
    </row>
    <row r="154" customFormat="false" ht="15" hidden="false" customHeight="false" outlineLevel="0" collapsed="false">
      <c r="A154" s="10"/>
      <c r="B154" s="10"/>
      <c r="C154" s="10"/>
      <c r="D154" s="10"/>
      <c r="E154" s="10" t="s">
        <v>112</v>
      </c>
      <c r="F154" s="10" t="s">
        <v>113</v>
      </c>
      <c r="G154" s="11"/>
      <c r="H154" s="11"/>
      <c r="I154" s="10" t="s">
        <v>114</v>
      </c>
      <c r="J154" s="13" t="n">
        <v>0</v>
      </c>
      <c r="K154" s="10" t="s">
        <v>50</v>
      </c>
    </row>
    <row r="155" customFormat="false" ht="15" hidden="false" customHeight="false" outlineLevel="0" collapsed="false">
      <c r="A155" s="10"/>
      <c r="B155" s="10"/>
      <c r="C155" s="10"/>
      <c r="D155" s="10"/>
      <c r="E155" s="10" t="s">
        <v>112</v>
      </c>
      <c r="F155" s="10" t="s">
        <v>113</v>
      </c>
      <c r="G155" s="11"/>
      <c r="H155" s="11"/>
      <c r="I155" s="10" t="s">
        <v>114</v>
      </c>
      <c r="J155" s="13" t="n">
        <v>0</v>
      </c>
      <c r="K155" s="10" t="s">
        <v>50</v>
      </c>
    </row>
    <row r="156" customFormat="false" ht="15" hidden="false" customHeight="false" outlineLevel="0" collapsed="false">
      <c r="A156" s="10"/>
      <c r="B156" s="10"/>
      <c r="C156" s="10"/>
      <c r="D156" s="10"/>
      <c r="E156" s="10" t="s">
        <v>112</v>
      </c>
      <c r="F156" s="10" t="s">
        <v>113</v>
      </c>
      <c r="G156" s="11"/>
      <c r="H156" s="11"/>
      <c r="I156" s="10" t="s">
        <v>114</v>
      </c>
      <c r="J156" s="13" t="n">
        <v>0</v>
      </c>
      <c r="K156" s="10" t="s">
        <v>50</v>
      </c>
    </row>
    <row r="157" customFormat="false" ht="15" hidden="false" customHeight="false" outlineLevel="0" collapsed="false">
      <c r="A157" s="10"/>
      <c r="B157" s="10"/>
      <c r="C157" s="10"/>
      <c r="D157" s="10"/>
      <c r="E157" s="10" t="s">
        <v>112</v>
      </c>
      <c r="F157" s="10" t="s">
        <v>113</v>
      </c>
      <c r="G157" s="11"/>
      <c r="H157" s="11"/>
      <c r="I157" s="10" t="s">
        <v>114</v>
      </c>
      <c r="J157" s="13" t="n">
        <v>0</v>
      </c>
      <c r="K157" s="10" t="s">
        <v>50</v>
      </c>
    </row>
    <row r="158" customFormat="false" ht="15" hidden="false" customHeight="false" outlineLevel="0" collapsed="false">
      <c r="A158" s="10"/>
      <c r="B158" s="10"/>
      <c r="C158" s="10"/>
      <c r="D158" s="10"/>
      <c r="E158" s="10" t="s">
        <v>112</v>
      </c>
      <c r="F158" s="10" t="s">
        <v>113</v>
      </c>
      <c r="G158" s="11"/>
      <c r="H158" s="11"/>
      <c r="I158" s="10" t="s">
        <v>114</v>
      </c>
      <c r="J158" s="13" t="n">
        <v>0</v>
      </c>
      <c r="K158" s="10" t="s">
        <v>50</v>
      </c>
    </row>
    <row r="159" customFormat="false" ht="15" hidden="false" customHeight="false" outlineLevel="0" collapsed="false">
      <c r="A159" s="10"/>
      <c r="B159" s="10"/>
      <c r="C159" s="10"/>
      <c r="D159" s="10"/>
      <c r="E159" s="10" t="s">
        <v>112</v>
      </c>
      <c r="F159" s="10" t="s">
        <v>113</v>
      </c>
      <c r="G159" s="11"/>
      <c r="H159" s="11"/>
      <c r="I159" s="10" t="s">
        <v>114</v>
      </c>
      <c r="J159" s="13" t="n">
        <v>0</v>
      </c>
      <c r="K159" s="10" t="s">
        <v>50</v>
      </c>
    </row>
    <row r="160" customFormat="false" ht="15" hidden="false" customHeight="false" outlineLevel="0" collapsed="false">
      <c r="A160" s="10"/>
      <c r="B160" s="10"/>
      <c r="C160" s="10"/>
      <c r="D160" s="10"/>
      <c r="E160" s="10" t="s">
        <v>112</v>
      </c>
      <c r="F160" s="10" t="s">
        <v>113</v>
      </c>
      <c r="G160" s="11"/>
      <c r="H160" s="11"/>
      <c r="I160" s="10" t="s">
        <v>114</v>
      </c>
      <c r="J160" s="13" t="n">
        <v>0</v>
      </c>
      <c r="K160" s="10" t="s">
        <v>50</v>
      </c>
    </row>
    <row r="161" customFormat="false" ht="15" hidden="false" customHeight="false" outlineLevel="0" collapsed="false">
      <c r="A161" s="10"/>
      <c r="B161" s="10"/>
      <c r="C161" s="10"/>
      <c r="D161" s="10"/>
      <c r="E161" s="10" t="s">
        <v>112</v>
      </c>
      <c r="F161" s="10" t="s">
        <v>113</v>
      </c>
      <c r="G161" s="11"/>
      <c r="H161" s="11"/>
      <c r="I161" s="10" t="s">
        <v>114</v>
      </c>
      <c r="J161" s="13" t="n">
        <v>0</v>
      </c>
      <c r="K161" s="10" t="s">
        <v>50</v>
      </c>
    </row>
    <row r="162" customFormat="false" ht="15" hidden="false" customHeight="false" outlineLevel="0" collapsed="false">
      <c r="A162" s="10"/>
      <c r="B162" s="10"/>
      <c r="C162" s="10"/>
      <c r="D162" s="10"/>
      <c r="E162" s="10" t="s">
        <v>112</v>
      </c>
      <c r="F162" s="10" t="s">
        <v>113</v>
      </c>
      <c r="G162" s="11"/>
      <c r="H162" s="11"/>
      <c r="I162" s="10" t="s">
        <v>114</v>
      </c>
      <c r="J162" s="13" t="n">
        <v>0</v>
      </c>
      <c r="K162" s="10" t="s">
        <v>50</v>
      </c>
    </row>
    <row r="163" customFormat="false" ht="15" hidden="false" customHeight="false" outlineLevel="0" collapsed="false">
      <c r="A163" s="10"/>
      <c r="B163" s="10"/>
      <c r="C163" s="10"/>
      <c r="D163" s="10"/>
      <c r="E163" s="10" t="s">
        <v>112</v>
      </c>
      <c r="F163" s="10" t="s">
        <v>113</v>
      </c>
      <c r="G163" s="11"/>
      <c r="H163" s="11"/>
      <c r="I163" s="10" t="s">
        <v>114</v>
      </c>
      <c r="J163" s="13" t="n">
        <v>0</v>
      </c>
      <c r="K163" s="10" t="s">
        <v>50</v>
      </c>
    </row>
    <row r="164" customFormat="false" ht="15" hidden="false" customHeight="false" outlineLevel="0" collapsed="false">
      <c r="A164" s="10"/>
      <c r="B164" s="10"/>
      <c r="C164" s="10"/>
      <c r="D164" s="10"/>
      <c r="E164" s="10" t="s">
        <v>112</v>
      </c>
      <c r="F164" s="10" t="s">
        <v>113</v>
      </c>
      <c r="G164" s="11"/>
      <c r="H164" s="11"/>
      <c r="I164" s="10" t="s">
        <v>114</v>
      </c>
      <c r="J164" s="13" t="n">
        <v>0</v>
      </c>
      <c r="K164" s="10" t="s">
        <v>50</v>
      </c>
    </row>
    <row r="165" customFormat="false" ht="15" hidden="false" customHeight="false" outlineLevel="0" collapsed="false">
      <c r="A165" s="10"/>
      <c r="B165" s="10"/>
      <c r="C165" s="10"/>
      <c r="D165" s="10"/>
      <c r="E165" s="10" t="s">
        <v>112</v>
      </c>
      <c r="F165" s="10" t="s">
        <v>113</v>
      </c>
      <c r="G165" s="11"/>
      <c r="H165" s="11"/>
      <c r="I165" s="10" t="s">
        <v>114</v>
      </c>
      <c r="J165" s="13" t="n">
        <v>0</v>
      </c>
      <c r="K165" s="10" t="s">
        <v>50</v>
      </c>
    </row>
    <row r="166" customFormat="false" ht="15" hidden="false" customHeight="false" outlineLevel="0" collapsed="false">
      <c r="A166" s="10"/>
      <c r="B166" s="10"/>
      <c r="C166" s="10"/>
      <c r="D166" s="10"/>
      <c r="E166" s="10" t="s">
        <v>112</v>
      </c>
      <c r="F166" s="10" t="s">
        <v>113</v>
      </c>
      <c r="G166" s="11"/>
      <c r="H166" s="11"/>
      <c r="I166" s="10" t="s">
        <v>114</v>
      </c>
      <c r="J166" s="13" t="n">
        <v>0</v>
      </c>
      <c r="K166" s="10" t="s">
        <v>50</v>
      </c>
    </row>
    <row r="167" customFormat="false" ht="15" hidden="false" customHeight="false" outlineLevel="0" collapsed="false">
      <c r="A167" s="10"/>
      <c r="B167" s="10"/>
      <c r="C167" s="10"/>
      <c r="D167" s="10"/>
      <c r="E167" s="10" t="s">
        <v>112</v>
      </c>
      <c r="F167" s="10" t="s">
        <v>113</v>
      </c>
      <c r="G167" s="11"/>
      <c r="H167" s="11"/>
      <c r="I167" s="10" t="s">
        <v>114</v>
      </c>
      <c r="J167" s="13" t="n">
        <v>0</v>
      </c>
      <c r="K167" s="10" t="s">
        <v>50</v>
      </c>
    </row>
    <row r="168" customFormat="false" ht="15" hidden="false" customHeight="false" outlineLevel="0" collapsed="false">
      <c r="A168" s="10"/>
      <c r="B168" s="10"/>
      <c r="C168" s="10"/>
      <c r="D168" s="10"/>
      <c r="E168" s="10" t="s">
        <v>112</v>
      </c>
      <c r="F168" s="10" t="s">
        <v>113</v>
      </c>
      <c r="G168" s="11"/>
      <c r="H168" s="11"/>
      <c r="I168" s="10" t="s">
        <v>114</v>
      </c>
      <c r="J168" s="13" t="n">
        <v>0</v>
      </c>
      <c r="K168" s="10" t="s">
        <v>50</v>
      </c>
    </row>
    <row r="169" customFormat="false" ht="15" hidden="false" customHeight="false" outlineLevel="0" collapsed="false">
      <c r="A169" s="10"/>
      <c r="B169" s="10"/>
      <c r="C169" s="10"/>
      <c r="D169" s="10"/>
      <c r="E169" s="10" t="s">
        <v>112</v>
      </c>
      <c r="F169" s="10" t="s">
        <v>113</v>
      </c>
      <c r="G169" s="11"/>
      <c r="H169" s="11"/>
      <c r="I169" s="10" t="s">
        <v>114</v>
      </c>
      <c r="J169" s="13" t="n">
        <v>0</v>
      </c>
      <c r="K169" s="10" t="s">
        <v>50</v>
      </c>
    </row>
    <row r="170" customFormat="false" ht="15" hidden="false" customHeight="false" outlineLevel="0" collapsed="false">
      <c r="A170" s="10"/>
      <c r="B170" s="10"/>
      <c r="C170" s="10"/>
      <c r="D170" s="10"/>
      <c r="E170" s="10" t="s">
        <v>112</v>
      </c>
      <c r="F170" s="10" t="s">
        <v>113</v>
      </c>
      <c r="G170" s="11"/>
      <c r="H170" s="11"/>
      <c r="I170" s="10" t="s">
        <v>114</v>
      </c>
      <c r="J170" s="13" t="n">
        <v>0</v>
      </c>
      <c r="K170" s="10" t="s">
        <v>50</v>
      </c>
    </row>
    <row r="171" customFormat="false" ht="15" hidden="false" customHeight="false" outlineLevel="0" collapsed="false">
      <c r="A171" s="10"/>
      <c r="B171" s="10"/>
      <c r="C171" s="10"/>
      <c r="D171" s="10"/>
      <c r="E171" s="10" t="s">
        <v>112</v>
      </c>
      <c r="F171" s="10" t="s">
        <v>113</v>
      </c>
      <c r="G171" s="11"/>
      <c r="H171" s="11"/>
      <c r="I171" s="10" t="s">
        <v>114</v>
      </c>
      <c r="J171" s="13" t="n">
        <v>0</v>
      </c>
      <c r="K171" s="10" t="s">
        <v>50</v>
      </c>
    </row>
    <row r="172" customFormat="false" ht="15" hidden="false" customHeight="false" outlineLevel="0" collapsed="false">
      <c r="A172" s="10"/>
      <c r="B172" s="10"/>
      <c r="C172" s="10"/>
      <c r="D172" s="10"/>
      <c r="E172" s="10" t="s">
        <v>112</v>
      </c>
      <c r="F172" s="10" t="s">
        <v>113</v>
      </c>
      <c r="G172" s="11"/>
      <c r="H172" s="11"/>
      <c r="I172" s="10" t="s">
        <v>114</v>
      </c>
      <c r="J172" s="13" t="n">
        <v>0</v>
      </c>
      <c r="K172" s="10" t="s">
        <v>50</v>
      </c>
    </row>
    <row r="173" customFormat="false" ht="15" hidden="false" customHeight="false" outlineLevel="0" collapsed="false">
      <c r="A173" s="10"/>
      <c r="B173" s="10"/>
      <c r="C173" s="10"/>
      <c r="D173" s="10"/>
      <c r="E173" s="10" t="s">
        <v>112</v>
      </c>
      <c r="F173" s="10" t="s">
        <v>113</v>
      </c>
      <c r="G173" s="11"/>
      <c r="H173" s="11"/>
      <c r="I173" s="10" t="s">
        <v>114</v>
      </c>
      <c r="J173" s="13" t="n">
        <v>0</v>
      </c>
      <c r="K173" s="10" t="s">
        <v>50</v>
      </c>
    </row>
    <row r="174" customFormat="false" ht="15" hidden="false" customHeight="false" outlineLevel="0" collapsed="false">
      <c r="A174" s="10"/>
      <c r="B174" s="10"/>
      <c r="C174" s="10"/>
      <c r="D174" s="10"/>
      <c r="E174" s="10" t="s">
        <v>112</v>
      </c>
      <c r="F174" s="10" t="s">
        <v>113</v>
      </c>
      <c r="G174" s="11"/>
      <c r="H174" s="11"/>
      <c r="I174" s="10" t="s">
        <v>114</v>
      </c>
      <c r="J174" s="13" t="n">
        <v>0</v>
      </c>
      <c r="K174" s="10" t="s">
        <v>50</v>
      </c>
    </row>
    <row r="175" customFormat="false" ht="15" hidden="false" customHeight="false" outlineLevel="0" collapsed="false">
      <c r="A175" s="10"/>
      <c r="B175" s="10"/>
      <c r="C175" s="10"/>
      <c r="D175" s="10"/>
      <c r="E175" s="10" t="s">
        <v>112</v>
      </c>
      <c r="F175" s="10" t="s">
        <v>113</v>
      </c>
      <c r="G175" s="11"/>
      <c r="H175" s="11"/>
      <c r="I175" s="10" t="s">
        <v>114</v>
      </c>
      <c r="J175" s="13" t="n">
        <v>0</v>
      </c>
      <c r="K175" s="10" t="s">
        <v>50</v>
      </c>
    </row>
    <row r="176" customFormat="false" ht="15" hidden="false" customHeight="false" outlineLevel="0" collapsed="false">
      <c r="A176" s="10"/>
      <c r="B176" s="10"/>
      <c r="C176" s="10"/>
      <c r="D176" s="10"/>
      <c r="E176" s="10" t="s">
        <v>112</v>
      </c>
      <c r="F176" s="10" t="s">
        <v>113</v>
      </c>
      <c r="G176" s="11"/>
      <c r="H176" s="11"/>
      <c r="I176" s="10" t="s">
        <v>114</v>
      </c>
      <c r="J176" s="13" t="n">
        <v>0</v>
      </c>
      <c r="K176" s="10" t="s">
        <v>50</v>
      </c>
    </row>
    <row r="177" customFormat="false" ht="15" hidden="false" customHeight="false" outlineLevel="0" collapsed="false">
      <c r="A177" s="10"/>
      <c r="B177" s="10"/>
      <c r="C177" s="10"/>
      <c r="D177" s="10"/>
      <c r="E177" s="10" t="s">
        <v>112</v>
      </c>
      <c r="F177" s="10" t="s">
        <v>113</v>
      </c>
      <c r="G177" s="11"/>
      <c r="H177" s="11"/>
      <c r="I177" s="10" t="s">
        <v>114</v>
      </c>
      <c r="J177" s="13" t="n">
        <v>0</v>
      </c>
      <c r="K177" s="10" t="s">
        <v>50</v>
      </c>
    </row>
    <row r="178" customFormat="false" ht="15" hidden="false" customHeight="false" outlineLevel="0" collapsed="false">
      <c r="A178" s="10"/>
      <c r="B178" s="10"/>
      <c r="C178" s="10"/>
      <c r="D178" s="10"/>
      <c r="E178" s="10" t="s">
        <v>112</v>
      </c>
      <c r="F178" s="10" t="s">
        <v>113</v>
      </c>
      <c r="G178" s="11"/>
      <c r="H178" s="11"/>
      <c r="I178" s="10" t="s">
        <v>114</v>
      </c>
      <c r="J178" s="13" t="n">
        <v>0</v>
      </c>
      <c r="K178" s="10" t="s">
        <v>50</v>
      </c>
    </row>
    <row r="179" customFormat="false" ht="15" hidden="false" customHeight="false" outlineLevel="0" collapsed="false">
      <c r="A179" s="10"/>
      <c r="B179" s="10"/>
      <c r="C179" s="10"/>
      <c r="D179" s="10"/>
      <c r="E179" s="10" t="s">
        <v>112</v>
      </c>
      <c r="F179" s="10" t="s">
        <v>113</v>
      </c>
      <c r="G179" s="11"/>
      <c r="H179" s="11"/>
      <c r="I179" s="10" t="s">
        <v>114</v>
      </c>
      <c r="J179" s="13" t="n">
        <v>0</v>
      </c>
      <c r="K179" s="10" t="s">
        <v>50</v>
      </c>
    </row>
    <row r="180" customFormat="false" ht="15" hidden="false" customHeight="false" outlineLevel="0" collapsed="false">
      <c r="A180" s="10"/>
      <c r="B180" s="10"/>
      <c r="C180" s="10"/>
      <c r="D180" s="10"/>
      <c r="E180" s="10" t="s">
        <v>112</v>
      </c>
      <c r="F180" s="10" t="s">
        <v>113</v>
      </c>
      <c r="G180" s="11"/>
      <c r="H180" s="11"/>
      <c r="I180" s="10" t="s">
        <v>114</v>
      </c>
      <c r="J180" s="13" t="n">
        <v>0</v>
      </c>
      <c r="K180" s="10" t="s">
        <v>50</v>
      </c>
    </row>
    <row r="181" customFormat="false" ht="15" hidden="false" customHeight="false" outlineLevel="0" collapsed="false">
      <c r="A181" s="10"/>
      <c r="B181" s="10"/>
      <c r="C181" s="10"/>
      <c r="D181" s="10"/>
      <c r="E181" s="10" t="s">
        <v>112</v>
      </c>
      <c r="F181" s="10" t="s">
        <v>113</v>
      </c>
      <c r="G181" s="11"/>
      <c r="H181" s="11"/>
      <c r="I181" s="10" t="s">
        <v>114</v>
      </c>
      <c r="J181" s="13" t="n">
        <v>0</v>
      </c>
      <c r="K181" s="10" t="s">
        <v>50</v>
      </c>
    </row>
    <row r="182" customFormat="false" ht="15" hidden="false" customHeight="false" outlineLevel="0" collapsed="false">
      <c r="A182" s="10"/>
      <c r="B182" s="10"/>
      <c r="C182" s="10"/>
      <c r="D182" s="10"/>
      <c r="E182" s="10" t="s">
        <v>112</v>
      </c>
      <c r="F182" s="10" t="s">
        <v>113</v>
      </c>
      <c r="G182" s="11"/>
      <c r="H182" s="11"/>
      <c r="I182" s="10" t="s">
        <v>114</v>
      </c>
      <c r="J182" s="13" t="n">
        <v>0</v>
      </c>
      <c r="K182" s="10" t="s">
        <v>50</v>
      </c>
    </row>
    <row r="183" customFormat="false" ht="15" hidden="false" customHeight="false" outlineLevel="0" collapsed="false">
      <c r="A183" s="10"/>
      <c r="B183" s="10"/>
      <c r="C183" s="10"/>
      <c r="D183" s="10"/>
      <c r="E183" s="10" t="s">
        <v>112</v>
      </c>
      <c r="F183" s="10" t="s">
        <v>113</v>
      </c>
      <c r="G183" s="11"/>
      <c r="H183" s="11"/>
      <c r="I183" s="10" t="s">
        <v>114</v>
      </c>
      <c r="J183" s="13" t="n">
        <v>0</v>
      </c>
      <c r="K183" s="10" t="s">
        <v>50</v>
      </c>
    </row>
    <row r="184" customFormat="false" ht="15" hidden="false" customHeight="false" outlineLevel="0" collapsed="false">
      <c r="A184" s="10"/>
      <c r="B184" s="10"/>
      <c r="C184" s="10"/>
      <c r="D184" s="10"/>
      <c r="E184" s="10" t="s">
        <v>112</v>
      </c>
      <c r="F184" s="10" t="s">
        <v>113</v>
      </c>
      <c r="G184" s="11"/>
      <c r="H184" s="11"/>
      <c r="I184" s="10" t="s">
        <v>114</v>
      </c>
      <c r="J184" s="13" t="n">
        <v>0</v>
      </c>
      <c r="K184" s="10" t="s">
        <v>50</v>
      </c>
    </row>
    <row r="185" customFormat="false" ht="15" hidden="false" customHeight="false" outlineLevel="0" collapsed="false">
      <c r="A185" s="10"/>
      <c r="B185" s="10"/>
      <c r="C185" s="10"/>
      <c r="D185" s="10"/>
      <c r="E185" s="10" t="s">
        <v>112</v>
      </c>
      <c r="F185" s="10" t="s">
        <v>113</v>
      </c>
      <c r="G185" s="11"/>
      <c r="H185" s="11"/>
      <c r="I185" s="10" t="s">
        <v>114</v>
      </c>
      <c r="J185" s="13" t="n">
        <v>0</v>
      </c>
      <c r="K185" s="10" t="s">
        <v>50</v>
      </c>
    </row>
    <row r="186" customFormat="false" ht="15" hidden="false" customHeight="false" outlineLevel="0" collapsed="false">
      <c r="A186" s="10"/>
      <c r="B186" s="10"/>
      <c r="C186" s="10"/>
      <c r="D186" s="10"/>
      <c r="E186" s="10" t="s">
        <v>112</v>
      </c>
      <c r="F186" s="10" t="s">
        <v>113</v>
      </c>
      <c r="G186" s="11"/>
      <c r="H186" s="11"/>
      <c r="I186" s="10" t="s">
        <v>114</v>
      </c>
      <c r="J186" s="13" t="n">
        <v>0</v>
      </c>
      <c r="K186" s="10" t="s">
        <v>50</v>
      </c>
    </row>
    <row r="187" customFormat="false" ht="15" hidden="false" customHeight="false" outlineLevel="0" collapsed="false">
      <c r="A187" s="10"/>
      <c r="B187" s="10"/>
      <c r="C187" s="10"/>
      <c r="D187" s="10"/>
      <c r="E187" s="10" t="s">
        <v>112</v>
      </c>
      <c r="F187" s="10" t="s">
        <v>113</v>
      </c>
      <c r="G187" s="11"/>
      <c r="H187" s="11"/>
      <c r="I187" s="10" t="s">
        <v>114</v>
      </c>
      <c r="J187" s="13" t="n">
        <v>0</v>
      </c>
      <c r="K187" s="10" t="s">
        <v>50</v>
      </c>
    </row>
    <row r="188" customFormat="false" ht="15" hidden="false" customHeight="false" outlineLevel="0" collapsed="false">
      <c r="A188" s="10"/>
      <c r="B188" s="10"/>
      <c r="C188" s="10"/>
      <c r="D188" s="10"/>
      <c r="E188" s="10" t="s">
        <v>112</v>
      </c>
      <c r="F188" s="10" t="s">
        <v>113</v>
      </c>
      <c r="G188" s="11"/>
      <c r="H188" s="11"/>
      <c r="I188" s="10" t="s">
        <v>114</v>
      </c>
      <c r="J188" s="13" t="n">
        <v>0</v>
      </c>
      <c r="K188" s="10" t="s">
        <v>50</v>
      </c>
    </row>
    <row r="189" customFormat="false" ht="15" hidden="false" customHeight="false" outlineLevel="0" collapsed="false">
      <c r="A189" s="10"/>
      <c r="B189" s="10"/>
      <c r="C189" s="10"/>
      <c r="D189" s="10"/>
      <c r="E189" s="10" t="s">
        <v>112</v>
      </c>
      <c r="F189" s="10" t="s">
        <v>113</v>
      </c>
      <c r="G189" s="11"/>
      <c r="H189" s="11"/>
      <c r="I189" s="10" t="s">
        <v>114</v>
      </c>
      <c r="J189" s="13" t="n">
        <v>0</v>
      </c>
      <c r="K189" s="10" t="s">
        <v>50</v>
      </c>
    </row>
    <row r="190" customFormat="false" ht="15" hidden="false" customHeight="false" outlineLevel="0" collapsed="false">
      <c r="A190" s="10"/>
      <c r="B190" s="10"/>
      <c r="C190" s="10"/>
      <c r="D190" s="10"/>
      <c r="E190" s="10" t="s">
        <v>112</v>
      </c>
      <c r="F190" s="10" t="s">
        <v>113</v>
      </c>
      <c r="G190" s="11"/>
      <c r="H190" s="11"/>
      <c r="I190" s="10" t="s">
        <v>114</v>
      </c>
      <c r="J190" s="13" t="n">
        <v>0</v>
      </c>
      <c r="K190" s="10" t="s">
        <v>50</v>
      </c>
    </row>
    <row r="191" customFormat="false" ht="15" hidden="false" customHeight="false" outlineLevel="0" collapsed="false">
      <c r="A191" s="10"/>
      <c r="B191" s="10"/>
      <c r="C191" s="10"/>
      <c r="D191" s="10"/>
      <c r="E191" s="10" t="s">
        <v>112</v>
      </c>
      <c r="F191" s="10" t="s">
        <v>113</v>
      </c>
      <c r="G191" s="11"/>
      <c r="H191" s="11"/>
      <c r="I191" s="10" t="s">
        <v>114</v>
      </c>
      <c r="J191" s="13" t="n">
        <v>0</v>
      </c>
      <c r="K191" s="10" t="s">
        <v>50</v>
      </c>
    </row>
    <row r="192" customFormat="false" ht="15" hidden="false" customHeight="false" outlineLevel="0" collapsed="false">
      <c r="A192" s="10"/>
      <c r="B192" s="10"/>
      <c r="C192" s="10"/>
      <c r="D192" s="10"/>
      <c r="E192" s="10" t="s">
        <v>112</v>
      </c>
      <c r="F192" s="10" t="s">
        <v>113</v>
      </c>
      <c r="G192" s="11"/>
      <c r="H192" s="11"/>
      <c r="I192" s="10" t="s">
        <v>114</v>
      </c>
      <c r="J192" s="13" t="n">
        <v>0</v>
      </c>
      <c r="K192" s="10" t="s">
        <v>50</v>
      </c>
    </row>
    <row r="193" customFormat="false" ht="15" hidden="false" customHeight="false" outlineLevel="0" collapsed="false">
      <c r="A193" s="10"/>
      <c r="B193" s="10"/>
      <c r="C193" s="10"/>
      <c r="D193" s="10"/>
      <c r="E193" s="10" t="s">
        <v>112</v>
      </c>
      <c r="F193" s="10" t="s">
        <v>113</v>
      </c>
      <c r="G193" s="11"/>
      <c r="H193" s="11"/>
      <c r="I193" s="10" t="s">
        <v>114</v>
      </c>
      <c r="J193" s="13" t="n">
        <v>0</v>
      </c>
      <c r="K193" s="10" t="s">
        <v>50</v>
      </c>
    </row>
    <row r="194" customFormat="false" ht="15" hidden="false" customHeight="false" outlineLevel="0" collapsed="false">
      <c r="A194" s="10"/>
      <c r="B194" s="10"/>
      <c r="C194" s="10"/>
      <c r="D194" s="10"/>
      <c r="E194" s="10" t="s">
        <v>112</v>
      </c>
      <c r="F194" s="10" t="s">
        <v>113</v>
      </c>
      <c r="G194" s="11"/>
      <c r="H194" s="11"/>
      <c r="I194" s="10" t="s">
        <v>114</v>
      </c>
      <c r="J194" s="13" t="n">
        <v>0</v>
      </c>
      <c r="K194" s="10" t="s">
        <v>50</v>
      </c>
    </row>
    <row r="195" customFormat="false" ht="15" hidden="false" customHeight="false" outlineLevel="0" collapsed="false">
      <c r="A195" s="10"/>
      <c r="B195" s="10"/>
      <c r="C195" s="10"/>
      <c r="D195" s="10"/>
      <c r="E195" s="10" t="s">
        <v>112</v>
      </c>
      <c r="F195" s="10" t="s">
        <v>113</v>
      </c>
      <c r="G195" s="11"/>
      <c r="H195" s="11"/>
      <c r="I195" s="10" t="s">
        <v>114</v>
      </c>
      <c r="J195" s="13" t="n">
        <v>0</v>
      </c>
      <c r="K195" s="10" t="s">
        <v>50</v>
      </c>
    </row>
    <row r="196" customFormat="false" ht="15" hidden="false" customHeight="false" outlineLevel="0" collapsed="false">
      <c r="A196" s="10"/>
      <c r="B196" s="10"/>
      <c r="C196" s="10"/>
      <c r="D196" s="10"/>
      <c r="E196" s="10" t="s">
        <v>112</v>
      </c>
      <c r="F196" s="10" t="s">
        <v>113</v>
      </c>
      <c r="G196" s="11"/>
      <c r="H196" s="11"/>
      <c r="I196" s="10" t="s">
        <v>114</v>
      </c>
      <c r="J196" s="13" t="n">
        <v>0</v>
      </c>
      <c r="K196" s="10" t="s">
        <v>50</v>
      </c>
    </row>
    <row r="197" customFormat="false" ht="15" hidden="false" customHeight="false" outlineLevel="0" collapsed="false">
      <c r="A197" s="10"/>
      <c r="B197" s="10"/>
      <c r="C197" s="10"/>
      <c r="D197" s="10"/>
      <c r="E197" s="10" t="s">
        <v>112</v>
      </c>
      <c r="F197" s="10" t="s">
        <v>113</v>
      </c>
      <c r="G197" s="11"/>
      <c r="H197" s="11"/>
      <c r="I197" s="10" t="s">
        <v>114</v>
      </c>
      <c r="J197" s="13" t="n">
        <v>0</v>
      </c>
      <c r="K197" s="10" t="s">
        <v>50</v>
      </c>
    </row>
    <row r="198" customFormat="false" ht="15" hidden="false" customHeight="false" outlineLevel="0" collapsed="false">
      <c r="A198" s="10"/>
      <c r="B198" s="10"/>
      <c r="C198" s="10"/>
      <c r="D198" s="10"/>
      <c r="E198" s="10" t="s">
        <v>112</v>
      </c>
      <c r="F198" s="10" t="s">
        <v>113</v>
      </c>
      <c r="G198" s="11"/>
      <c r="H198" s="11"/>
      <c r="I198" s="10" t="s">
        <v>114</v>
      </c>
      <c r="J198" s="13" t="n">
        <v>0</v>
      </c>
      <c r="K198" s="10" t="s">
        <v>50</v>
      </c>
    </row>
    <row r="199" customFormat="false" ht="15" hidden="false" customHeight="false" outlineLevel="0" collapsed="false">
      <c r="A199" s="10"/>
      <c r="B199" s="10"/>
      <c r="C199" s="10"/>
      <c r="D199" s="10"/>
      <c r="E199" s="10" t="s">
        <v>112</v>
      </c>
      <c r="F199" s="10" t="s">
        <v>113</v>
      </c>
      <c r="G199" s="11"/>
      <c r="H199" s="11"/>
      <c r="I199" s="10" t="s">
        <v>114</v>
      </c>
      <c r="J199" s="13" t="n">
        <v>0</v>
      </c>
      <c r="K199" s="10" t="s">
        <v>50</v>
      </c>
    </row>
    <row r="200" customFormat="false" ht="15" hidden="false" customHeight="false" outlineLevel="0" collapsed="false">
      <c r="A200" s="10"/>
      <c r="B200" s="10"/>
      <c r="C200" s="10"/>
      <c r="D200" s="10"/>
      <c r="E200" s="10" t="s">
        <v>112</v>
      </c>
      <c r="F200" s="10" t="s">
        <v>113</v>
      </c>
      <c r="G200" s="11"/>
      <c r="H200" s="11"/>
      <c r="I200" s="10" t="s">
        <v>114</v>
      </c>
      <c r="J200" s="13" t="n">
        <v>0</v>
      </c>
      <c r="K200" s="10" t="s">
        <v>50</v>
      </c>
    </row>
    <row r="201" customFormat="false" ht="15" hidden="false" customHeight="false" outlineLevel="0" collapsed="false">
      <c r="A201" s="10"/>
      <c r="B201" s="10"/>
      <c r="C201" s="10"/>
      <c r="D201" s="10"/>
      <c r="E201" s="10" t="s">
        <v>112</v>
      </c>
      <c r="F201" s="10" t="s">
        <v>113</v>
      </c>
      <c r="G201" s="11"/>
      <c r="H201" s="11"/>
      <c r="I201" s="10" t="s">
        <v>114</v>
      </c>
      <c r="J201" s="13" t="n">
        <v>0</v>
      </c>
      <c r="K201" s="10" t="s">
        <v>50</v>
      </c>
    </row>
    <row r="202" customFormat="false" ht="15" hidden="false" customHeight="false" outlineLevel="0" collapsed="false">
      <c r="A202" s="10"/>
      <c r="B202" s="10"/>
      <c r="C202" s="10"/>
      <c r="D202" s="10"/>
      <c r="E202" s="10" t="s">
        <v>112</v>
      </c>
      <c r="F202" s="10" t="s">
        <v>113</v>
      </c>
      <c r="G202" s="11"/>
      <c r="H202" s="11"/>
      <c r="I202" s="10" t="s">
        <v>114</v>
      </c>
      <c r="J202" s="13" t="n">
        <v>0</v>
      </c>
      <c r="K202" s="10" t="s">
        <v>50</v>
      </c>
    </row>
    <row r="203" customFormat="false" ht="15" hidden="false" customHeight="false" outlineLevel="0" collapsed="false">
      <c r="A203" s="10"/>
      <c r="B203" s="10"/>
      <c r="C203" s="10"/>
      <c r="D203" s="10"/>
      <c r="E203" s="10" t="s">
        <v>112</v>
      </c>
      <c r="F203" s="10" t="s">
        <v>113</v>
      </c>
      <c r="G203" s="11"/>
      <c r="H203" s="11"/>
      <c r="I203" s="10" t="s">
        <v>114</v>
      </c>
      <c r="J203" s="13" t="n">
        <v>0</v>
      </c>
      <c r="K203" s="10" t="s">
        <v>50</v>
      </c>
    </row>
    <row r="204" customFormat="false" ht="15" hidden="false" customHeight="false" outlineLevel="0" collapsed="false">
      <c r="A204" s="10"/>
      <c r="B204" s="10"/>
      <c r="C204" s="10"/>
      <c r="D204" s="10"/>
      <c r="E204" s="10" t="s">
        <v>112</v>
      </c>
      <c r="F204" s="10" t="s">
        <v>113</v>
      </c>
      <c r="G204" s="11"/>
      <c r="H204" s="11"/>
      <c r="I204" s="10" t="s">
        <v>114</v>
      </c>
      <c r="J204" s="13" t="n">
        <v>0</v>
      </c>
      <c r="K204" s="10" t="s">
        <v>50</v>
      </c>
    </row>
    <row r="205" customFormat="false" ht="15" hidden="false" customHeight="false" outlineLevel="0" collapsed="false">
      <c r="A205" s="10"/>
      <c r="B205" s="10"/>
      <c r="C205" s="10"/>
      <c r="D205" s="10"/>
      <c r="E205" s="10" t="s">
        <v>112</v>
      </c>
      <c r="F205" s="10" t="s">
        <v>113</v>
      </c>
      <c r="G205" s="11"/>
      <c r="H205" s="11"/>
      <c r="I205" s="10" t="s">
        <v>114</v>
      </c>
      <c r="J205" s="13" t="n">
        <v>0</v>
      </c>
      <c r="K205" s="10" t="s">
        <v>50</v>
      </c>
    </row>
    <row r="206" customFormat="false" ht="15" hidden="false" customHeight="false" outlineLevel="0" collapsed="false">
      <c r="A206" s="10"/>
      <c r="B206" s="10"/>
      <c r="C206" s="10"/>
      <c r="D206" s="10"/>
      <c r="E206" s="10" t="s">
        <v>112</v>
      </c>
      <c r="F206" s="10" t="s">
        <v>113</v>
      </c>
      <c r="G206" s="11"/>
      <c r="H206" s="11"/>
      <c r="I206" s="10" t="s">
        <v>114</v>
      </c>
      <c r="J206" s="13" t="n">
        <v>0</v>
      </c>
      <c r="K206" s="10" t="s">
        <v>50</v>
      </c>
    </row>
    <row r="207" customFormat="false" ht="15" hidden="false" customHeight="false" outlineLevel="0" collapsed="false">
      <c r="A207" s="10"/>
      <c r="B207" s="10"/>
      <c r="C207" s="10"/>
      <c r="D207" s="10"/>
      <c r="E207" s="10" t="s">
        <v>112</v>
      </c>
      <c r="F207" s="10" t="s">
        <v>113</v>
      </c>
      <c r="G207" s="11"/>
      <c r="H207" s="11"/>
      <c r="I207" s="10" t="s">
        <v>114</v>
      </c>
      <c r="J207" s="13" t="n">
        <v>0</v>
      </c>
      <c r="K207" s="10" t="s">
        <v>50</v>
      </c>
    </row>
    <row r="208" customFormat="false" ht="15" hidden="false" customHeight="false" outlineLevel="0" collapsed="false">
      <c r="A208" s="10"/>
      <c r="B208" s="10"/>
      <c r="C208" s="10"/>
      <c r="D208" s="10"/>
      <c r="E208" s="10" t="s">
        <v>112</v>
      </c>
      <c r="F208" s="10" t="s">
        <v>113</v>
      </c>
      <c r="G208" s="11"/>
      <c r="H208" s="11"/>
      <c r="I208" s="10" t="s">
        <v>114</v>
      </c>
      <c r="J208" s="13" t="n">
        <v>0</v>
      </c>
      <c r="K208" s="10" t="s">
        <v>50</v>
      </c>
    </row>
    <row r="209" customFormat="false" ht="15" hidden="false" customHeight="false" outlineLevel="0" collapsed="false">
      <c r="A209" s="10"/>
      <c r="B209" s="10"/>
      <c r="C209" s="10"/>
      <c r="D209" s="10"/>
      <c r="E209" s="10" t="s">
        <v>112</v>
      </c>
      <c r="F209" s="10" t="s">
        <v>113</v>
      </c>
      <c r="G209" s="11"/>
      <c r="H209" s="11"/>
      <c r="I209" s="10" t="s">
        <v>114</v>
      </c>
      <c r="J209" s="13" t="n">
        <v>0</v>
      </c>
      <c r="K209" s="10" t="s">
        <v>50</v>
      </c>
    </row>
    <row r="210" customFormat="false" ht="15" hidden="false" customHeight="false" outlineLevel="0" collapsed="false">
      <c r="A210" s="10"/>
      <c r="B210" s="10"/>
      <c r="C210" s="10"/>
      <c r="D210" s="10"/>
      <c r="E210" s="10" t="s">
        <v>112</v>
      </c>
      <c r="F210" s="10" t="s">
        <v>113</v>
      </c>
      <c r="G210" s="11"/>
      <c r="H210" s="11"/>
      <c r="I210" s="10" t="s">
        <v>114</v>
      </c>
      <c r="J210" s="13" t="n">
        <v>0</v>
      </c>
      <c r="K210" s="10" t="s">
        <v>50</v>
      </c>
    </row>
    <row r="211" customFormat="false" ht="15" hidden="false" customHeight="false" outlineLevel="0" collapsed="false">
      <c r="A211" s="10"/>
      <c r="B211" s="10"/>
      <c r="C211" s="10"/>
      <c r="D211" s="10"/>
      <c r="E211" s="10" t="s">
        <v>112</v>
      </c>
      <c r="F211" s="10" t="s">
        <v>113</v>
      </c>
      <c r="G211" s="11"/>
      <c r="H211" s="11"/>
      <c r="I211" s="10" t="s">
        <v>114</v>
      </c>
      <c r="J211" s="13" t="n">
        <v>0</v>
      </c>
      <c r="K211" s="10" t="s">
        <v>50</v>
      </c>
    </row>
    <row r="212" customFormat="false" ht="15" hidden="false" customHeight="false" outlineLevel="0" collapsed="false">
      <c r="A212" s="10"/>
      <c r="B212" s="10"/>
      <c r="C212" s="10"/>
      <c r="D212" s="10"/>
      <c r="E212" s="10" t="s">
        <v>112</v>
      </c>
      <c r="F212" s="10" t="s">
        <v>113</v>
      </c>
      <c r="G212" s="11"/>
      <c r="H212" s="11"/>
      <c r="I212" s="10" t="s">
        <v>114</v>
      </c>
      <c r="J212" s="13" t="n">
        <v>0</v>
      </c>
      <c r="K212" s="10" t="s">
        <v>50</v>
      </c>
    </row>
    <row r="213" customFormat="false" ht="15" hidden="false" customHeight="false" outlineLevel="0" collapsed="false">
      <c r="A213" s="10"/>
      <c r="B213" s="10"/>
      <c r="C213" s="10"/>
      <c r="D213" s="10"/>
      <c r="E213" s="10" t="s">
        <v>112</v>
      </c>
      <c r="F213" s="10" t="s">
        <v>113</v>
      </c>
      <c r="G213" s="11"/>
      <c r="H213" s="11"/>
      <c r="I213" s="10" t="s">
        <v>114</v>
      </c>
      <c r="J213" s="13" t="n">
        <v>0</v>
      </c>
      <c r="K213" s="10" t="s">
        <v>50</v>
      </c>
    </row>
    <row r="214" customFormat="false" ht="15" hidden="false" customHeight="false" outlineLevel="0" collapsed="false">
      <c r="A214" s="10"/>
      <c r="B214" s="10"/>
      <c r="C214" s="10"/>
      <c r="D214" s="10"/>
      <c r="E214" s="10" t="s">
        <v>112</v>
      </c>
      <c r="F214" s="10" t="s">
        <v>113</v>
      </c>
      <c r="G214" s="11"/>
      <c r="H214" s="11"/>
      <c r="I214" s="10" t="s">
        <v>114</v>
      </c>
      <c r="J214" s="13" t="n">
        <v>0</v>
      </c>
      <c r="K214" s="10" t="s">
        <v>50</v>
      </c>
    </row>
    <row r="215" customFormat="false" ht="15" hidden="false" customHeight="false" outlineLevel="0" collapsed="false">
      <c r="A215" s="10"/>
      <c r="B215" s="10"/>
      <c r="C215" s="10"/>
      <c r="D215" s="10"/>
      <c r="E215" s="10" t="s">
        <v>112</v>
      </c>
      <c r="F215" s="10" t="s">
        <v>113</v>
      </c>
      <c r="G215" s="11"/>
      <c r="H215" s="11"/>
      <c r="I215" s="10" t="s">
        <v>114</v>
      </c>
      <c r="J215" s="13" t="n">
        <v>0</v>
      </c>
      <c r="K215" s="10" t="s">
        <v>50</v>
      </c>
    </row>
    <row r="216" customFormat="false" ht="15" hidden="false" customHeight="false" outlineLevel="0" collapsed="false">
      <c r="A216" s="10"/>
      <c r="B216" s="10"/>
      <c r="C216" s="10"/>
      <c r="D216" s="10"/>
      <c r="E216" s="10" t="s">
        <v>112</v>
      </c>
      <c r="F216" s="10" t="s">
        <v>113</v>
      </c>
      <c r="G216" s="11"/>
      <c r="H216" s="11"/>
      <c r="I216" s="10" t="s">
        <v>114</v>
      </c>
      <c r="J216" s="13" t="n">
        <v>0</v>
      </c>
      <c r="K216" s="10" t="s">
        <v>50</v>
      </c>
    </row>
    <row r="217" customFormat="false" ht="15" hidden="false" customHeight="false" outlineLevel="0" collapsed="false">
      <c r="A217" s="10"/>
      <c r="B217" s="10"/>
      <c r="C217" s="10"/>
      <c r="D217" s="10"/>
      <c r="E217" s="10" t="s">
        <v>112</v>
      </c>
      <c r="F217" s="10" t="s">
        <v>113</v>
      </c>
      <c r="G217" s="11"/>
      <c r="H217" s="11"/>
      <c r="I217" s="10" t="s">
        <v>114</v>
      </c>
      <c r="J217" s="13" t="n">
        <v>0</v>
      </c>
      <c r="K217" s="10" t="s">
        <v>50</v>
      </c>
    </row>
    <row r="218" customFormat="false" ht="15" hidden="false" customHeight="false" outlineLevel="0" collapsed="false">
      <c r="A218" s="10"/>
      <c r="B218" s="10"/>
      <c r="C218" s="10"/>
      <c r="D218" s="10"/>
      <c r="E218" s="10" t="s">
        <v>112</v>
      </c>
      <c r="F218" s="10" t="s">
        <v>113</v>
      </c>
      <c r="G218" s="11"/>
      <c r="H218" s="11"/>
      <c r="I218" s="10" t="s">
        <v>114</v>
      </c>
      <c r="J218" s="13" t="n">
        <v>0</v>
      </c>
      <c r="K218" s="10" t="s">
        <v>50</v>
      </c>
    </row>
    <row r="219" customFormat="false" ht="15" hidden="false" customHeight="false" outlineLevel="0" collapsed="false">
      <c r="A219" s="10"/>
      <c r="B219" s="10"/>
      <c r="C219" s="10"/>
      <c r="D219" s="10"/>
      <c r="E219" s="10" t="s">
        <v>112</v>
      </c>
      <c r="F219" s="10" t="s">
        <v>113</v>
      </c>
      <c r="G219" s="11"/>
      <c r="H219" s="11"/>
      <c r="I219" s="10" t="s">
        <v>114</v>
      </c>
      <c r="J219" s="13" t="n">
        <v>0</v>
      </c>
      <c r="K219" s="10" t="s">
        <v>50</v>
      </c>
    </row>
    <row r="220" customFormat="false" ht="15" hidden="false" customHeight="false" outlineLevel="0" collapsed="false">
      <c r="A220" s="10"/>
      <c r="B220" s="10"/>
      <c r="C220" s="10"/>
      <c r="D220" s="10"/>
      <c r="E220" s="10" t="s">
        <v>112</v>
      </c>
      <c r="F220" s="10" t="s">
        <v>113</v>
      </c>
      <c r="G220" s="11"/>
      <c r="H220" s="11"/>
      <c r="I220" s="10" t="s">
        <v>114</v>
      </c>
      <c r="J220" s="13" t="n">
        <v>0</v>
      </c>
      <c r="K220" s="10" t="s">
        <v>50</v>
      </c>
    </row>
    <row r="221" customFormat="false" ht="15" hidden="false" customHeight="false" outlineLevel="0" collapsed="false">
      <c r="A221" s="10"/>
      <c r="B221" s="10"/>
      <c r="C221" s="10"/>
      <c r="D221" s="10"/>
      <c r="E221" s="10" t="s">
        <v>112</v>
      </c>
      <c r="F221" s="10" t="s">
        <v>113</v>
      </c>
      <c r="G221" s="11"/>
      <c r="H221" s="11"/>
      <c r="I221" s="10" t="s">
        <v>114</v>
      </c>
      <c r="J221" s="13" t="n">
        <v>0</v>
      </c>
      <c r="K221" s="10" t="s">
        <v>50</v>
      </c>
    </row>
    <row r="222" customFormat="false" ht="15" hidden="false" customHeight="false" outlineLevel="0" collapsed="false">
      <c r="A222" s="10"/>
      <c r="B222" s="10"/>
      <c r="C222" s="10"/>
      <c r="D222" s="10"/>
      <c r="E222" s="10" t="s">
        <v>112</v>
      </c>
      <c r="F222" s="10" t="s">
        <v>113</v>
      </c>
      <c r="G222" s="11"/>
      <c r="H222" s="11"/>
      <c r="I222" s="10" t="s">
        <v>114</v>
      </c>
      <c r="J222" s="13" t="n">
        <v>0</v>
      </c>
      <c r="K222" s="10" t="s">
        <v>50</v>
      </c>
    </row>
    <row r="223" customFormat="false" ht="15" hidden="false" customHeight="false" outlineLevel="0" collapsed="false">
      <c r="A223" s="10"/>
      <c r="B223" s="10"/>
      <c r="C223" s="10"/>
      <c r="D223" s="10"/>
      <c r="E223" s="10" t="s">
        <v>112</v>
      </c>
      <c r="F223" s="10" t="s">
        <v>113</v>
      </c>
      <c r="G223" s="11"/>
      <c r="H223" s="11"/>
      <c r="I223" s="10" t="s">
        <v>114</v>
      </c>
      <c r="J223" s="13" t="n">
        <v>0</v>
      </c>
      <c r="K223" s="10" t="s">
        <v>50</v>
      </c>
    </row>
    <row r="224" customFormat="false" ht="15" hidden="false" customHeight="false" outlineLevel="0" collapsed="false">
      <c r="A224" s="10"/>
      <c r="B224" s="10"/>
      <c r="C224" s="10"/>
      <c r="D224" s="10"/>
      <c r="E224" s="10" t="s">
        <v>112</v>
      </c>
      <c r="F224" s="10" t="s">
        <v>113</v>
      </c>
      <c r="G224" s="11"/>
      <c r="H224" s="11"/>
      <c r="I224" s="10" t="s">
        <v>114</v>
      </c>
      <c r="J224" s="13" t="n">
        <v>0</v>
      </c>
      <c r="K224" s="10" t="s">
        <v>50</v>
      </c>
    </row>
    <row r="225" customFormat="false" ht="15" hidden="false" customHeight="false" outlineLevel="0" collapsed="false">
      <c r="A225" s="10"/>
      <c r="B225" s="10"/>
      <c r="C225" s="10"/>
      <c r="D225" s="10"/>
      <c r="E225" s="10" t="s">
        <v>112</v>
      </c>
      <c r="F225" s="10" t="s">
        <v>113</v>
      </c>
      <c r="G225" s="11"/>
      <c r="H225" s="11"/>
      <c r="I225" s="10" t="s">
        <v>114</v>
      </c>
      <c r="J225" s="13" t="n">
        <v>0</v>
      </c>
      <c r="K225" s="10" t="s">
        <v>50</v>
      </c>
    </row>
    <row r="226" customFormat="false" ht="15" hidden="false" customHeight="false" outlineLevel="0" collapsed="false">
      <c r="A226" s="10"/>
      <c r="B226" s="10"/>
      <c r="C226" s="10"/>
      <c r="D226" s="10"/>
      <c r="E226" s="10" t="s">
        <v>112</v>
      </c>
      <c r="F226" s="10" t="s">
        <v>113</v>
      </c>
      <c r="G226" s="11"/>
      <c r="H226" s="11"/>
      <c r="I226" s="10" t="s">
        <v>114</v>
      </c>
      <c r="J226" s="13" t="n">
        <v>0</v>
      </c>
      <c r="K226" s="10" t="s">
        <v>50</v>
      </c>
    </row>
    <row r="227" customFormat="false" ht="15" hidden="false" customHeight="false" outlineLevel="0" collapsed="false">
      <c r="A227" s="10"/>
      <c r="B227" s="10"/>
      <c r="C227" s="10"/>
      <c r="D227" s="10"/>
      <c r="E227" s="10" t="s">
        <v>112</v>
      </c>
      <c r="F227" s="10" t="s">
        <v>113</v>
      </c>
      <c r="G227" s="11"/>
      <c r="H227" s="11"/>
      <c r="I227" s="10" t="s">
        <v>114</v>
      </c>
      <c r="J227" s="13" t="n">
        <v>0</v>
      </c>
      <c r="K227" s="10" t="s">
        <v>50</v>
      </c>
    </row>
    <row r="228" customFormat="false" ht="15" hidden="false" customHeight="false" outlineLevel="0" collapsed="false">
      <c r="A228" s="10"/>
      <c r="B228" s="10"/>
      <c r="C228" s="10"/>
      <c r="D228" s="10"/>
      <c r="E228" s="10" t="s">
        <v>112</v>
      </c>
      <c r="F228" s="10" t="s">
        <v>113</v>
      </c>
      <c r="G228" s="11"/>
      <c r="H228" s="11"/>
      <c r="I228" s="10" t="s">
        <v>114</v>
      </c>
      <c r="J228" s="13" t="n">
        <v>0</v>
      </c>
      <c r="K228" s="10" t="s">
        <v>50</v>
      </c>
    </row>
    <row r="229" customFormat="false" ht="15" hidden="false" customHeight="false" outlineLevel="0" collapsed="false">
      <c r="A229" s="10"/>
      <c r="B229" s="10"/>
      <c r="C229" s="10"/>
      <c r="D229" s="10"/>
      <c r="E229" s="10" t="s">
        <v>112</v>
      </c>
      <c r="F229" s="10" t="s">
        <v>113</v>
      </c>
      <c r="G229" s="11"/>
      <c r="H229" s="11"/>
      <c r="I229" s="10" t="s">
        <v>114</v>
      </c>
      <c r="J229" s="13" t="n">
        <v>0</v>
      </c>
      <c r="K229" s="10" t="s">
        <v>50</v>
      </c>
    </row>
    <row r="230" customFormat="false" ht="15" hidden="false" customHeight="false" outlineLevel="0" collapsed="false">
      <c r="A230" s="10"/>
      <c r="B230" s="10"/>
      <c r="C230" s="10"/>
      <c r="D230" s="10"/>
      <c r="E230" s="10" t="s">
        <v>112</v>
      </c>
      <c r="F230" s="10" t="s">
        <v>113</v>
      </c>
      <c r="G230" s="11"/>
      <c r="H230" s="11"/>
      <c r="I230" s="10" t="s">
        <v>114</v>
      </c>
      <c r="J230" s="13" t="n">
        <v>0</v>
      </c>
      <c r="K230" s="10" t="s">
        <v>50</v>
      </c>
    </row>
    <row r="231" customFormat="false" ht="15" hidden="false" customHeight="false" outlineLevel="0" collapsed="false">
      <c r="A231" s="10"/>
      <c r="B231" s="10"/>
      <c r="C231" s="10"/>
      <c r="D231" s="10"/>
      <c r="E231" s="10" t="s">
        <v>112</v>
      </c>
      <c r="F231" s="10" t="s">
        <v>113</v>
      </c>
      <c r="G231" s="11"/>
      <c r="H231" s="11"/>
      <c r="I231" s="10" t="s">
        <v>114</v>
      </c>
      <c r="J231" s="13" t="n">
        <v>0</v>
      </c>
      <c r="K231" s="10" t="s">
        <v>50</v>
      </c>
    </row>
    <row r="232" customFormat="false" ht="15" hidden="false" customHeight="false" outlineLevel="0" collapsed="false">
      <c r="A232" s="10"/>
      <c r="B232" s="10"/>
      <c r="C232" s="10"/>
      <c r="D232" s="10"/>
      <c r="E232" s="10" t="s">
        <v>112</v>
      </c>
      <c r="F232" s="10" t="s">
        <v>113</v>
      </c>
      <c r="G232" s="11"/>
      <c r="H232" s="11"/>
      <c r="I232" s="10" t="s">
        <v>114</v>
      </c>
      <c r="J232" s="13" t="n">
        <v>0</v>
      </c>
      <c r="K232" s="10" t="s">
        <v>50</v>
      </c>
    </row>
    <row r="233" customFormat="false" ht="15" hidden="false" customHeight="false" outlineLevel="0" collapsed="false">
      <c r="A233" s="10"/>
      <c r="B233" s="10"/>
      <c r="C233" s="10"/>
      <c r="D233" s="10"/>
      <c r="E233" s="10" t="s">
        <v>112</v>
      </c>
      <c r="F233" s="10" t="s">
        <v>113</v>
      </c>
      <c r="G233" s="11"/>
      <c r="H233" s="11"/>
      <c r="I233" s="10" t="s">
        <v>114</v>
      </c>
      <c r="J233" s="13" t="n">
        <v>0</v>
      </c>
      <c r="K233" s="10" t="s">
        <v>50</v>
      </c>
    </row>
    <row r="234" customFormat="false" ht="15" hidden="false" customHeight="false" outlineLevel="0" collapsed="false">
      <c r="A234" s="10"/>
      <c r="B234" s="10"/>
      <c r="C234" s="10"/>
      <c r="D234" s="10"/>
      <c r="E234" s="10" t="s">
        <v>112</v>
      </c>
      <c r="F234" s="10" t="s">
        <v>113</v>
      </c>
      <c r="G234" s="11"/>
      <c r="H234" s="11"/>
      <c r="I234" s="10" t="s">
        <v>114</v>
      </c>
      <c r="J234" s="13" t="n">
        <v>0</v>
      </c>
      <c r="K234" s="10" t="s">
        <v>50</v>
      </c>
    </row>
    <row r="235" customFormat="false" ht="15" hidden="false" customHeight="false" outlineLevel="0" collapsed="false">
      <c r="A235" s="10"/>
      <c r="B235" s="10"/>
      <c r="C235" s="10"/>
      <c r="D235" s="10"/>
      <c r="E235" s="10" t="s">
        <v>112</v>
      </c>
      <c r="F235" s="10" t="s">
        <v>113</v>
      </c>
      <c r="G235" s="11"/>
      <c r="H235" s="11"/>
      <c r="I235" s="10" t="s">
        <v>114</v>
      </c>
      <c r="J235" s="13" t="n">
        <v>0</v>
      </c>
      <c r="K235" s="10" t="s">
        <v>50</v>
      </c>
    </row>
    <row r="236" customFormat="false" ht="15" hidden="false" customHeight="false" outlineLevel="0" collapsed="false">
      <c r="A236" s="10"/>
      <c r="B236" s="10"/>
      <c r="C236" s="10"/>
      <c r="D236" s="10"/>
      <c r="E236" s="10" t="s">
        <v>112</v>
      </c>
      <c r="F236" s="10" t="s">
        <v>113</v>
      </c>
      <c r="G236" s="11"/>
      <c r="H236" s="11"/>
      <c r="I236" s="10" t="s">
        <v>114</v>
      </c>
      <c r="J236" s="13" t="n">
        <v>0</v>
      </c>
      <c r="K236" s="10" t="s">
        <v>50</v>
      </c>
    </row>
    <row r="237" customFormat="false" ht="15" hidden="false" customHeight="false" outlineLevel="0" collapsed="false">
      <c r="A237" s="10"/>
      <c r="B237" s="10"/>
      <c r="C237" s="10"/>
      <c r="D237" s="10"/>
      <c r="E237" s="10" t="s">
        <v>112</v>
      </c>
      <c r="F237" s="10" t="s">
        <v>113</v>
      </c>
      <c r="G237" s="11"/>
      <c r="H237" s="11"/>
      <c r="I237" s="10" t="s">
        <v>114</v>
      </c>
      <c r="J237" s="13" t="n">
        <v>0</v>
      </c>
      <c r="K237" s="10" t="s">
        <v>50</v>
      </c>
    </row>
    <row r="238" customFormat="false" ht="15" hidden="false" customHeight="false" outlineLevel="0" collapsed="false">
      <c r="A238" s="10"/>
      <c r="B238" s="10"/>
      <c r="C238" s="10"/>
      <c r="D238" s="10"/>
      <c r="E238" s="10" t="s">
        <v>112</v>
      </c>
      <c r="F238" s="10" t="s">
        <v>113</v>
      </c>
      <c r="G238" s="11"/>
      <c r="H238" s="11"/>
      <c r="I238" s="10" t="s">
        <v>114</v>
      </c>
      <c r="J238" s="13" t="n">
        <v>0</v>
      </c>
      <c r="K238" s="10" t="s">
        <v>50</v>
      </c>
    </row>
    <row r="239" customFormat="false" ht="15" hidden="false" customHeight="false" outlineLevel="0" collapsed="false">
      <c r="A239" s="10"/>
      <c r="B239" s="10"/>
      <c r="C239" s="10"/>
      <c r="D239" s="10"/>
      <c r="E239" s="10" t="s">
        <v>112</v>
      </c>
      <c r="F239" s="10" t="s">
        <v>113</v>
      </c>
      <c r="G239" s="11"/>
      <c r="H239" s="11"/>
      <c r="I239" s="10" t="s">
        <v>114</v>
      </c>
      <c r="J239" s="13" t="n">
        <v>0</v>
      </c>
      <c r="K239" s="10" t="s">
        <v>50</v>
      </c>
    </row>
    <row r="240" customFormat="false" ht="15" hidden="false" customHeight="false" outlineLevel="0" collapsed="false">
      <c r="A240" s="10"/>
      <c r="B240" s="10"/>
      <c r="C240" s="10"/>
      <c r="D240" s="10"/>
      <c r="E240" s="10" t="s">
        <v>112</v>
      </c>
      <c r="F240" s="10" t="s">
        <v>113</v>
      </c>
      <c r="G240" s="11"/>
      <c r="H240" s="11"/>
      <c r="I240" s="10" t="s">
        <v>114</v>
      </c>
      <c r="J240" s="13" t="n">
        <v>0</v>
      </c>
      <c r="K240" s="10" t="s">
        <v>50</v>
      </c>
    </row>
    <row r="241" customFormat="false" ht="15" hidden="false" customHeight="false" outlineLevel="0" collapsed="false">
      <c r="A241" s="10"/>
      <c r="B241" s="10"/>
      <c r="C241" s="10"/>
      <c r="D241" s="10"/>
      <c r="E241" s="10" t="s">
        <v>112</v>
      </c>
      <c r="F241" s="10" t="s">
        <v>113</v>
      </c>
      <c r="G241" s="11"/>
      <c r="H241" s="11"/>
      <c r="I241" s="10" t="s">
        <v>114</v>
      </c>
      <c r="J241" s="13" t="n">
        <v>0</v>
      </c>
      <c r="K241" s="10" t="s">
        <v>50</v>
      </c>
    </row>
    <row r="242" customFormat="false" ht="15" hidden="false" customHeight="false" outlineLevel="0" collapsed="false">
      <c r="A242" s="10"/>
      <c r="B242" s="10"/>
      <c r="C242" s="10"/>
      <c r="D242" s="10"/>
      <c r="E242" s="10" t="s">
        <v>112</v>
      </c>
      <c r="F242" s="10" t="s">
        <v>113</v>
      </c>
      <c r="G242" s="11"/>
      <c r="H242" s="11"/>
      <c r="I242" s="10" t="s">
        <v>114</v>
      </c>
      <c r="J242" s="13" t="n">
        <v>0</v>
      </c>
      <c r="K242" s="10" t="s">
        <v>50</v>
      </c>
    </row>
    <row r="243" customFormat="false" ht="15" hidden="false" customHeight="false" outlineLevel="0" collapsed="false">
      <c r="A243" s="10"/>
      <c r="B243" s="10"/>
      <c r="C243" s="10"/>
      <c r="D243" s="10"/>
      <c r="E243" s="10" t="s">
        <v>112</v>
      </c>
      <c r="F243" s="10" t="s">
        <v>113</v>
      </c>
      <c r="G243" s="11"/>
      <c r="H243" s="11"/>
      <c r="I243" s="10" t="s">
        <v>114</v>
      </c>
      <c r="J243" s="13" t="n">
        <v>0</v>
      </c>
      <c r="K243" s="10" t="s">
        <v>50</v>
      </c>
    </row>
    <row r="244" customFormat="false" ht="15" hidden="false" customHeight="false" outlineLevel="0" collapsed="false">
      <c r="A244" s="10"/>
      <c r="B244" s="10"/>
      <c r="C244" s="10"/>
      <c r="D244" s="10"/>
      <c r="E244" s="10" t="s">
        <v>112</v>
      </c>
      <c r="F244" s="10" t="s">
        <v>113</v>
      </c>
      <c r="G244" s="11"/>
      <c r="H244" s="11"/>
      <c r="I244" s="10" t="s">
        <v>114</v>
      </c>
      <c r="J244" s="13" t="n">
        <v>0</v>
      </c>
      <c r="K244" s="10" t="s">
        <v>50</v>
      </c>
    </row>
    <row r="245" customFormat="false" ht="15" hidden="false" customHeight="false" outlineLevel="0" collapsed="false">
      <c r="A245" s="10"/>
      <c r="B245" s="10"/>
      <c r="C245" s="10"/>
      <c r="D245" s="10"/>
      <c r="E245" s="10" t="s">
        <v>112</v>
      </c>
      <c r="F245" s="10" t="s">
        <v>113</v>
      </c>
      <c r="G245" s="11"/>
      <c r="H245" s="11"/>
      <c r="I245" s="10" t="s">
        <v>114</v>
      </c>
      <c r="J245" s="13" t="n">
        <v>0</v>
      </c>
      <c r="K245" s="10" t="s">
        <v>50</v>
      </c>
    </row>
    <row r="246" customFormat="false" ht="15" hidden="false" customHeight="false" outlineLevel="0" collapsed="false">
      <c r="A246" s="10"/>
      <c r="B246" s="10"/>
      <c r="C246" s="10"/>
      <c r="D246" s="10"/>
      <c r="E246" s="10" t="s">
        <v>112</v>
      </c>
      <c r="F246" s="10" t="s">
        <v>113</v>
      </c>
      <c r="G246" s="11"/>
      <c r="H246" s="11"/>
      <c r="I246" s="10" t="s">
        <v>114</v>
      </c>
      <c r="J246" s="13" t="n">
        <v>0</v>
      </c>
      <c r="K246" s="10" t="s">
        <v>50</v>
      </c>
    </row>
    <row r="247" customFormat="false" ht="15" hidden="false" customHeight="false" outlineLevel="0" collapsed="false">
      <c r="A247" s="10"/>
      <c r="B247" s="10"/>
      <c r="C247" s="10"/>
      <c r="D247" s="10"/>
      <c r="E247" s="10" t="s">
        <v>112</v>
      </c>
      <c r="F247" s="10" t="s">
        <v>113</v>
      </c>
      <c r="G247" s="11"/>
      <c r="H247" s="11"/>
      <c r="I247" s="10" t="s">
        <v>114</v>
      </c>
      <c r="J247" s="13" t="n">
        <v>0</v>
      </c>
      <c r="K247" s="10" t="s">
        <v>50</v>
      </c>
    </row>
    <row r="248" customFormat="false" ht="15" hidden="false" customHeight="false" outlineLevel="0" collapsed="false">
      <c r="A248" s="10"/>
      <c r="B248" s="10"/>
      <c r="C248" s="10"/>
      <c r="D248" s="10"/>
      <c r="E248" s="10" t="s">
        <v>112</v>
      </c>
      <c r="F248" s="10" t="s">
        <v>113</v>
      </c>
      <c r="G248" s="11"/>
      <c r="H248" s="11"/>
      <c r="I248" s="10" t="s">
        <v>114</v>
      </c>
      <c r="J248" s="13" t="n">
        <v>0</v>
      </c>
      <c r="K248" s="10" t="s">
        <v>50</v>
      </c>
    </row>
    <row r="249" customFormat="false" ht="15" hidden="false" customHeight="false" outlineLevel="0" collapsed="false">
      <c r="A249" s="10"/>
      <c r="B249" s="10"/>
      <c r="C249" s="10"/>
      <c r="D249" s="10"/>
      <c r="E249" s="10" t="s">
        <v>112</v>
      </c>
      <c r="F249" s="10" t="s">
        <v>113</v>
      </c>
      <c r="G249" s="11"/>
      <c r="H249" s="11"/>
      <c r="I249" s="10" t="s">
        <v>114</v>
      </c>
      <c r="J249" s="13" t="n">
        <v>0</v>
      </c>
      <c r="K249" s="10" t="s">
        <v>50</v>
      </c>
    </row>
    <row r="250" customFormat="false" ht="15" hidden="false" customHeight="false" outlineLevel="0" collapsed="false">
      <c r="A250" s="10"/>
      <c r="B250" s="10"/>
      <c r="C250" s="10"/>
      <c r="D250" s="10"/>
      <c r="E250" s="10" t="s">
        <v>112</v>
      </c>
      <c r="F250" s="10" t="s">
        <v>113</v>
      </c>
      <c r="G250" s="11"/>
      <c r="H250" s="11"/>
      <c r="I250" s="10" t="s">
        <v>114</v>
      </c>
      <c r="J250" s="13" t="n">
        <v>0</v>
      </c>
      <c r="K250" s="10" t="s">
        <v>50</v>
      </c>
    </row>
    <row r="251" customFormat="false" ht="15" hidden="false" customHeight="false" outlineLevel="0" collapsed="false">
      <c r="A251" s="10"/>
      <c r="B251" s="10"/>
      <c r="C251" s="10"/>
      <c r="D251" s="10"/>
      <c r="E251" s="10" t="s">
        <v>112</v>
      </c>
      <c r="F251" s="10" t="s">
        <v>113</v>
      </c>
      <c r="G251" s="11"/>
      <c r="H251" s="11"/>
      <c r="I251" s="10" t="s">
        <v>114</v>
      </c>
      <c r="J251" s="13" t="n">
        <v>0</v>
      </c>
      <c r="K251" s="10" t="s">
        <v>50</v>
      </c>
    </row>
    <row r="252" customFormat="false" ht="15" hidden="false" customHeight="false" outlineLevel="0" collapsed="false">
      <c r="A252" s="10"/>
      <c r="B252" s="10"/>
      <c r="C252" s="10"/>
      <c r="D252" s="10"/>
      <c r="E252" s="10" t="s">
        <v>112</v>
      </c>
      <c r="F252" s="10" t="s">
        <v>113</v>
      </c>
      <c r="G252" s="11"/>
      <c r="H252" s="11"/>
      <c r="I252" s="10" t="s">
        <v>114</v>
      </c>
      <c r="J252" s="13" t="n">
        <v>0</v>
      </c>
      <c r="K252" s="10" t="s">
        <v>50</v>
      </c>
    </row>
    <row r="253" customFormat="false" ht="15" hidden="false" customHeight="false" outlineLevel="0" collapsed="false">
      <c r="A253" s="10"/>
      <c r="B253" s="10"/>
      <c r="C253" s="10"/>
      <c r="D253" s="10"/>
      <c r="E253" s="10" t="s">
        <v>112</v>
      </c>
      <c r="F253" s="10" t="s">
        <v>113</v>
      </c>
      <c r="G253" s="11"/>
      <c r="H253" s="11"/>
      <c r="I253" s="10" t="s">
        <v>114</v>
      </c>
      <c r="J253" s="13" t="n">
        <v>0</v>
      </c>
      <c r="K253" s="10" t="s">
        <v>50</v>
      </c>
    </row>
    <row r="254" customFormat="false" ht="15" hidden="false" customHeight="false" outlineLevel="0" collapsed="false">
      <c r="A254" s="10"/>
      <c r="B254" s="10"/>
      <c r="C254" s="10"/>
      <c r="D254" s="10"/>
      <c r="E254" s="10" t="s">
        <v>112</v>
      </c>
      <c r="F254" s="10" t="s">
        <v>113</v>
      </c>
      <c r="G254" s="11"/>
      <c r="H254" s="11"/>
      <c r="I254" s="10" t="s">
        <v>114</v>
      </c>
      <c r="J254" s="13" t="n">
        <v>0</v>
      </c>
      <c r="K254" s="10" t="s">
        <v>50</v>
      </c>
    </row>
    <row r="255" customFormat="false" ht="15" hidden="false" customHeight="false" outlineLevel="0" collapsed="false">
      <c r="A255" s="10"/>
      <c r="B255" s="10"/>
      <c r="C255" s="10"/>
      <c r="D255" s="10"/>
      <c r="E255" s="10" t="s">
        <v>112</v>
      </c>
      <c r="F255" s="10" t="s">
        <v>113</v>
      </c>
      <c r="G255" s="11"/>
      <c r="H255" s="11"/>
      <c r="I255" s="10" t="s">
        <v>114</v>
      </c>
      <c r="J255" s="13" t="n">
        <v>0</v>
      </c>
      <c r="K255" s="10" t="s">
        <v>50</v>
      </c>
    </row>
    <row r="256" customFormat="false" ht="15" hidden="false" customHeight="false" outlineLevel="0" collapsed="false">
      <c r="A256" s="10"/>
      <c r="B256" s="10"/>
      <c r="C256" s="10"/>
      <c r="D256" s="10"/>
      <c r="E256" s="10" t="s">
        <v>112</v>
      </c>
      <c r="F256" s="10" t="s">
        <v>113</v>
      </c>
      <c r="G256" s="11"/>
      <c r="H256" s="11"/>
      <c r="I256" s="10" t="s">
        <v>114</v>
      </c>
      <c r="J256" s="13" t="n">
        <v>0</v>
      </c>
      <c r="K256" s="10" t="s">
        <v>50</v>
      </c>
    </row>
    <row r="257" customFormat="false" ht="15" hidden="false" customHeight="false" outlineLevel="0" collapsed="false">
      <c r="A257" s="10"/>
      <c r="B257" s="10"/>
      <c r="C257" s="10"/>
      <c r="D257" s="10"/>
      <c r="E257" s="10" t="s">
        <v>112</v>
      </c>
      <c r="F257" s="10" t="s">
        <v>113</v>
      </c>
      <c r="G257" s="11"/>
      <c r="H257" s="11"/>
      <c r="I257" s="10" t="s">
        <v>114</v>
      </c>
      <c r="J257" s="13" t="n">
        <v>0</v>
      </c>
      <c r="K257" s="10" t="s">
        <v>50</v>
      </c>
    </row>
    <row r="258" customFormat="false" ht="15" hidden="false" customHeight="false" outlineLevel="0" collapsed="false">
      <c r="A258" s="10"/>
      <c r="B258" s="10"/>
      <c r="C258" s="10"/>
      <c r="D258" s="10"/>
      <c r="E258" s="10" t="s">
        <v>112</v>
      </c>
      <c r="F258" s="10" t="s">
        <v>113</v>
      </c>
      <c r="G258" s="11"/>
      <c r="H258" s="11"/>
      <c r="I258" s="10" t="s">
        <v>114</v>
      </c>
      <c r="J258" s="13" t="n">
        <v>0</v>
      </c>
      <c r="K258" s="10" t="s">
        <v>50</v>
      </c>
    </row>
    <row r="259" customFormat="false" ht="15" hidden="false" customHeight="false" outlineLevel="0" collapsed="false">
      <c r="A259" s="10"/>
      <c r="B259" s="10"/>
      <c r="C259" s="10"/>
      <c r="D259" s="10"/>
      <c r="E259" s="10" t="s">
        <v>112</v>
      </c>
      <c r="F259" s="10" t="s">
        <v>113</v>
      </c>
      <c r="G259" s="11"/>
      <c r="H259" s="11"/>
      <c r="I259" s="10" t="s">
        <v>114</v>
      </c>
      <c r="J259" s="13" t="n">
        <v>0</v>
      </c>
      <c r="K259" s="10" t="s">
        <v>50</v>
      </c>
    </row>
    <row r="260" customFormat="false" ht="15" hidden="false" customHeight="false" outlineLevel="0" collapsed="false">
      <c r="A260" s="10"/>
      <c r="B260" s="10"/>
      <c r="C260" s="10"/>
      <c r="D260" s="10"/>
      <c r="E260" s="10" t="s">
        <v>112</v>
      </c>
      <c r="F260" s="10" t="s">
        <v>113</v>
      </c>
      <c r="G260" s="11"/>
      <c r="H260" s="11"/>
      <c r="I260" s="10" t="s">
        <v>114</v>
      </c>
      <c r="J260" s="13" t="n">
        <v>0</v>
      </c>
      <c r="K260" s="10" t="s">
        <v>50</v>
      </c>
    </row>
    <row r="261" customFormat="false" ht="15" hidden="false" customHeight="false" outlineLevel="0" collapsed="false">
      <c r="A261" s="10"/>
      <c r="B261" s="10"/>
      <c r="C261" s="10"/>
      <c r="D261" s="10"/>
      <c r="E261" s="10" t="s">
        <v>112</v>
      </c>
      <c r="F261" s="10" t="s">
        <v>113</v>
      </c>
      <c r="G261" s="11"/>
      <c r="H261" s="11"/>
      <c r="I261" s="10" t="s">
        <v>114</v>
      </c>
      <c r="J261" s="13" t="n">
        <v>0</v>
      </c>
      <c r="K261" s="10" t="s">
        <v>50</v>
      </c>
    </row>
    <row r="262" customFormat="false" ht="15" hidden="false" customHeight="false" outlineLevel="0" collapsed="false">
      <c r="A262" s="10"/>
      <c r="B262" s="10"/>
      <c r="C262" s="10"/>
      <c r="D262" s="10"/>
      <c r="E262" s="10" t="s">
        <v>112</v>
      </c>
      <c r="F262" s="10" t="s">
        <v>113</v>
      </c>
      <c r="G262" s="11"/>
      <c r="H262" s="11"/>
      <c r="I262" s="10" t="s">
        <v>114</v>
      </c>
      <c r="J262" s="13" t="n">
        <v>0</v>
      </c>
      <c r="K262" s="10" t="s">
        <v>50</v>
      </c>
    </row>
    <row r="263" customFormat="false" ht="15" hidden="false" customHeight="false" outlineLevel="0" collapsed="false">
      <c r="A263" s="10"/>
      <c r="B263" s="10"/>
      <c r="C263" s="10"/>
      <c r="D263" s="10"/>
      <c r="E263" s="10" t="s">
        <v>112</v>
      </c>
      <c r="F263" s="10" t="s">
        <v>113</v>
      </c>
      <c r="G263" s="11"/>
      <c r="H263" s="11"/>
      <c r="I263" s="10" t="s">
        <v>114</v>
      </c>
      <c r="J263" s="13" t="n">
        <v>0</v>
      </c>
      <c r="K263" s="10" t="s">
        <v>50</v>
      </c>
    </row>
    <row r="264" customFormat="false" ht="15" hidden="false" customHeight="false" outlineLevel="0" collapsed="false">
      <c r="A264" s="10"/>
      <c r="B264" s="10"/>
      <c r="C264" s="10"/>
      <c r="D264" s="10"/>
      <c r="E264" s="10" t="s">
        <v>112</v>
      </c>
      <c r="F264" s="10" t="s">
        <v>113</v>
      </c>
      <c r="G264" s="11"/>
      <c r="H264" s="11"/>
      <c r="I264" s="10" t="s">
        <v>114</v>
      </c>
      <c r="J264" s="13" t="n">
        <v>0</v>
      </c>
      <c r="K264" s="10" t="s">
        <v>50</v>
      </c>
    </row>
    <row r="265" customFormat="false" ht="15" hidden="false" customHeight="false" outlineLevel="0" collapsed="false">
      <c r="A265" s="10"/>
      <c r="B265" s="10"/>
      <c r="C265" s="10"/>
      <c r="D265" s="10"/>
      <c r="E265" s="10" t="s">
        <v>112</v>
      </c>
      <c r="F265" s="10" t="s">
        <v>113</v>
      </c>
      <c r="G265" s="11"/>
      <c r="H265" s="11"/>
      <c r="I265" s="10" t="s">
        <v>114</v>
      </c>
      <c r="J265" s="13" t="n">
        <v>0</v>
      </c>
      <c r="K265" s="10" t="s">
        <v>50</v>
      </c>
    </row>
    <row r="266" customFormat="false" ht="15" hidden="false" customHeight="false" outlineLevel="0" collapsed="false">
      <c r="A266" s="10"/>
      <c r="B266" s="10"/>
      <c r="C266" s="10"/>
      <c r="D266" s="10"/>
      <c r="E266" s="10" t="s">
        <v>112</v>
      </c>
      <c r="F266" s="10" t="s">
        <v>113</v>
      </c>
      <c r="G266" s="11"/>
      <c r="H266" s="11"/>
      <c r="I266" s="10" t="s">
        <v>114</v>
      </c>
      <c r="J266" s="13" t="n">
        <v>0</v>
      </c>
      <c r="K266" s="10" t="s">
        <v>50</v>
      </c>
    </row>
    <row r="267" customFormat="false" ht="15" hidden="false" customHeight="false" outlineLevel="0" collapsed="false">
      <c r="A267" s="10"/>
      <c r="B267" s="10"/>
      <c r="C267" s="10"/>
      <c r="D267" s="10"/>
      <c r="E267" s="10" t="s">
        <v>112</v>
      </c>
      <c r="F267" s="10" t="s">
        <v>113</v>
      </c>
      <c r="G267" s="11"/>
      <c r="H267" s="11"/>
      <c r="I267" s="10" t="s">
        <v>114</v>
      </c>
      <c r="J267" s="13" t="n">
        <v>0</v>
      </c>
      <c r="K267" s="10" t="s">
        <v>50</v>
      </c>
    </row>
    <row r="268" customFormat="false" ht="15" hidden="false" customHeight="false" outlineLevel="0" collapsed="false">
      <c r="A268" s="10"/>
      <c r="B268" s="10"/>
      <c r="C268" s="10"/>
      <c r="D268" s="10"/>
      <c r="E268" s="10" t="s">
        <v>112</v>
      </c>
      <c r="F268" s="10" t="s">
        <v>113</v>
      </c>
      <c r="G268" s="11"/>
      <c r="H268" s="11"/>
      <c r="I268" s="10" t="s">
        <v>114</v>
      </c>
      <c r="J268" s="13" t="n">
        <v>0</v>
      </c>
      <c r="K268" s="10" t="s">
        <v>50</v>
      </c>
    </row>
    <row r="269" customFormat="false" ht="15" hidden="false" customHeight="false" outlineLevel="0" collapsed="false">
      <c r="A269" s="10"/>
      <c r="B269" s="10"/>
      <c r="C269" s="10"/>
      <c r="D269" s="10"/>
      <c r="E269" s="10" t="s">
        <v>112</v>
      </c>
      <c r="F269" s="10" t="s">
        <v>113</v>
      </c>
      <c r="G269" s="11"/>
      <c r="H269" s="11"/>
      <c r="I269" s="10" t="s">
        <v>114</v>
      </c>
      <c r="J269" s="13" t="n">
        <v>0</v>
      </c>
      <c r="K269" s="10" t="s">
        <v>50</v>
      </c>
    </row>
    <row r="270" customFormat="false" ht="15" hidden="false" customHeight="false" outlineLevel="0" collapsed="false">
      <c r="A270" s="10"/>
      <c r="B270" s="10"/>
      <c r="C270" s="10"/>
      <c r="D270" s="10"/>
      <c r="E270" s="10" t="s">
        <v>112</v>
      </c>
      <c r="F270" s="10" t="s">
        <v>113</v>
      </c>
      <c r="G270" s="11"/>
      <c r="H270" s="11"/>
      <c r="I270" s="10" t="s">
        <v>114</v>
      </c>
      <c r="J270" s="13" t="n">
        <v>0</v>
      </c>
      <c r="K270" s="10" t="s">
        <v>50</v>
      </c>
    </row>
    <row r="271" customFormat="false" ht="15" hidden="false" customHeight="false" outlineLevel="0" collapsed="false">
      <c r="A271" s="10"/>
      <c r="B271" s="10"/>
      <c r="C271" s="10"/>
      <c r="D271" s="10"/>
      <c r="E271" s="10" t="s">
        <v>112</v>
      </c>
      <c r="F271" s="10" t="s">
        <v>113</v>
      </c>
      <c r="G271" s="11"/>
      <c r="H271" s="11"/>
      <c r="I271" s="10" t="s">
        <v>114</v>
      </c>
      <c r="J271" s="13" t="n">
        <v>0</v>
      </c>
      <c r="K271" s="10" t="s">
        <v>50</v>
      </c>
    </row>
    <row r="272" customFormat="false" ht="15" hidden="false" customHeight="false" outlineLevel="0" collapsed="false">
      <c r="A272" s="10"/>
      <c r="B272" s="10"/>
      <c r="C272" s="10"/>
      <c r="D272" s="10"/>
      <c r="E272" s="10" t="s">
        <v>112</v>
      </c>
      <c r="F272" s="10" t="s">
        <v>113</v>
      </c>
      <c r="G272" s="11"/>
      <c r="H272" s="11"/>
      <c r="I272" s="10" t="s">
        <v>114</v>
      </c>
      <c r="J272" s="13" t="n">
        <v>0</v>
      </c>
      <c r="K272" s="10" t="s">
        <v>50</v>
      </c>
    </row>
    <row r="273" customFormat="false" ht="15" hidden="false" customHeight="false" outlineLevel="0" collapsed="false">
      <c r="A273" s="10"/>
      <c r="B273" s="10"/>
      <c r="C273" s="10"/>
      <c r="D273" s="10"/>
      <c r="E273" s="10" t="s">
        <v>112</v>
      </c>
      <c r="F273" s="10" t="s">
        <v>113</v>
      </c>
      <c r="G273" s="11"/>
      <c r="H273" s="11"/>
      <c r="I273" s="10" t="s">
        <v>114</v>
      </c>
      <c r="J273" s="13" t="n">
        <v>0</v>
      </c>
      <c r="K273" s="10" t="s">
        <v>50</v>
      </c>
    </row>
    <row r="274" customFormat="false" ht="15" hidden="false" customHeight="false" outlineLevel="0" collapsed="false">
      <c r="A274" s="10"/>
      <c r="B274" s="10"/>
      <c r="C274" s="10"/>
      <c r="D274" s="10"/>
      <c r="E274" s="10" t="s">
        <v>112</v>
      </c>
      <c r="F274" s="10" t="s">
        <v>113</v>
      </c>
      <c r="G274" s="11"/>
      <c r="H274" s="11"/>
      <c r="I274" s="10" t="s">
        <v>114</v>
      </c>
      <c r="J274" s="13" t="n">
        <v>0</v>
      </c>
      <c r="K274" s="10" t="s">
        <v>50</v>
      </c>
    </row>
    <row r="275" customFormat="false" ht="15" hidden="false" customHeight="false" outlineLevel="0" collapsed="false">
      <c r="A275" s="10"/>
      <c r="B275" s="10"/>
      <c r="C275" s="10"/>
      <c r="D275" s="10"/>
      <c r="E275" s="10" t="s">
        <v>112</v>
      </c>
      <c r="F275" s="10" t="s">
        <v>113</v>
      </c>
      <c r="G275" s="11"/>
      <c r="H275" s="11"/>
      <c r="I275" s="10" t="s">
        <v>114</v>
      </c>
      <c r="J275" s="13" t="n">
        <v>0</v>
      </c>
      <c r="K275" s="10" t="s">
        <v>50</v>
      </c>
    </row>
    <row r="276" customFormat="false" ht="15" hidden="false" customHeight="false" outlineLevel="0" collapsed="false">
      <c r="A276" s="10"/>
      <c r="B276" s="10"/>
      <c r="C276" s="10"/>
      <c r="D276" s="10"/>
      <c r="E276" s="10" t="s">
        <v>112</v>
      </c>
      <c r="F276" s="10" t="s">
        <v>113</v>
      </c>
      <c r="G276" s="11"/>
      <c r="H276" s="11"/>
      <c r="I276" s="10" t="s">
        <v>114</v>
      </c>
      <c r="J276" s="13" t="n">
        <v>0</v>
      </c>
      <c r="K276" s="10" t="s">
        <v>50</v>
      </c>
    </row>
    <row r="277" customFormat="false" ht="15" hidden="false" customHeight="false" outlineLevel="0" collapsed="false">
      <c r="A277" s="10"/>
      <c r="B277" s="10"/>
      <c r="C277" s="10"/>
      <c r="D277" s="10"/>
      <c r="E277" s="10" t="s">
        <v>112</v>
      </c>
      <c r="F277" s="10" t="s">
        <v>113</v>
      </c>
      <c r="G277" s="11"/>
      <c r="H277" s="11"/>
      <c r="I277" s="10" t="s">
        <v>114</v>
      </c>
      <c r="J277" s="13" t="n">
        <v>0</v>
      </c>
      <c r="K277" s="10" t="s">
        <v>50</v>
      </c>
    </row>
    <row r="278" customFormat="false" ht="15" hidden="false" customHeight="false" outlineLevel="0" collapsed="false">
      <c r="A278" s="10"/>
      <c r="B278" s="10"/>
      <c r="C278" s="10"/>
      <c r="D278" s="10"/>
      <c r="E278" s="10" t="s">
        <v>112</v>
      </c>
      <c r="F278" s="10" t="s">
        <v>113</v>
      </c>
      <c r="G278" s="11"/>
      <c r="H278" s="11"/>
      <c r="I278" s="10" t="s">
        <v>114</v>
      </c>
      <c r="J278" s="13" t="n">
        <v>0</v>
      </c>
      <c r="K278" s="10" t="s">
        <v>50</v>
      </c>
    </row>
    <row r="279" customFormat="false" ht="15" hidden="false" customHeight="false" outlineLevel="0" collapsed="false">
      <c r="A279" s="10"/>
      <c r="B279" s="10"/>
      <c r="C279" s="10"/>
      <c r="D279" s="10"/>
      <c r="E279" s="10" t="s">
        <v>112</v>
      </c>
      <c r="F279" s="10" t="s">
        <v>113</v>
      </c>
      <c r="G279" s="11"/>
      <c r="H279" s="11"/>
      <c r="I279" s="10" t="s">
        <v>114</v>
      </c>
      <c r="J279" s="13" t="n">
        <v>0</v>
      </c>
      <c r="K279" s="10" t="s">
        <v>50</v>
      </c>
    </row>
    <row r="280" customFormat="false" ht="15" hidden="false" customHeight="false" outlineLevel="0" collapsed="false">
      <c r="A280" s="10"/>
      <c r="B280" s="10"/>
      <c r="C280" s="10"/>
      <c r="D280" s="10"/>
      <c r="E280" s="10" t="s">
        <v>112</v>
      </c>
      <c r="F280" s="10" t="s">
        <v>113</v>
      </c>
      <c r="G280" s="11"/>
      <c r="H280" s="11"/>
      <c r="I280" s="10" t="s">
        <v>114</v>
      </c>
      <c r="J280" s="13" t="n">
        <v>0</v>
      </c>
      <c r="K280" s="10" t="s">
        <v>50</v>
      </c>
    </row>
    <row r="281" customFormat="false" ht="15" hidden="false" customHeight="false" outlineLevel="0" collapsed="false">
      <c r="A281" s="10"/>
      <c r="B281" s="10"/>
      <c r="C281" s="10"/>
      <c r="D281" s="10"/>
      <c r="E281" s="10" t="s">
        <v>112</v>
      </c>
      <c r="F281" s="10" t="s">
        <v>113</v>
      </c>
      <c r="G281" s="11"/>
      <c r="H281" s="11"/>
      <c r="I281" s="10" t="s">
        <v>114</v>
      </c>
      <c r="J281" s="13" t="n">
        <v>0</v>
      </c>
      <c r="K281" s="10" t="s">
        <v>50</v>
      </c>
    </row>
    <row r="282" customFormat="false" ht="15" hidden="false" customHeight="false" outlineLevel="0" collapsed="false">
      <c r="A282" s="10"/>
      <c r="B282" s="10"/>
      <c r="C282" s="10"/>
      <c r="D282" s="10"/>
      <c r="E282" s="10" t="s">
        <v>112</v>
      </c>
      <c r="F282" s="10" t="s">
        <v>113</v>
      </c>
      <c r="G282" s="11"/>
      <c r="H282" s="11"/>
      <c r="I282" s="10" t="s">
        <v>114</v>
      </c>
      <c r="J282" s="13" t="n">
        <v>0</v>
      </c>
      <c r="K282" s="10" t="s">
        <v>50</v>
      </c>
    </row>
    <row r="283" customFormat="false" ht="15" hidden="false" customHeight="false" outlineLevel="0" collapsed="false">
      <c r="A283" s="10"/>
      <c r="B283" s="10"/>
      <c r="C283" s="10"/>
      <c r="D283" s="10"/>
      <c r="E283" s="10" t="s">
        <v>112</v>
      </c>
      <c r="F283" s="10" t="s">
        <v>113</v>
      </c>
      <c r="G283" s="11"/>
      <c r="H283" s="11"/>
      <c r="I283" s="10" t="s">
        <v>114</v>
      </c>
      <c r="J283" s="13" t="n">
        <v>0</v>
      </c>
      <c r="K283" s="10" t="s">
        <v>50</v>
      </c>
    </row>
    <row r="284" customFormat="false" ht="15" hidden="false" customHeight="false" outlineLevel="0" collapsed="false">
      <c r="A284" s="10"/>
      <c r="B284" s="10"/>
      <c r="C284" s="10"/>
      <c r="D284" s="10"/>
      <c r="E284" s="10" t="s">
        <v>112</v>
      </c>
      <c r="F284" s="10" t="s">
        <v>113</v>
      </c>
      <c r="G284" s="11"/>
      <c r="H284" s="11"/>
      <c r="I284" s="10" t="s">
        <v>114</v>
      </c>
      <c r="J284" s="13" t="n">
        <v>0</v>
      </c>
      <c r="K284" s="10" t="s">
        <v>50</v>
      </c>
    </row>
    <row r="285" customFormat="false" ht="15" hidden="false" customHeight="false" outlineLevel="0" collapsed="false">
      <c r="A285" s="10"/>
      <c r="B285" s="10"/>
      <c r="C285" s="10"/>
      <c r="D285" s="10"/>
      <c r="E285" s="10" t="s">
        <v>112</v>
      </c>
      <c r="F285" s="10" t="s">
        <v>113</v>
      </c>
      <c r="G285" s="11"/>
      <c r="H285" s="11"/>
      <c r="I285" s="10" t="s">
        <v>114</v>
      </c>
      <c r="J285" s="13" t="n">
        <v>0</v>
      </c>
      <c r="K285" s="10" t="s">
        <v>50</v>
      </c>
    </row>
    <row r="286" customFormat="false" ht="15" hidden="false" customHeight="false" outlineLevel="0" collapsed="false">
      <c r="A286" s="10"/>
      <c r="B286" s="10"/>
      <c r="C286" s="10"/>
      <c r="D286" s="10"/>
      <c r="E286" s="10" t="s">
        <v>112</v>
      </c>
      <c r="F286" s="10" t="s">
        <v>113</v>
      </c>
      <c r="G286" s="11"/>
      <c r="H286" s="11"/>
      <c r="I286" s="10" t="s">
        <v>114</v>
      </c>
      <c r="J286" s="13" t="n">
        <v>0</v>
      </c>
      <c r="K286" s="10" t="s">
        <v>50</v>
      </c>
    </row>
    <row r="287" customFormat="false" ht="15" hidden="false" customHeight="false" outlineLevel="0" collapsed="false">
      <c r="A287" s="10"/>
      <c r="B287" s="10"/>
      <c r="C287" s="10"/>
      <c r="D287" s="10"/>
      <c r="E287" s="10" t="s">
        <v>112</v>
      </c>
      <c r="F287" s="10" t="s">
        <v>113</v>
      </c>
      <c r="G287" s="11"/>
      <c r="H287" s="11"/>
      <c r="I287" s="10" t="s">
        <v>114</v>
      </c>
      <c r="J287" s="13" t="n">
        <v>0</v>
      </c>
      <c r="K287" s="10" t="s">
        <v>50</v>
      </c>
    </row>
    <row r="288" customFormat="false" ht="15" hidden="false" customHeight="false" outlineLevel="0" collapsed="false">
      <c r="A288" s="10"/>
      <c r="B288" s="10"/>
      <c r="C288" s="10"/>
      <c r="D288" s="10"/>
      <c r="E288" s="10" t="s">
        <v>112</v>
      </c>
      <c r="F288" s="10" t="s">
        <v>113</v>
      </c>
      <c r="G288" s="11"/>
      <c r="H288" s="11"/>
      <c r="I288" s="10" t="s">
        <v>114</v>
      </c>
      <c r="J288" s="13" t="n">
        <v>0</v>
      </c>
      <c r="K288" s="10" t="s">
        <v>50</v>
      </c>
    </row>
    <row r="289" customFormat="false" ht="15" hidden="false" customHeight="false" outlineLevel="0" collapsed="false">
      <c r="A289" s="10"/>
      <c r="B289" s="10"/>
      <c r="C289" s="10"/>
      <c r="D289" s="10"/>
      <c r="E289" s="10" t="s">
        <v>112</v>
      </c>
      <c r="F289" s="10" t="s">
        <v>113</v>
      </c>
      <c r="G289" s="11"/>
      <c r="H289" s="11"/>
      <c r="I289" s="10" t="s">
        <v>114</v>
      </c>
      <c r="J289" s="13" t="n">
        <v>0</v>
      </c>
      <c r="K289" s="10" t="s">
        <v>50</v>
      </c>
    </row>
    <row r="290" customFormat="false" ht="15" hidden="false" customHeight="false" outlineLevel="0" collapsed="false">
      <c r="A290" s="10"/>
      <c r="B290" s="10"/>
      <c r="C290" s="10"/>
      <c r="D290" s="10"/>
      <c r="E290" s="10" t="s">
        <v>112</v>
      </c>
      <c r="F290" s="10" t="s">
        <v>113</v>
      </c>
      <c r="G290" s="11"/>
      <c r="H290" s="11"/>
      <c r="I290" s="10" t="s">
        <v>114</v>
      </c>
      <c r="J290" s="13" t="n">
        <v>0</v>
      </c>
      <c r="K290" s="10" t="s">
        <v>50</v>
      </c>
    </row>
    <row r="291" customFormat="false" ht="15" hidden="false" customHeight="false" outlineLevel="0" collapsed="false">
      <c r="A291" s="10"/>
      <c r="B291" s="10"/>
      <c r="C291" s="10"/>
      <c r="D291" s="10"/>
      <c r="E291" s="10" t="s">
        <v>112</v>
      </c>
      <c r="F291" s="10" t="s">
        <v>113</v>
      </c>
      <c r="G291" s="11"/>
      <c r="H291" s="11"/>
      <c r="I291" s="10" t="s">
        <v>114</v>
      </c>
      <c r="J291" s="13" t="n">
        <v>0</v>
      </c>
      <c r="K291" s="10" t="s">
        <v>50</v>
      </c>
    </row>
    <row r="292" customFormat="false" ht="15" hidden="false" customHeight="false" outlineLevel="0" collapsed="false">
      <c r="A292" s="10"/>
      <c r="B292" s="10"/>
      <c r="C292" s="10"/>
      <c r="D292" s="10"/>
      <c r="E292" s="10" t="s">
        <v>112</v>
      </c>
      <c r="F292" s="10" t="s">
        <v>113</v>
      </c>
      <c r="G292" s="11"/>
      <c r="H292" s="11"/>
      <c r="I292" s="10" t="s">
        <v>114</v>
      </c>
      <c r="J292" s="13" t="n">
        <v>0</v>
      </c>
      <c r="K292" s="10" t="s">
        <v>50</v>
      </c>
    </row>
    <row r="293" customFormat="false" ht="15" hidden="false" customHeight="false" outlineLevel="0" collapsed="false">
      <c r="A293" s="10"/>
      <c r="B293" s="10"/>
      <c r="C293" s="10"/>
      <c r="D293" s="10"/>
      <c r="E293" s="10" t="s">
        <v>112</v>
      </c>
      <c r="F293" s="10" t="s">
        <v>113</v>
      </c>
      <c r="G293" s="11"/>
      <c r="H293" s="11"/>
      <c r="I293" s="10" t="s">
        <v>114</v>
      </c>
      <c r="J293" s="13" t="n">
        <v>0</v>
      </c>
      <c r="K293" s="10" t="s">
        <v>50</v>
      </c>
    </row>
    <row r="294" customFormat="false" ht="15" hidden="false" customHeight="false" outlineLevel="0" collapsed="false">
      <c r="A294" s="10"/>
      <c r="B294" s="10"/>
      <c r="C294" s="10"/>
      <c r="D294" s="10"/>
      <c r="E294" s="10" t="s">
        <v>112</v>
      </c>
      <c r="F294" s="10" t="s">
        <v>113</v>
      </c>
      <c r="G294" s="11"/>
      <c r="H294" s="11"/>
      <c r="I294" s="10" t="s">
        <v>114</v>
      </c>
      <c r="J294" s="13" t="n">
        <v>0</v>
      </c>
      <c r="K294" s="10" t="s">
        <v>50</v>
      </c>
    </row>
    <row r="295" customFormat="false" ht="15" hidden="false" customHeight="false" outlineLevel="0" collapsed="false">
      <c r="A295" s="10"/>
      <c r="B295" s="10"/>
      <c r="C295" s="10"/>
      <c r="D295" s="10"/>
      <c r="E295" s="10" t="s">
        <v>112</v>
      </c>
      <c r="F295" s="10" t="s">
        <v>113</v>
      </c>
      <c r="G295" s="11"/>
      <c r="H295" s="11"/>
      <c r="I295" s="10" t="s">
        <v>114</v>
      </c>
      <c r="J295" s="13" t="n">
        <v>0</v>
      </c>
      <c r="K295" s="10" t="s">
        <v>50</v>
      </c>
    </row>
    <row r="296" customFormat="false" ht="15" hidden="false" customHeight="false" outlineLevel="0" collapsed="false">
      <c r="A296" s="10"/>
      <c r="B296" s="10"/>
      <c r="C296" s="10"/>
      <c r="D296" s="10"/>
      <c r="E296" s="10" t="s">
        <v>112</v>
      </c>
      <c r="F296" s="10" t="s">
        <v>113</v>
      </c>
      <c r="G296" s="11"/>
      <c r="H296" s="11"/>
      <c r="I296" s="10" t="s">
        <v>114</v>
      </c>
      <c r="J296" s="13" t="n">
        <v>0</v>
      </c>
      <c r="K296" s="10" t="s">
        <v>50</v>
      </c>
    </row>
    <row r="297" customFormat="false" ht="15" hidden="false" customHeight="false" outlineLevel="0" collapsed="false">
      <c r="A297" s="10"/>
      <c r="B297" s="10"/>
      <c r="C297" s="10"/>
      <c r="D297" s="10"/>
      <c r="E297" s="10" t="s">
        <v>112</v>
      </c>
      <c r="F297" s="10" t="s">
        <v>113</v>
      </c>
      <c r="G297" s="11"/>
      <c r="H297" s="11"/>
      <c r="I297" s="10" t="s">
        <v>114</v>
      </c>
      <c r="J297" s="13" t="n">
        <v>0</v>
      </c>
      <c r="K297" s="10" t="s">
        <v>50</v>
      </c>
    </row>
    <row r="298" customFormat="false" ht="15" hidden="false" customHeight="false" outlineLevel="0" collapsed="false">
      <c r="A298" s="10"/>
      <c r="B298" s="10"/>
      <c r="C298" s="10"/>
      <c r="D298" s="10"/>
      <c r="E298" s="10" t="s">
        <v>112</v>
      </c>
      <c r="F298" s="10" t="s">
        <v>113</v>
      </c>
      <c r="G298" s="11"/>
      <c r="H298" s="11"/>
      <c r="I298" s="10" t="s">
        <v>114</v>
      </c>
      <c r="J298" s="13" t="n">
        <v>0</v>
      </c>
      <c r="K298" s="10" t="s">
        <v>50</v>
      </c>
    </row>
    <row r="299" customFormat="false" ht="15" hidden="false" customHeight="false" outlineLevel="0" collapsed="false">
      <c r="A299" s="10"/>
      <c r="B299" s="10"/>
      <c r="C299" s="10"/>
      <c r="D299" s="10"/>
      <c r="E299" s="10" t="s">
        <v>112</v>
      </c>
      <c r="F299" s="10" t="s">
        <v>113</v>
      </c>
      <c r="G299" s="11"/>
      <c r="H299" s="11"/>
      <c r="I299" s="10" t="s">
        <v>114</v>
      </c>
      <c r="J299" s="13" t="n">
        <v>0</v>
      </c>
      <c r="K299" s="10" t="s">
        <v>50</v>
      </c>
    </row>
    <row r="300" customFormat="false" ht="15" hidden="false" customHeight="false" outlineLevel="0" collapsed="false">
      <c r="A300" s="10"/>
      <c r="B300" s="10"/>
      <c r="C300" s="10"/>
      <c r="D300" s="10"/>
      <c r="E300" s="10" t="s">
        <v>112</v>
      </c>
      <c r="F300" s="10" t="s">
        <v>113</v>
      </c>
      <c r="G300" s="11"/>
      <c r="H300" s="11"/>
      <c r="I300" s="10" t="s">
        <v>114</v>
      </c>
      <c r="J300" s="13" t="n">
        <v>0</v>
      </c>
      <c r="K300" s="10" t="s">
        <v>50</v>
      </c>
    </row>
    <row r="301" customFormat="false" ht="15" hidden="false" customHeight="false" outlineLevel="0" collapsed="false">
      <c r="A301" s="10"/>
      <c r="B301" s="10"/>
      <c r="C301" s="10"/>
      <c r="D301" s="10"/>
      <c r="E301" s="10" t="s">
        <v>112</v>
      </c>
      <c r="F301" s="10" t="s">
        <v>113</v>
      </c>
      <c r="G301" s="11"/>
      <c r="H301" s="11"/>
      <c r="I301" s="10" t="s">
        <v>114</v>
      </c>
      <c r="J301" s="13" t="n">
        <v>0</v>
      </c>
      <c r="K301" s="10" t="s">
        <v>50</v>
      </c>
    </row>
    <row r="302" customFormat="false" ht="15" hidden="false" customHeight="false" outlineLevel="0" collapsed="false">
      <c r="A302" s="10"/>
      <c r="B302" s="10"/>
      <c r="C302" s="10"/>
      <c r="D302" s="10"/>
      <c r="E302" s="10" t="s">
        <v>112</v>
      </c>
      <c r="F302" s="10" t="s">
        <v>113</v>
      </c>
      <c r="G302" s="11"/>
      <c r="H302" s="11"/>
      <c r="I302" s="10" t="s">
        <v>114</v>
      </c>
      <c r="J302" s="13" t="n">
        <v>0</v>
      </c>
      <c r="K302" s="10" t="s">
        <v>50</v>
      </c>
    </row>
    <row r="303" customFormat="false" ht="15" hidden="false" customHeight="false" outlineLevel="0" collapsed="false">
      <c r="A303" s="10"/>
      <c r="B303" s="10"/>
      <c r="C303" s="10"/>
      <c r="D303" s="10"/>
      <c r="E303" s="10" t="s">
        <v>112</v>
      </c>
      <c r="F303" s="10" t="s">
        <v>113</v>
      </c>
      <c r="G303" s="11"/>
      <c r="H303" s="11"/>
      <c r="I303" s="10" t="s">
        <v>114</v>
      </c>
      <c r="J303" s="13" t="n">
        <v>0</v>
      </c>
      <c r="K303" s="10" t="s">
        <v>50</v>
      </c>
    </row>
    <row r="304" customFormat="false" ht="15" hidden="false" customHeight="false" outlineLevel="0" collapsed="false">
      <c r="A304" s="10"/>
      <c r="B304" s="10"/>
      <c r="C304" s="10"/>
      <c r="D304" s="10"/>
      <c r="E304" s="10" t="s">
        <v>112</v>
      </c>
      <c r="F304" s="10" t="s">
        <v>113</v>
      </c>
      <c r="G304" s="11"/>
      <c r="H304" s="11"/>
      <c r="I304" s="10" t="s">
        <v>114</v>
      </c>
      <c r="J304" s="13" t="n">
        <v>0</v>
      </c>
      <c r="K304" s="10" t="s">
        <v>50</v>
      </c>
    </row>
    <row r="305" customFormat="false" ht="15" hidden="false" customHeight="false" outlineLevel="0" collapsed="false">
      <c r="A305" s="10"/>
      <c r="B305" s="10"/>
      <c r="C305" s="10"/>
      <c r="D305" s="10"/>
      <c r="E305" s="10" t="s">
        <v>112</v>
      </c>
      <c r="F305" s="10" t="s">
        <v>113</v>
      </c>
      <c r="G305" s="11"/>
      <c r="H305" s="11"/>
      <c r="I305" s="10" t="s">
        <v>114</v>
      </c>
      <c r="J305" s="13" t="n">
        <v>0</v>
      </c>
      <c r="K305" s="10" t="s">
        <v>50</v>
      </c>
    </row>
    <row r="306" customFormat="false" ht="15" hidden="false" customHeight="false" outlineLevel="0" collapsed="false">
      <c r="A306" s="10"/>
      <c r="B306" s="10"/>
      <c r="C306" s="10"/>
      <c r="D306" s="10"/>
      <c r="E306" s="10" t="s">
        <v>112</v>
      </c>
      <c r="F306" s="10" t="s">
        <v>113</v>
      </c>
      <c r="G306" s="11"/>
      <c r="H306" s="11"/>
      <c r="I306" s="10" t="s">
        <v>114</v>
      </c>
      <c r="J306" s="13" t="n">
        <v>0</v>
      </c>
      <c r="K306" s="10" t="s">
        <v>50</v>
      </c>
    </row>
    <row r="307" customFormat="false" ht="15" hidden="false" customHeight="false" outlineLevel="0" collapsed="false">
      <c r="A307" s="10"/>
      <c r="B307" s="10"/>
      <c r="C307" s="10"/>
      <c r="D307" s="10"/>
      <c r="E307" s="10" t="s">
        <v>112</v>
      </c>
      <c r="F307" s="10" t="s">
        <v>113</v>
      </c>
      <c r="G307" s="11"/>
      <c r="H307" s="11"/>
      <c r="I307" s="10" t="s">
        <v>114</v>
      </c>
      <c r="J307" s="13" t="n">
        <v>0</v>
      </c>
      <c r="K307" s="10" t="s">
        <v>50</v>
      </c>
    </row>
    <row r="308" customFormat="false" ht="15" hidden="false" customHeight="false" outlineLevel="0" collapsed="false">
      <c r="A308" s="10"/>
      <c r="B308" s="10"/>
      <c r="C308" s="10"/>
      <c r="D308" s="10"/>
      <c r="E308" s="10" t="s">
        <v>112</v>
      </c>
      <c r="F308" s="10" t="s">
        <v>113</v>
      </c>
      <c r="G308" s="11"/>
      <c r="H308" s="11"/>
      <c r="I308" s="10" t="s">
        <v>114</v>
      </c>
      <c r="J308" s="13" t="n">
        <v>0</v>
      </c>
      <c r="K308" s="10" t="s">
        <v>50</v>
      </c>
    </row>
    <row r="309" customFormat="false" ht="15" hidden="false" customHeight="false" outlineLevel="0" collapsed="false">
      <c r="A309" s="10"/>
      <c r="B309" s="10"/>
      <c r="C309" s="10"/>
      <c r="D309" s="10"/>
      <c r="E309" s="10" t="s">
        <v>112</v>
      </c>
      <c r="F309" s="10" t="s">
        <v>113</v>
      </c>
      <c r="G309" s="11"/>
      <c r="H309" s="11"/>
      <c r="I309" s="10" t="s">
        <v>114</v>
      </c>
      <c r="J309" s="13" t="n">
        <v>0</v>
      </c>
      <c r="K309" s="10" t="s">
        <v>50</v>
      </c>
    </row>
    <row r="310" customFormat="false" ht="15" hidden="false" customHeight="false" outlineLevel="0" collapsed="false">
      <c r="A310" s="10"/>
      <c r="B310" s="10"/>
      <c r="C310" s="10"/>
      <c r="D310" s="10"/>
      <c r="E310" s="10" t="s">
        <v>112</v>
      </c>
      <c r="F310" s="10" t="s">
        <v>113</v>
      </c>
      <c r="G310" s="11"/>
      <c r="H310" s="11"/>
      <c r="I310" s="10" t="s">
        <v>114</v>
      </c>
      <c r="J310" s="13" t="n">
        <v>0</v>
      </c>
      <c r="K310" s="10" t="s">
        <v>50</v>
      </c>
    </row>
    <row r="311" customFormat="false" ht="15" hidden="false" customHeight="false" outlineLevel="0" collapsed="false">
      <c r="A311" s="10"/>
      <c r="B311" s="10"/>
      <c r="C311" s="10"/>
      <c r="D311" s="10"/>
      <c r="E311" s="10" t="s">
        <v>112</v>
      </c>
      <c r="F311" s="10" t="s">
        <v>113</v>
      </c>
      <c r="G311" s="11"/>
      <c r="H311" s="11"/>
      <c r="I311" s="10" t="s">
        <v>114</v>
      </c>
      <c r="J311" s="13" t="n">
        <v>0</v>
      </c>
      <c r="K311" s="10" t="s">
        <v>50</v>
      </c>
    </row>
    <row r="312" customFormat="false" ht="15" hidden="false" customHeight="false" outlineLevel="0" collapsed="false">
      <c r="A312" s="10"/>
      <c r="B312" s="10"/>
      <c r="C312" s="10"/>
      <c r="D312" s="10"/>
      <c r="E312" s="10" t="s">
        <v>112</v>
      </c>
      <c r="F312" s="10" t="s">
        <v>113</v>
      </c>
      <c r="G312" s="11"/>
      <c r="H312" s="11"/>
      <c r="I312" s="10" t="s">
        <v>114</v>
      </c>
      <c r="J312" s="13" t="n">
        <v>0</v>
      </c>
      <c r="K312" s="10" t="s">
        <v>50</v>
      </c>
    </row>
    <row r="313" customFormat="false" ht="15" hidden="false" customHeight="false" outlineLevel="0" collapsed="false">
      <c r="A313" s="10"/>
      <c r="B313" s="10"/>
      <c r="C313" s="10"/>
      <c r="D313" s="10"/>
      <c r="E313" s="10" t="s">
        <v>112</v>
      </c>
      <c r="F313" s="10" t="s">
        <v>113</v>
      </c>
      <c r="G313" s="11"/>
      <c r="H313" s="11"/>
      <c r="I313" s="10" t="s">
        <v>114</v>
      </c>
      <c r="J313" s="13" t="n">
        <v>0</v>
      </c>
      <c r="K313" s="10" t="s">
        <v>50</v>
      </c>
    </row>
    <row r="314" customFormat="false" ht="15" hidden="false" customHeight="false" outlineLevel="0" collapsed="false">
      <c r="A314" s="10"/>
      <c r="B314" s="10"/>
      <c r="C314" s="10"/>
      <c r="D314" s="10"/>
      <c r="E314" s="10" t="s">
        <v>112</v>
      </c>
      <c r="F314" s="10" t="s">
        <v>113</v>
      </c>
      <c r="G314" s="11"/>
      <c r="H314" s="11"/>
      <c r="I314" s="10" t="s">
        <v>114</v>
      </c>
      <c r="J314" s="13" t="n">
        <v>0</v>
      </c>
      <c r="K314" s="10" t="s">
        <v>50</v>
      </c>
    </row>
    <row r="315" customFormat="false" ht="15" hidden="false" customHeight="false" outlineLevel="0" collapsed="false">
      <c r="A315" s="10"/>
      <c r="B315" s="10"/>
      <c r="C315" s="10"/>
      <c r="D315" s="10"/>
      <c r="E315" s="10" t="s">
        <v>112</v>
      </c>
      <c r="F315" s="10" t="s">
        <v>113</v>
      </c>
      <c r="G315" s="11"/>
      <c r="H315" s="11"/>
      <c r="I315" s="10" t="s">
        <v>114</v>
      </c>
      <c r="J315" s="13" t="n">
        <v>0</v>
      </c>
      <c r="K315" s="10" t="s">
        <v>50</v>
      </c>
    </row>
    <row r="316" customFormat="false" ht="15" hidden="false" customHeight="false" outlineLevel="0" collapsed="false">
      <c r="A316" s="10"/>
      <c r="B316" s="10"/>
      <c r="C316" s="10"/>
      <c r="D316" s="10"/>
      <c r="E316" s="10" t="s">
        <v>112</v>
      </c>
      <c r="F316" s="10" t="s">
        <v>113</v>
      </c>
      <c r="G316" s="11"/>
      <c r="H316" s="11"/>
      <c r="I316" s="10" t="s">
        <v>114</v>
      </c>
      <c r="J316" s="13" t="n">
        <v>0</v>
      </c>
      <c r="K316" s="10" t="s">
        <v>50</v>
      </c>
    </row>
    <row r="317" customFormat="false" ht="15" hidden="false" customHeight="false" outlineLevel="0" collapsed="false">
      <c r="A317" s="10"/>
      <c r="B317" s="10"/>
      <c r="C317" s="10"/>
      <c r="D317" s="10"/>
      <c r="E317" s="10" t="s">
        <v>112</v>
      </c>
      <c r="F317" s="10" t="s">
        <v>113</v>
      </c>
      <c r="G317" s="11"/>
      <c r="H317" s="11"/>
      <c r="I317" s="10" t="s">
        <v>114</v>
      </c>
      <c r="J317" s="13" t="n">
        <v>0</v>
      </c>
      <c r="K317" s="10" t="s">
        <v>50</v>
      </c>
    </row>
    <row r="318" customFormat="false" ht="15" hidden="false" customHeight="false" outlineLevel="0" collapsed="false">
      <c r="A318" s="10"/>
      <c r="B318" s="10"/>
      <c r="C318" s="10"/>
      <c r="D318" s="10"/>
      <c r="E318" s="10" t="s">
        <v>112</v>
      </c>
      <c r="F318" s="10" t="s">
        <v>113</v>
      </c>
      <c r="G318" s="11"/>
      <c r="H318" s="11"/>
      <c r="I318" s="10" t="s">
        <v>114</v>
      </c>
      <c r="J318" s="13" t="n">
        <v>0</v>
      </c>
      <c r="K318" s="10" t="s">
        <v>50</v>
      </c>
    </row>
    <row r="319" customFormat="false" ht="15" hidden="false" customHeight="false" outlineLevel="0" collapsed="false">
      <c r="A319" s="10"/>
      <c r="B319" s="10"/>
      <c r="C319" s="10"/>
      <c r="D319" s="10"/>
      <c r="E319" s="10" t="s">
        <v>112</v>
      </c>
      <c r="F319" s="10" t="s">
        <v>113</v>
      </c>
      <c r="G319" s="11"/>
      <c r="H319" s="11"/>
      <c r="I319" s="10" t="s">
        <v>114</v>
      </c>
      <c r="J319" s="13" t="n">
        <v>0</v>
      </c>
      <c r="K319" s="10" t="s">
        <v>50</v>
      </c>
    </row>
    <row r="320" customFormat="false" ht="15" hidden="false" customHeight="false" outlineLevel="0" collapsed="false">
      <c r="A320" s="10"/>
      <c r="B320" s="10"/>
      <c r="C320" s="10"/>
      <c r="D320" s="10"/>
      <c r="E320" s="10" t="s">
        <v>112</v>
      </c>
      <c r="F320" s="10" t="s">
        <v>113</v>
      </c>
      <c r="G320" s="11"/>
      <c r="H320" s="11"/>
      <c r="I320" s="10" t="s">
        <v>114</v>
      </c>
      <c r="J320" s="13" t="n">
        <v>0</v>
      </c>
      <c r="K320" s="10" t="s">
        <v>50</v>
      </c>
    </row>
    <row r="321" customFormat="false" ht="15" hidden="false" customHeight="false" outlineLevel="0" collapsed="false">
      <c r="A321" s="10"/>
      <c r="B321" s="10"/>
      <c r="C321" s="10"/>
      <c r="D321" s="10"/>
      <c r="E321" s="10" t="s">
        <v>112</v>
      </c>
      <c r="F321" s="10" t="s">
        <v>113</v>
      </c>
      <c r="G321" s="11"/>
      <c r="H321" s="11"/>
      <c r="I321" s="10" t="s">
        <v>114</v>
      </c>
      <c r="J321" s="13" t="n">
        <v>0</v>
      </c>
      <c r="K321" s="10" t="s">
        <v>50</v>
      </c>
    </row>
    <row r="322" customFormat="false" ht="15" hidden="false" customHeight="false" outlineLevel="0" collapsed="false">
      <c r="A322" s="10"/>
      <c r="B322" s="10"/>
      <c r="C322" s="10"/>
      <c r="D322" s="10"/>
      <c r="E322" s="10" t="s">
        <v>112</v>
      </c>
      <c r="F322" s="10" t="s">
        <v>113</v>
      </c>
      <c r="G322" s="11"/>
      <c r="H322" s="11"/>
      <c r="I322" s="10" t="s">
        <v>114</v>
      </c>
      <c r="J322" s="13" t="n">
        <v>0</v>
      </c>
      <c r="K322" s="10" t="s">
        <v>50</v>
      </c>
    </row>
    <row r="323" customFormat="false" ht="15" hidden="false" customHeight="false" outlineLevel="0" collapsed="false">
      <c r="A323" s="10"/>
      <c r="B323" s="10"/>
      <c r="C323" s="10"/>
      <c r="D323" s="10"/>
      <c r="E323" s="10" t="s">
        <v>112</v>
      </c>
      <c r="F323" s="10" t="s">
        <v>113</v>
      </c>
      <c r="G323" s="11"/>
      <c r="H323" s="11"/>
      <c r="I323" s="10" t="s">
        <v>114</v>
      </c>
      <c r="J323" s="13" t="n">
        <v>0</v>
      </c>
      <c r="K323" s="10" t="s">
        <v>50</v>
      </c>
    </row>
    <row r="324" customFormat="false" ht="15" hidden="false" customHeight="false" outlineLevel="0" collapsed="false">
      <c r="A324" s="10"/>
      <c r="B324" s="10"/>
      <c r="C324" s="10"/>
      <c r="D324" s="10"/>
      <c r="E324" s="10" t="s">
        <v>112</v>
      </c>
      <c r="F324" s="10" t="s">
        <v>113</v>
      </c>
      <c r="G324" s="11"/>
      <c r="H324" s="11"/>
      <c r="I324" s="10" t="s">
        <v>114</v>
      </c>
      <c r="J324" s="13" t="n">
        <v>0</v>
      </c>
      <c r="K324" s="10" t="s">
        <v>50</v>
      </c>
    </row>
    <row r="325" customFormat="false" ht="15" hidden="false" customHeight="false" outlineLevel="0" collapsed="false">
      <c r="A325" s="10"/>
      <c r="B325" s="10"/>
      <c r="C325" s="10"/>
      <c r="D325" s="10"/>
      <c r="E325" s="10" t="s">
        <v>112</v>
      </c>
      <c r="F325" s="10" t="s">
        <v>113</v>
      </c>
      <c r="G325" s="11"/>
      <c r="H325" s="11"/>
      <c r="I325" s="10" t="s">
        <v>114</v>
      </c>
      <c r="J325" s="13" t="n">
        <v>0</v>
      </c>
      <c r="K325" s="10" t="s">
        <v>50</v>
      </c>
    </row>
    <row r="326" customFormat="false" ht="15" hidden="false" customHeight="false" outlineLevel="0" collapsed="false">
      <c r="A326" s="10"/>
      <c r="B326" s="10"/>
      <c r="C326" s="10"/>
      <c r="D326" s="10"/>
      <c r="E326" s="10" t="s">
        <v>112</v>
      </c>
      <c r="F326" s="10" t="s">
        <v>113</v>
      </c>
      <c r="G326" s="11"/>
      <c r="H326" s="11"/>
      <c r="I326" s="10" t="s">
        <v>114</v>
      </c>
      <c r="J326" s="13" t="n">
        <v>0</v>
      </c>
      <c r="K326" s="10" t="s">
        <v>50</v>
      </c>
    </row>
    <row r="327" customFormat="false" ht="15" hidden="false" customHeight="false" outlineLevel="0" collapsed="false">
      <c r="A327" s="10"/>
      <c r="B327" s="10"/>
      <c r="C327" s="10"/>
      <c r="D327" s="10"/>
      <c r="E327" s="10" t="s">
        <v>112</v>
      </c>
      <c r="F327" s="10" t="s">
        <v>113</v>
      </c>
      <c r="G327" s="11"/>
      <c r="H327" s="11"/>
      <c r="I327" s="10" t="s">
        <v>114</v>
      </c>
      <c r="J327" s="13" t="n">
        <v>0</v>
      </c>
      <c r="K327" s="10" t="s">
        <v>50</v>
      </c>
    </row>
    <row r="328" customFormat="false" ht="15" hidden="false" customHeight="false" outlineLevel="0" collapsed="false">
      <c r="A328" s="10"/>
      <c r="B328" s="10"/>
      <c r="C328" s="10"/>
      <c r="D328" s="10"/>
      <c r="E328" s="10" t="s">
        <v>112</v>
      </c>
      <c r="F328" s="10" t="s">
        <v>113</v>
      </c>
      <c r="G328" s="11"/>
      <c r="H328" s="11"/>
      <c r="I328" s="10" t="s">
        <v>114</v>
      </c>
      <c r="J328" s="13" t="n">
        <v>0</v>
      </c>
      <c r="K328" s="10" t="s">
        <v>50</v>
      </c>
    </row>
    <row r="329" customFormat="false" ht="15" hidden="false" customHeight="false" outlineLevel="0" collapsed="false">
      <c r="A329" s="10"/>
      <c r="B329" s="10"/>
      <c r="C329" s="10"/>
      <c r="D329" s="10"/>
      <c r="E329" s="10" t="s">
        <v>112</v>
      </c>
      <c r="F329" s="10" t="s">
        <v>113</v>
      </c>
      <c r="G329" s="11"/>
      <c r="H329" s="11"/>
      <c r="I329" s="10" t="s">
        <v>114</v>
      </c>
      <c r="J329" s="13" t="n">
        <v>0</v>
      </c>
      <c r="K329" s="10" t="s">
        <v>50</v>
      </c>
    </row>
    <row r="330" customFormat="false" ht="15" hidden="false" customHeight="false" outlineLevel="0" collapsed="false">
      <c r="A330" s="10"/>
      <c r="B330" s="10"/>
      <c r="C330" s="10"/>
      <c r="D330" s="10"/>
      <c r="E330" s="10" t="s">
        <v>112</v>
      </c>
      <c r="F330" s="10" t="s">
        <v>113</v>
      </c>
      <c r="G330" s="11"/>
      <c r="H330" s="11"/>
      <c r="I330" s="10" t="s">
        <v>114</v>
      </c>
      <c r="J330" s="13" t="n">
        <v>0</v>
      </c>
      <c r="K330" s="10" t="s">
        <v>50</v>
      </c>
    </row>
    <row r="331" customFormat="false" ht="15" hidden="false" customHeight="false" outlineLevel="0" collapsed="false">
      <c r="A331" s="10"/>
      <c r="B331" s="10"/>
      <c r="C331" s="10"/>
      <c r="D331" s="10"/>
      <c r="E331" s="10" t="s">
        <v>112</v>
      </c>
      <c r="F331" s="10" t="s">
        <v>113</v>
      </c>
      <c r="G331" s="11"/>
      <c r="H331" s="11"/>
      <c r="I331" s="10" t="s">
        <v>114</v>
      </c>
      <c r="J331" s="13" t="n">
        <v>0</v>
      </c>
      <c r="K331" s="10" t="s">
        <v>50</v>
      </c>
    </row>
    <row r="332" customFormat="false" ht="15" hidden="false" customHeight="false" outlineLevel="0" collapsed="false">
      <c r="A332" s="10"/>
      <c r="B332" s="10"/>
      <c r="C332" s="10"/>
      <c r="D332" s="10"/>
      <c r="E332" s="10" t="s">
        <v>112</v>
      </c>
      <c r="F332" s="10" t="s">
        <v>113</v>
      </c>
      <c r="G332" s="11"/>
      <c r="H332" s="11"/>
      <c r="I332" s="10" t="s">
        <v>114</v>
      </c>
      <c r="J332" s="13" t="n">
        <v>0</v>
      </c>
      <c r="K332" s="10" t="s">
        <v>50</v>
      </c>
    </row>
    <row r="333" customFormat="false" ht="15" hidden="false" customHeight="false" outlineLevel="0" collapsed="false">
      <c r="A333" s="10"/>
      <c r="B333" s="10"/>
      <c r="C333" s="10"/>
      <c r="D333" s="10"/>
      <c r="E333" s="10" t="s">
        <v>112</v>
      </c>
      <c r="F333" s="10" t="s">
        <v>113</v>
      </c>
      <c r="G333" s="11"/>
      <c r="H333" s="11"/>
      <c r="I333" s="10" t="s">
        <v>114</v>
      </c>
      <c r="J333" s="13" t="n">
        <v>0</v>
      </c>
      <c r="K333" s="10" t="s">
        <v>50</v>
      </c>
    </row>
    <row r="334" customFormat="false" ht="15" hidden="false" customHeight="false" outlineLevel="0" collapsed="false">
      <c r="A334" s="10"/>
      <c r="B334" s="10"/>
      <c r="C334" s="10"/>
      <c r="D334" s="10"/>
      <c r="E334" s="10" t="s">
        <v>112</v>
      </c>
      <c r="F334" s="10" t="s">
        <v>113</v>
      </c>
      <c r="G334" s="11"/>
      <c r="H334" s="11"/>
      <c r="I334" s="10" t="s">
        <v>114</v>
      </c>
      <c r="J334" s="13" t="n">
        <v>0</v>
      </c>
      <c r="K334" s="10" t="s">
        <v>50</v>
      </c>
    </row>
    <row r="335" customFormat="false" ht="15" hidden="false" customHeight="false" outlineLevel="0" collapsed="false">
      <c r="A335" s="10"/>
      <c r="B335" s="10"/>
      <c r="C335" s="10"/>
      <c r="D335" s="10"/>
      <c r="E335" s="10" t="s">
        <v>112</v>
      </c>
      <c r="F335" s="10" t="s">
        <v>113</v>
      </c>
      <c r="G335" s="11"/>
      <c r="H335" s="11"/>
      <c r="I335" s="10" t="s">
        <v>114</v>
      </c>
      <c r="J335" s="13" t="n">
        <v>0</v>
      </c>
      <c r="K335" s="10" t="s">
        <v>50</v>
      </c>
    </row>
    <row r="336" customFormat="false" ht="15" hidden="false" customHeight="false" outlineLevel="0" collapsed="false">
      <c r="A336" s="10"/>
      <c r="B336" s="10"/>
      <c r="C336" s="10"/>
      <c r="D336" s="10"/>
      <c r="E336" s="10" t="s">
        <v>112</v>
      </c>
      <c r="F336" s="10" t="s">
        <v>113</v>
      </c>
      <c r="G336" s="11"/>
      <c r="H336" s="11"/>
      <c r="I336" s="10" t="s">
        <v>114</v>
      </c>
      <c r="J336" s="13" t="n">
        <v>0</v>
      </c>
      <c r="K336" s="10" t="s">
        <v>50</v>
      </c>
    </row>
    <row r="337" customFormat="false" ht="15" hidden="false" customHeight="false" outlineLevel="0" collapsed="false">
      <c r="A337" s="10"/>
      <c r="B337" s="10"/>
      <c r="C337" s="10"/>
      <c r="D337" s="10"/>
      <c r="E337" s="10" t="s">
        <v>112</v>
      </c>
      <c r="F337" s="10" t="s">
        <v>113</v>
      </c>
      <c r="G337" s="11"/>
      <c r="H337" s="11"/>
      <c r="I337" s="10" t="s">
        <v>114</v>
      </c>
      <c r="J337" s="13" t="n">
        <v>0</v>
      </c>
      <c r="K337" s="10" t="s">
        <v>50</v>
      </c>
    </row>
    <row r="338" customFormat="false" ht="15" hidden="false" customHeight="false" outlineLevel="0" collapsed="false">
      <c r="A338" s="10"/>
      <c r="B338" s="10"/>
      <c r="C338" s="10"/>
      <c r="D338" s="10"/>
      <c r="E338" s="10" t="s">
        <v>112</v>
      </c>
      <c r="F338" s="10" t="s">
        <v>113</v>
      </c>
      <c r="G338" s="11"/>
      <c r="H338" s="11"/>
      <c r="I338" s="10" t="s">
        <v>114</v>
      </c>
      <c r="J338" s="13" t="n">
        <v>0</v>
      </c>
      <c r="K338" s="10" t="s">
        <v>50</v>
      </c>
    </row>
    <row r="339" customFormat="false" ht="15" hidden="false" customHeight="false" outlineLevel="0" collapsed="false">
      <c r="A339" s="10"/>
      <c r="B339" s="10"/>
      <c r="C339" s="10"/>
      <c r="D339" s="10"/>
      <c r="E339" s="10" t="s">
        <v>112</v>
      </c>
      <c r="F339" s="10" t="s">
        <v>113</v>
      </c>
      <c r="G339" s="11"/>
      <c r="H339" s="11"/>
      <c r="I339" s="10" t="s">
        <v>114</v>
      </c>
      <c r="J339" s="13" t="n">
        <v>0</v>
      </c>
      <c r="K339" s="10" t="s">
        <v>50</v>
      </c>
    </row>
    <row r="340" customFormat="false" ht="15" hidden="false" customHeight="false" outlineLevel="0" collapsed="false">
      <c r="A340" s="10"/>
      <c r="B340" s="10"/>
      <c r="C340" s="10"/>
      <c r="D340" s="10"/>
      <c r="E340" s="10" t="s">
        <v>112</v>
      </c>
      <c r="F340" s="10" t="s">
        <v>113</v>
      </c>
      <c r="G340" s="11"/>
      <c r="H340" s="11"/>
      <c r="I340" s="10" t="s">
        <v>114</v>
      </c>
      <c r="J340" s="13" t="n">
        <v>0</v>
      </c>
      <c r="K340" s="10" t="s">
        <v>50</v>
      </c>
    </row>
    <row r="341" customFormat="false" ht="15" hidden="false" customHeight="false" outlineLevel="0" collapsed="false">
      <c r="A341" s="10"/>
      <c r="B341" s="10"/>
      <c r="C341" s="10"/>
      <c r="D341" s="10"/>
      <c r="E341" s="10" t="s">
        <v>112</v>
      </c>
      <c r="F341" s="10" t="s">
        <v>113</v>
      </c>
      <c r="G341" s="11"/>
      <c r="H341" s="11"/>
      <c r="I341" s="10" t="s">
        <v>114</v>
      </c>
      <c r="J341" s="13" t="n">
        <v>0</v>
      </c>
      <c r="K341" s="10" t="s">
        <v>50</v>
      </c>
    </row>
    <row r="342" customFormat="false" ht="15" hidden="false" customHeight="false" outlineLevel="0" collapsed="false">
      <c r="A342" s="10"/>
      <c r="B342" s="10"/>
      <c r="C342" s="10"/>
      <c r="D342" s="10"/>
      <c r="E342" s="10" t="s">
        <v>112</v>
      </c>
      <c r="F342" s="10" t="s">
        <v>113</v>
      </c>
      <c r="G342" s="11"/>
      <c r="H342" s="11"/>
      <c r="I342" s="10" t="s">
        <v>114</v>
      </c>
      <c r="J342" s="13" t="n">
        <v>0</v>
      </c>
      <c r="K342" s="10" t="s">
        <v>50</v>
      </c>
    </row>
    <row r="343" customFormat="false" ht="15" hidden="false" customHeight="false" outlineLevel="0" collapsed="false">
      <c r="A343" s="10"/>
      <c r="B343" s="10"/>
      <c r="C343" s="10"/>
      <c r="D343" s="10"/>
      <c r="E343" s="10" t="s">
        <v>112</v>
      </c>
      <c r="F343" s="10" t="s">
        <v>113</v>
      </c>
      <c r="G343" s="11"/>
      <c r="H343" s="11"/>
      <c r="I343" s="10" t="s">
        <v>114</v>
      </c>
      <c r="J343" s="13" t="n">
        <v>0</v>
      </c>
      <c r="K343" s="10" t="s">
        <v>50</v>
      </c>
    </row>
    <row r="344" customFormat="false" ht="15" hidden="false" customHeight="false" outlineLevel="0" collapsed="false">
      <c r="A344" s="10"/>
      <c r="B344" s="10"/>
      <c r="C344" s="10"/>
      <c r="D344" s="10"/>
      <c r="E344" s="10" t="s">
        <v>112</v>
      </c>
      <c r="F344" s="10" t="s">
        <v>113</v>
      </c>
      <c r="G344" s="11"/>
      <c r="H344" s="11"/>
      <c r="I344" s="10" t="s">
        <v>114</v>
      </c>
      <c r="J344" s="13" t="n">
        <v>0</v>
      </c>
      <c r="K344" s="10" t="s">
        <v>50</v>
      </c>
    </row>
    <row r="345" customFormat="false" ht="15" hidden="false" customHeight="false" outlineLevel="0" collapsed="false">
      <c r="A345" s="10"/>
      <c r="B345" s="10"/>
      <c r="C345" s="10"/>
      <c r="D345" s="10"/>
      <c r="E345" s="10" t="s">
        <v>112</v>
      </c>
      <c r="F345" s="10" t="s">
        <v>113</v>
      </c>
      <c r="G345" s="11"/>
      <c r="H345" s="11"/>
      <c r="I345" s="10" t="s">
        <v>114</v>
      </c>
      <c r="J345" s="13" t="n">
        <v>0</v>
      </c>
      <c r="K345" s="10" t="s">
        <v>50</v>
      </c>
    </row>
    <row r="346" customFormat="false" ht="15" hidden="false" customHeight="false" outlineLevel="0" collapsed="false">
      <c r="A346" s="10"/>
      <c r="B346" s="10"/>
      <c r="C346" s="10"/>
      <c r="D346" s="10"/>
      <c r="E346" s="10" t="s">
        <v>112</v>
      </c>
      <c r="F346" s="10" t="s">
        <v>113</v>
      </c>
      <c r="G346" s="11"/>
      <c r="H346" s="11"/>
      <c r="I346" s="10" t="s">
        <v>114</v>
      </c>
      <c r="J346" s="13" t="n">
        <v>0</v>
      </c>
      <c r="K346" s="10" t="s">
        <v>50</v>
      </c>
    </row>
    <row r="347" customFormat="false" ht="15" hidden="false" customHeight="false" outlineLevel="0" collapsed="false">
      <c r="A347" s="10"/>
      <c r="B347" s="10"/>
      <c r="C347" s="10"/>
      <c r="D347" s="10"/>
      <c r="E347" s="10" t="s">
        <v>112</v>
      </c>
      <c r="F347" s="10" t="s">
        <v>113</v>
      </c>
      <c r="G347" s="11"/>
      <c r="H347" s="11"/>
      <c r="I347" s="10" t="s">
        <v>114</v>
      </c>
      <c r="J347" s="13" t="n">
        <v>0</v>
      </c>
      <c r="K347" s="10" t="s">
        <v>50</v>
      </c>
    </row>
    <row r="348" customFormat="false" ht="15" hidden="false" customHeight="false" outlineLevel="0" collapsed="false">
      <c r="A348" s="10"/>
      <c r="B348" s="10"/>
      <c r="C348" s="10"/>
      <c r="D348" s="10"/>
      <c r="E348" s="10" t="s">
        <v>112</v>
      </c>
      <c r="F348" s="10" t="s">
        <v>113</v>
      </c>
      <c r="G348" s="11"/>
      <c r="H348" s="11"/>
      <c r="I348" s="10" t="s">
        <v>114</v>
      </c>
      <c r="J348" s="13" t="n">
        <v>0</v>
      </c>
      <c r="K348" s="10" t="s">
        <v>50</v>
      </c>
    </row>
    <row r="349" customFormat="false" ht="15" hidden="false" customHeight="false" outlineLevel="0" collapsed="false">
      <c r="A349" s="10"/>
      <c r="B349" s="10"/>
      <c r="C349" s="10"/>
      <c r="D349" s="10"/>
      <c r="E349" s="10" t="s">
        <v>112</v>
      </c>
      <c r="F349" s="10" t="s">
        <v>113</v>
      </c>
      <c r="G349" s="11"/>
      <c r="H349" s="11"/>
      <c r="I349" s="10" t="s">
        <v>114</v>
      </c>
      <c r="J349" s="13" t="n">
        <v>0</v>
      </c>
      <c r="K349" s="10" t="s">
        <v>50</v>
      </c>
    </row>
    <row r="350" customFormat="false" ht="15" hidden="false" customHeight="false" outlineLevel="0" collapsed="false">
      <c r="A350" s="10"/>
      <c r="B350" s="10"/>
      <c r="C350" s="10"/>
      <c r="D350" s="10"/>
      <c r="E350" s="10" t="s">
        <v>112</v>
      </c>
      <c r="F350" s="10" t="s">
        <v>113</v>
      </c>
      <c r="G350" s="11"/>
      <c r="H350" s="11"/>
      <c r="I350" s="10" t="s">
        <v>114</v>
      </c>
      <c r="J350" s="13" t="n">
        <v>0</v>
      </c>
      <c r="K350" s="10" t="s">
        <v>50</v>
      </c>
    </row>
    <row r="351" customFormat="false" ht="15" hidden="false" customHeight="false" outlineLevel="0" collapsed="false">
      <c r="A351" s="10"/>
      <c r="B351" s="10"/>
      <c r="C351" s="10"/>
      <c r="D351" s="10"/>
      <c r="E351" s="10" t="s">
        <v>112</v>
      </c>
      <c r="F351" s="10" t="s">
        <v>113</v>
      </c>
      <c r="G351" s="11"/>
      <c r="H351" s="11"/>
      <c r="I351" s="10" t="s">
        <v>114</v>
      </c>
      <c r="J351" s="13" t="n">
        <v>0</v>
      </c>
      <c r="K351" s="10" t="s">
        <v>50</v>
      </c>
    </row>
    <row r="352" customFormat="false" ht="15" hidden="false" customHeight="false" outlineLevel="0" collapsed="false">
      <c r="A352" s="10"/>
      <c r="B352" s="10"/>
      <c r="C352" s="10"/>
      <c r="D352" s="10"/>
      <c r="E352" s="10" t="s">
        <v>112</v>
      </c>
      <c r="F352" s="10" t="s">
        <v>113</v>
      </c>
      <c r="G352" s="11"/>
      <c r="H352" s="11"/>
      <c r="I352" s="10" t="s">
        <v>114</v>
      </c>
      <c r="J352" s="13" t="n">
        <v>0</v>
      </c>
      <c r="K352" s="10" t="s">
        <v>50</v>
      </c>
    </row>
    <row r="353" customFormat="false" ht="15" hidden="false" customHeight="false" outlineLevel="0" collapsed="false">
      <c r="A353" s="10"/>
      <c r="B353" s="10"/>
      <c r="C353" s="10"/>
      <c r="D353" s="10"/>
      <c r="E353" s="10" t="s">
        <v>112</v>
      </c>
      <c r="F353" s="10" t="s">
        <v>113</v>
      </c>
      <c r="G353" s="11"/>
      <c r="H353" s="11"/>
      <c r="I353" s="10" t="s">
        <v>114</v>
      </c>
      <c r="J353" s="13" t="n">
        <v>0</v>
      </c>
      <c r="K353" s="10" t="s">
        <v>50</v>
      </c>
    </row>
    <row r="354" customFormat="false" ht="15" hidden="false" customHeight="false" outlineLevel="0" collapsed="false">
      <c r="A354" s="10"/>
      <c r="B354" s="10"/>
      <c r="C354" s="10"/>
      <c r="D354" s="10"/>
      <c r="E354" s="10" t="s">
        <v>112</v>
      </c>
      <c r="F354" s="10" t="s">
        <v>113</v>
      </c>
      <c r="G354" s="11"/>
      <c r="H354" s="11"/>
      <c r="I354" s="10" t="s">
        <v>114</v>
      </c>
      <c r="J354" s="13" t="n">
        <v>0</v>
      </c>
      <c r="K354" s="10" t="s">
        <v>50</v>
      </c>
    </row>
    <row r="355" customFormat="false" ht="15" hidden="false" customHeight="false" outlineLevel="0" collapsed="false">
      <c r="A355" s="10"/>
      <c r="B355" s="10"/>
      <c r="C355" s="10"/>
      <c r="D355" s="10"/>
      <c r="E355" s="10" t="s">
        <v>112</v>
      </c>
      <c r="F355" s="10" t="s">
        <v>113</v>
      </c>
      <c r="G355" s="11"/>
      <c r="H355" s="11"/>
      <c r="I355" s="10" t="s">
        <v>114</v>
      </c>
      <c r="J355" s="13" t="n">
        <v>0</v>
      </c>
      <c r="K355" s="10" t="s">
        <v>50</v>
      </c>
    </row>
    <row r="356" customFormat="false" ht="15" hidden="false" customHeight="false" outlineLevel="0" collapsed="false">
      <c r="A356" s="10"/>
      <c r="B356" s="10"/>
      <c r="C356" s="10"/>
      <c r="D356" s="10"/>
      <c r="E356" s="10" t="s">
        <v>112</v>
      </c>
      <c r="F356" s="10" t="s">
        <v>113</v>
      </c>
      <c r="G356" s="11"/>
      <c r="H356" s="11"/>
      <c r="I356" s="10" t="s">
        <v>114</v>
      </c>
      <c r="J356" s="13" t="n">
        <v>0</v>
      </c>
      <c r="K356" s="10" t="s">
        <v>50</v>
      </c>
    </row>
    <row r="357" customFormat="false" ht="15" hidden="false" customHeight="false" outlineLevel="0" collapsed="false">
      <c r="A357" s="10"/>
      <c r="B357" s="10"/>
      <c r="C357" s="10"/>
      <c r="D357" s="10"/>
      <c r="E357" s="10" t="s">
        <v>112</v>
      </c>
      <c r="F357" s="10" t="s">
        <v>113</v>
      </c>
      <c r="G357" s="11"/>
      <c r="H357" s="11"/>
      <c r="I357" s="10" t="s">
        <v>114</v>
      </c>
      <c r="J357" s="13" t="n">
        <v>0</v>
      </c>
      <c r="K357" s="10" t="s">
        <v>50</v>
      </c>
    </row>
    <row r="358" customFormat="false" ht="15" hidden="false" customHeight="false" outlineLevel="0" collapsed="false">
      <c r="A358" s="10"/>
      <c r="B358" s="10"/>
      <c r="C358" s="10"/>
      <c r="D358" s="10"/>
      <c r="E358" s="10" t="s">
        <v>112</v>
      </c>
      <c r="F358" s="10" t="s">
        <v>113</v>
      </c>
      <c r="G358" s="11"/>
      <c r="H358" s="11"/>
      <c r="I358" s="10" t="s">
        <v>114</v>
      </c>
      <c r="J358" s="13" t="n">
        <v>0</v>
      </c>
      <c r="K358" s="10" t="s">
        <v>50</v>
      </c>
    </row>
    <row r="359" customFormat="false" ht="15" hidden="false" customHeight="false" outlineLevel="0" collapsed="false">
      <c r="A359" s="10"/>
      <c r="B359" s="10"/>
      <c r="C359" s="10"/>
      <c r="D359" s="10"/>
      <c r="E359" s="10" t="s">
        <v>112</v>
      </c>
      <c r="F359" s="10" t="s">
        <v>113</v>
      </c>
      <c r="G359" s="11"/>
      <c r="H359" s="11"/>
      <c r="I359" s="10" t="s">
        <v>114</v>
      </c>
      <c r="J359" s="13" t="n">
        <v>0</v>
      </c>
      <c r="K359" s="10" t="s">
        <v>50</v>
      </c>
    </row>
    <row r="360" customFormat="false" ht="15" hidden="false" customHeight="false" outlineLevel="0" collapsed="false">
      <c r="A360" s="10"/>
      <c r="B360" s="10"/>
      <c r="C360" s="10"/>
      <c r="D360" s="10"/>
      <c r="E360" s="10" t="s">
        <v>112</v>
      </c>
      <c r="F360" s="10" t="s">
        <v>113</v>
      </c>
      <c r="G360" s="11"/>
      <c r="H360" s="11"/>
      <c r="I360" s="10" t="s">
        <v>114</v>
      </c>
      <c r="J360" s="13" t="n">
        <v>0</v>
      </c>
      <c r="K360" s="10" t="s">
        <v>50</v>
      </c>
    </row>
    <row r="361" customFormat="false" ht="15" hidden="false" customHeight="false" outlineLevel="0" collapsed="false">
      <c r="A361" s="10"/>
      <c r="B361" s="10"/>
      <c r="C361" s="10"/>
      <c r="D361" s="10"/>
      <c r="E361" s="10" t="s">
        <v>112</v>
      </c>
      <c r="F361" s="10" t="s">
        <v>113</v>
      </c>
      <c r="G361" s="11"/>
      <c r="H361" s="11"/>
      <c r="I361" s="10" t="s">
        <v>114</v>
      </c>
      <c r="J361" s="13" t="n">
        <v>0</v>
      </c>
      <c r="K361" s="10" t="s">
        <v>50</v>
      </c>
    </row>
    <row r="362" customFormat="false" ht="15" hidden="false" customHeight="false" outlineLevel="0" collapsed="false">
      <c r="A362" s="10"/>
      <c r="B362" s="10"/>
      <c r="C362" s="10"/>
      <c r="D362" s="10"/>
      <c r="E362" s="10" t="s">
        <v>112</v>
      </c>
      <c r="F362" s="10" t="s">
        <v>113</v>
      </c>
      <c r="G362" s="11"/>
      <c r="H362" s="11"/>
      <c r="I362" s="10" t="s">
        <v>114</v>
      </c>
      <c r="J362" s="13" t="n">
        <v>0</v>
      </c>
      <c r="K362" s="10" t="s">
        <v>50</v>
      </c>
    </row>
    <row r="363" customFormat="false" ht="15" hidden="false" customHeight="false" outlineLevel="0" collapsed="false">
      <c r="A363" s="10"/>
      <c r="B363" s="10"/>
      <c r="C363" s="10"/>
      <c r="D363" s="10"/>
      <c r="E363" s="10" t="s">
        <v>112</v>
      </c>
      <c r="F363" s="10" t="s">
        <v>113</v>
      </c>
      <c r="G363" s="11"/>
      <c r="H363" s="11"/>
      <c r="I363" s="10" t="s">
        <v>114</v>
      </c>
      <c r="J363" s="13" t="n">
        <v>0</v>
      </c>
      <c r="K363" s="10" t="s">
        <v>50</v>
      </c>
    </row>
    <row r="364" customFormat="false" ht="15" hidden="false" customHeight="false" outlineLevel="0" collapsed="false">
      <c r="A364" s="10"/>
      <c r="B364" s="10"/>
      <c r="C364" s="10"/>
      <c r="D364" s="10"/>
      <c r="E364" s="10" t="s">
        <v>112</v>
      </c>
      <c r="F364" s="10" t="s">
        <v>113</v>
      </c>
      <c r="G364" s="11"/>
      <c r="H364" s="11"/>
      <c r="I364" s="10" t="s">
        <v>114</v>
      </c>
      <c r="J364" s="13" t="n">
        <v>0</v>
      </c>
      <c r="K364" s="10" t="s">
        <v>50</v>
      </c>
    </row>
    <row r="365" customFormat="false" ht="15" hidden="false" customHeight="false" outlineLevel="0" collapsed="false">
      <c r="A365" s="10"/>
      <c r="B365" s="10"/>
      <c r="C365" s="10"/>
      <c r="D365" s="10"/>
      <c r="E365" s="10" t="s">
        <v>112</v>
      </c>
      <c r="F365" s="10" t="s">
        <v>113</v>
      </c>
      <c r="G365" s="11"/>
      <c r="H365" s="11"/>
      <c r="I365" s="10" t="s">
        <v>114</v>
      </c>
      <c r="J365" s="13" t="n">
        <v>0</v>
      </c>
      <c r="K365" s="10" t="s">
        <v>50</v>
      </c>
    </row>
    <row r="366" customFormat="false" ht="15" hidden="false" customHeight="false" outlineLevel="0" collapsed="false">
      <c r="A366" s="10"/>
      <c r="B366" s="10"/>
      <c r="C366" s="10"/>
      <c r="D366" s="10"/>
      <c r="E366" s="10" t="s">
        <v>112</v>
      </c>
      <c r="F366" s="10" t="s">
        <v>113</v>
      </c>
      <c r="G366" s="11"/>
      <c r="H366" s="11"/>
      <c r="I366" s="10" t="s">
        <v>114</v>
      </c>
      <c r="J366" s="13" t="n">
        <v>0</v>
      </c>
      <c r="K366" s="10" t="s">
        <v>50</v>
      </c>
    </row>
    <row r="367" customFormat="false" ht="15" hidden="false" customHeight="false" outlineLevel="0" collapsed="false">
      <c r="A367" s="10"/>
      <c r="B367" s="10"/>
      <c r="C367" s="10"/>
      <c r="D367" s="10"/>
      <c r="E367" s="10" t="s">
        <v>112</v>
      </c>
      <c r="F367" s="10" t="s">
        <v>113</v>
      </c>
      <c r="G367" s="11"/>
      <c r="H367" s="11"/>
      <c r="I367" s="10" t="s">
        <v>114</v>
      </c>
      <c r="J367" s="13" t="n">
        <v>0</v>
      </c>
      <c r="K367" s="10" t="s">
        <v>50</v>
      </c>
    </row>
    <row r="368" customFormat="false" ht="15" hidden="false" customHeight="false" outlineLevel="0" collapsed="false">
      <c r="A368" s="10"/>
      <c r="B368" s="10"/>
      <c r="C368" s="10"/>
      <c r="D368" s="10"/>
      <c r="E368" s="10" t="s">
        <v>112</v>
      </c>
      <c r="F368" s="10" t="s">
        <v>113</v>
      </c>
      <c r="G368" s="11"/>
      <c r="H368" s="11"/>
      <c r="I368" s="10" t="s">
        <v>114</v>
      </c>
      <c r="J368" s="13" t="n">
        <v>0</v>
      </c>
      <c r="K368" s="10" t="s">
        <v>50</v>
      </c>
    </row>
    <row r="369" customFormat="false" ht="15" hidden="false" customHeight="false" outlineLevel="0" collapsed="false">
      <c r="A369" s="10"/>
      <c r="B369" s="10"/>
      <c r="C369" s="10"/>
      <c r="D369" s="10"/>
      <c r="E369" s="10" t="s">
        <v>112</v>
      </c>
      <c r="F369" s="10" t="s">
        <v>113</v>
      </c>
      <c r="G369" s="11"/>
      <c r="H369" s="11"/>
      <c r="I369" s="10" t="s">
        <v>114</v>
      </c>
      <c r="J369" s="13" t="n">
        <v>0</v>
      </c>
      <c r="K369" s="10" t="s">
        <v>50</v>
      </c>
    </row>
    <row r="370" customFormat="false" ht="15" hidden="false" customHeight="false" outlineLevel="0" collapsed="false">
      <c r="A370" s="10"/>
      <c r="B370" s="10"/>
      <c r="C370" s="10"/>
      <c r="D370" s="10"/>
      <c r="E370" s="10" t="s">
        <v>112</v>
      </c>
      <c r="F370" s="10" t="s">
        <v>113</v>
      </c>
      <c r="G370" s="11"/>
      <c r="H370" s="11"/>
      <c r="I370" s="10" t="s">
        <v>114</v>
      </c>
      <c r="J370" s="13" t="n">
        <v>0</v>
      </c>
      <c r="K370" s="10" t="s">
        <v>50</v>
      </c>
    </row>
    <row r="371" customFormat="false" ht="15" hidden="false" customHeight="false" outlineLevel="0" collapsed="false">
      <c r="A371" s="10"/>
      <c r="B371" s="10"/>
      <c r="C371" s="10"/>
      <c r="D371" s="10"/>
      <c r="E371" s="10" t="s">
        <v>112</v>
      </c>
      <c r="F371" s="10" t="s">
        <v>113</v>
      </c>
      <c r="G371" s="11"/>
      <c r="H371" s="11"/>
      <c r="I371" s="10" t="s">
        <v>114</v>
      </c>
      <c r="J371" s="13" t="n">
        <v>0</v>
      </c>
      <c r="K371" s="10" t="s">
        <v>50</v>
      </c>
    </row>
    <row r="372" customFormat="false" ht="15" hidden="false" customHeight="false" outlineLevel="0" collapsed="false">
      <c r="A372" s="10"/>
      <c r="B372" s="10"/>
      <c r="C372" s="10"/>
      <c r="D372" s="10"/>
      <c r="E372" s="10" t="s">
        <v>112</v>
      </c>
      <c r="F372" s="10" t="s">
        <v>113</v>
      </c>
      <c r="G372" s="11"/>
      <c r="H372" s="11"/>
      <c r="I372" s="10" t="s">
        <v>114</v>
      </c>
      <c r="J372" s="13" t="n">
        <v>0</v>
      </c>
      <c r="K372" s="10" t="s">
        <v>50</v>
      </c>
    </row>
    <row r="373" customFormat="false" ht="15" hidden="false" customHeight="false" outlineLevel="0" collapsed="false">
      <c r="A373" s="10"/>
      <c r="B373" s="10"/>
      <c r="C373" s="10"/>
      <c r="D373" s="10"/>
      <c r="E373" s="10" t="s">
        <v>112</v>
      </c>
      <c r="F373" s="10" t="s">
        <v>113</v>
      </c>
      <c r="G373" s="11"/>
      <c r="H373" s="11"/>
      <c r="I373" s="10" t="s">
        <v>114</v>
      </c>
      <c r="J373" s="13" t="n">
        <v>0</v>
      </c>
      <c r="K373" s="10" t="s">
        <v>50</v>
      </c>
    </row>
    <row r="374" customFormat="false" ht="15" hidden="false" customHeight="false" outlineLevel="0" collapsed="false">
      <c r="A374" s="10"/>
      <c r="B374" s="10"/>
      <c r="C374" s="10"/>
      <c r="D374" s="10"/>
      <c r="E374" s="10" t="s">
        <v>112</v>
      </c>
      <c r="F374" s="10" t="s">
        <v>113</v>
      </c>
      <c r="G374" s="11"/>
      <c r="H374" s="11"/>
      <c r="I374" s="10" t="s">
        <v>114</v>
      </c>
      <c r="J374" s="13" t="n">
        <v>0</v>
      </c>
      <c r="K374" s="10" t="s">
        <v>50</v>
      </c>
    </row>
    <row r="375" customFormat="false" ht="15" hidden="false" customHeight="false" outlineLevel="0" collapsed="false">
      <c r="A375" s="10"/>
      <c r="B375" s="10"/>
      <c r="C375" s="10"/>
      <c r="D375" s="10"/>
      <c r="E375" s="10" t="s">
        <v>112</v>
      </c>
      <c r="F375" s="10" t="s">
        <v>113</v>
      </c>
      <c r="G375" s="11"/>
      <c r="H375" s="11"/>
      <c r="I375" s="10" t="s">
        <v>114</v>
      </c>
      <c r="J375" s="13" t="n">
        <v>0</v>
      </c>
      <c r="K375" s="10" t="s">
        <v>50</v>
      </c>
    </row>
    <row r="376" customFormat="false" ht="15" hidden="false" customHeight="false" outlineLevel="0" collapsed="false">
      <c r="A376" s="10"/>
      <c r="B376" s="10"/>
      <c r="C376" s="10"/>
      <c r="D376" s="10"/>
      <c r="E376" s="10" t="s">
        <v>112</v>
      </c>
      <c r="F376" s="10" t="s">
        <v>113</v>
      </c>
      <c r="G376" s="11"/>
      <c r="H376" s="11"/>
      <c r="I376" s="10" t="s">
        <v>114</v>
      </c>
      <c r="J376" s="13" t="n">
        <v>0</v>
      </c>
      <c r="K376" s="10" t="s">
        <v>50</v>
      </c>
    </row>
    <row r="377" customFormat="false" ht="15" hidden="false" customHeight="false" outlineLevel="0" collapsed="false">
      <c r="A377" s="10"/>
      <c r="B377" s="10"/>
      <c r="C377" s="10"/>
      <c r="D377" s="10"/>
      <c r="E377" s="10" t="s">
        <v>112</v>
      </c>
      <c r="F377" s="10" t="s">
        <v>113</v>
      </c>
      <c r="G377" s="11"/>
      <c r="H377" s="11"/>
      <c r="I377" s="10" t="s">
        <v>114</v>
      </c>
      <c r="J377" s="13" t="n">
        <v>0</v>
      </c>
      <c r="K377" s="10" t="s">
        <v>50</v>
      </c>
    </row>
    <row r="378" customFormat="false" ht="15" hidden="false" customHeight="false" outlineLevel="0" collapsed="false">
      <c r="A378" s="10"/>
      <c r="B378" s="10"/>
      <c r="C378" s="10"/>
      <c r="D378" s="10"/>
      <c r="E378" s="10" t="s">
        <v>112</v>
      </c>
      <c r="F378" s="10" t="s">
        <v>113</v>
      </c>
      <c r="G378" s="11"/>
      <c r="H378" s="11"/>
      <c r="I378" s="10" t="s">
        <v>114</v>
      </c>
      <c r="J378" s="13" t="n">
        <v>0</v>
      </c>
      <c r="K378" s="10" t="s">
        <v>50</v>
      </c>
    </row>
    <row r="379" customFormat="false" ht="15" hidden="false" customHeight="false" outlineLevel="0" collapsed="false">
      <c r="A379" s="10"/>
      <c r="B379" s="10"/>
      <c r="C379" s="10"/>
      <c r="D379" s="10"/>
      <c r="E379" s="10" t="s">
        <v>112</v>
      </c>
      <c r="F379" s="10" t="s">
        <v>113</v>
      </c>
      <c r="G379" s="11"/>
      <c r="H379" s="11"/>
      <c r="I379" s="10" t="s">
        <v>114</v>
      </c>
      <c r="J379" s="13" t="n">
        <v>0</v>
      </c>
      <c r="K379" s="10" t="s">
        <v>50</v>
      </c>
    </row>
    <row r="380" customFormat="false" ht="15" hidden="false" customHeight="false" outlineLevel="0" collapsed="false">
      <c r="A380" s="10"/>
      <c r="B380" s="10"/>
      <c r="C380" s="10"/>
      <c r="D380" s="10"/>
      <c r="E380" s="10" t="s">
        <v>112</v>
      </c>
      <c r="F380" s="10" t="s">
        <v>113</v>
      </c>
      <c r="G380" s="11"/>
      <c r="H380" s="11"/>
      <c r="I380" s="10" t="s">
        <v>114</v>
      </c>
      <c r="J380" s="13" t="n">
        <v>0</v>
      </c>
      <c r="K380" s="10" t="s">
        <v>50</v>
      </c>
    </row>
    <row r="381" customFormat="false" ht="15" hidden="false" customHeight="false" outlineLevel="0" collapsed="false">
      <c r="A381" s="10"/>
      <c r="B381" s="10"/>
      <c r="C381" s="10"/>
      <c r="D381" s="10"/>
      <c r="E381" s="10" t="s">
        <v>112</v>
      </c>
      <c r="F381" s="10" t="s">
        <v>113</v>
      </c>
      <c r="G381" s="11"/>
      <c r="H381" s="11"/>
      <c r="I381" s="10" t="s">
        <v>114</v>
      </c>
      <c r="J381" s="13" t="n">
        <v>0</v>
      </c>
      <c r="K381" s="10" t="s">
        <v>50</v>
      </c>
    </row>
    <row r="382" customFormat="false" ht="15" hidden="false" customHeight="false" outlineLevel="0" collapsed="false">
      <c r="A382" s="10"/>
      <c r="B382" s="10"/>
      <c r="C382" s="10"/>
      <c r="D382" s="10"/>
      <c r="E382" s="10" t="s">
        <v>112</v>
      </c>
      <c r="F382" s="10" t="s">
        <v>113</v>
      </c>
      <c r="G382" s="11"/>
      <c r="H382" s="11"/>
      <c r="I382" s="10" t="s">
        <v>114</v>
      </c>
      <c r="J382" s="13" t="n">
        <v>0</v>
      </c>
      <c r="K382" s="10" t="s">
        <v>50</v>
      </c>
    </row>
    <row r="383" customFormat="false" ht="15" hidden="false" customHeight="false" outlineLevel="0" collapsed="false">
      <c r="A383" s="10"/>
      <c r="B383" s="10"/>
      <c r="C383" s="10"/>
      <c r="D383" s="10"/>
      <c r="E383" s="10" t="s">
        <v>112</v>
      </c>
      <c r="F383" s="10" t="s">
        <v>113</v>
      </c>
      <c r="G383" s="11"/>
      <c r="H383" s="11"/>
      <c r="I383" s="10" t="s">
        <v>114</v>
      </c>
      <c r="J383" s="13" t="n">
        <v>0</v>
      </c>
      <c r="K383" s="10" t="s">
        <v>50</v>
      </c>
    </row>
    <row r="384" customFormat="false" ht="15" hidden="false" customHeight="false" outlineLevel="0" collapsed="false">
      <c r="A384" s="10"/>
      <c r="B384" s="10"/>
      <c r="C384" s="10"/>
      <c r="D384" s="10"/>
      <c r="E384" s="10" t="s">
        <v>112</v>
      </c>
      <c r="F384" s="10" t="s">
        <v>113</v>
      </c>
      <c r="G384" s="11"/>
      <c r="H384" s="11"/>
      <c r="I384" s="10" t="s">
        <v>114</v>
      </c>
      <c r="J384" s="13" t="n">
        <v>0</v>
      </c>
      <c r="K384" s="10" t="s">
        <v>50</v>
      </c>
    </row>
    <row r="385" customFormat="false" ht="15" hidden="false" customHeight="false" outlineLevel="0" collapsed="false">
      <c r="A385" s="10"/>
      <c r="B385" s="10"/>
      <c r="C385" s="10"/>
      <c r="D385" s="10"/>
      <c r="E385" s="10" t="s">
        <v>112</v>
      </c>
      <c r="F385" s="10" t="s">
        <v>113</v>
      </c>
      <c r="G385" s="11"/>
      <c r="H385" s="11"/>
      <c r="I385" s="10" t="s">
        <v>114</v>
      </c>
      <c r="J385" s="13" t="n">
        <v>0</v>
      </c>
      <c r="K385" s="10" t="s">
        <v>50</v>
      </c>
    </row>
    <row r="386" customFormat="false" ht="15" hidden="false" customHeight="false" outlineLevel="0" collapsed="false">
      <c r="A386" s="10"/>
      <c r="B386" s="10"/>
      <c r="C386" s="10"/>
      <c r="D386" s="10"/>
      <c r="E386" s="10" t="s">
        <v>112</v>
      </c>
      <c r="F386" s="10" t="s">
        <v>113</v>
      </c>
      <c r="G386" s="11"/>
      <c r="H386" s="11"/>
      <c r="I386" s="10" t="s">
        <v>114</v>
      </c>
      <c r="J386" s="13" t="n">
        <v>0</v>
      </c>
      <c r="K386" s="10" t="s">
        <v>50</v>
      </c>
    </row>
    <row r="387" customFormat="false" ht="15" hidden="false" customHeight="false" outlineLevel="0" collapsed="false">
      <c r="A387" s="10"/>
      <c r="B387" s="10"/>
      <c r="C387" s="10"/>
      <c r="D387" s="10"/>
      <c r="E387" s="10" t="s">
        <v>112</v>
      </c>
      <c r="F387" s="10" t="s">
        <v>113</v>
      </c>
      <c r="G387" s="11"/>
      <c r="H387" s="11"/>
      <c r="I387" s="10" t="s">
        <v>114</v>
      </c>
      <c r="J387" s="13" t="n">
        <v>0</v>
      </c>
      <c r="K387" s="10" t="s">
        <v>50</v>
      </c>
    </row>
    <row r="388" customFormat="false" ht="15" hidden="false" customHeight="false" outlineLevel="0" collapsed="false">
      <c r="A388" s="10"/>
      <c r="B388" s="10"/>
      <c r="C388" s="10"/>
      <c r="D388" s="10"/>
      <c r="E388" s="10" t="s">
        <v>112</v>
      </c>
      <c r="F388" s="10" t="s">
        <v>113</v>
      </c>
      <c r="G388" s="11"/>
      <c r="H388" s="11"/>
      <c r="I388" s="10" t="s">
        <v>114</v>
      </c>
      <c r="J388" s="13" t="n">
        <v>0</v>
      </c>
      <c r="K388" s="10" t="s">
        <v>50</v>
      </c>
    </row>
    <row r="389" customFormat="false" ht="15" hidden="false" customHeight="false" outlineLevel="0" collapsed="false">
      <c r="A389" s="10"/>
      <c r="B389" s="10"/>
      <c r="C389" s="10"/>
      <c r="D389" s="10"/>
      <c r="E389" s="10" t="s">
        <v>112</v>
      </c>
      <c r="F389" s="10" t="s">
        <v>113</v>
      </c>
      <c r="G389" s="11"/>
      <c r="H389" s="11"/>
      <c r="I389" s="10" t="s">
        <v>114</v>
      </c>
      <c r="J389" s="13" t="n">
        <v>0</v>
      </c>
      <c r="K389" s="10" t="s">
        <v>50</v>
      </c>
    </row>
    <row r="390" customFormat="false" ht="15" hidden="false" customHeight="false" outlineLevel="0" collapsed="false">
      <c r="A390" s="10"/>
      <c r="B390" s="10"/>
      <c r="C390" s="10"/>
      <c r="D390" s="10"/>
      <c r="E390" s="10" t="s">
        <v>112</v>
      </c>
      <c r="F390" s="10" t="s">
        <v>113</v>
      </c>
      <c r="G390" s="11"/>
      <c r="H390" s="11"/>
      <c r="I390" s="10" t="s">
        <v>114</v>
      </c>
      <c r="J390" s="13" t="n">
        <v>0</v>
      </c>
      <c r="K390" s="10" t="s">
        <v>50</v>
      </c>
    </row>
    <row r="391" customFormat="false" ht="15" hidden="false" customHeight="false" outlineLevel="0" collapsed="false">
      <c r="A391" s="10"/>
      <c r="B391" s="10"/>
      <c r="C391" s="10"/>
      <c r="D391" s="10"/>
      <c r="E391" s="10" t="s">
        <v>112</v>
      </c>
      <c r="F391" s="10" t="s">
        <v>113</v>
      </c>
      <c r="G391" s="11"/>
      <c r="H391" s="11"/>
      <c r="I391" s="10" t="s">
        <v>114</v>
      </c>
      <c r="J391" s="13" t="n">
        <v>0</v>
      </c>
      <c r="K391" s="10" t="s">
        <v>50</v>
      </c>
    </row>
    <row r="392" customFormat="false" ht="15" hidden="false" customHeight="false" outlineLevel="0" collapsed="false">
      <c r="A392" s="10"/>
      <c r="B392" s="10"/>
      <c r="C392" s="10"/>
      <c r="D392" s="10"/>
      <c r="E392" s="10" t="s">
        <v>112</v>
      </c>
      <c r="F392" s="10" t="s">
        <v>113</v>
      </c>
      <c r="G392" s="11"/>
      <c r="H392" s="11"/>
      <c r="I392" s="10" t="s">
        <v>114</v>
      </c>
      <c r="J392" s="13" t="n">
        <v>0</v>
      </c>
      <c r="K392" s="10" t="s">
        <v>50</v>
      </c>
    </row>
    <row r="393" customFormat="false" ht="15" hidden="false" customHeight="false" outlineLevel="0" collapsed="false">
      <c r="A393" s="10"/>
      <c r="B393" s="10"/>
      <c r="C393" s="10"/>
      <c r="D393" s="10"/>
      <c r="E393" s="10" t="s">
        <v>112</v>
      </c>
      <c r="F393" s="10" t="s">
        <v>113</v>
      </c>
      <c r="G393" s="11"/>
      <c r="H393" s="11"/>
      <c r="I393" s="10" t="s">
        <v>114</v>
      </c>
      <c r="J393" s="13" t="n">
        <v>0</v>
      </c>
      <c r="K393" s="10" t="s">
        <v>50</v>
      </c>
    </row>
    <row r="394" customFormat="false" ht="15" hidden="false" customHeight="false" outlineLevel="0" collapsed="false">
      <c r="A394" s="10"/>
      <c r="B394" s="10"/>
      <c r="C394" s="10"/>
      <c r="D394" s="10"/>
      <c r="E394" s="10" t="s">
        <v>112</v>
      </c>
      <c r="F394" s="10" t="s">
        <v>113</v>
      </c>
      <c r="G394" s="11"/>
      <c r="H394" s="11"/>
      <c r="I394" s="10" t="s">
        <v>114</v>
      </c>
      <c r="J394" s="13" t="n">
        <v>0</v>
      </c>
      <c r="K394" s="10" t="s">
        <v>50</v>
      </c>
    </row>
    <row r="395" customFormat="false" ht="15" hidden="false" customHeight="false" outlineLevel="0" collapsed="false">
      <c r="A395" s="10"/>
      <c r="B395" s="10"/>
      <c r="C395" s="10"/>
      <c r="D395" s="10"/>
      <c r="E395" s="10" t="s">
        <v>112</v>
      </c>
      <c r="F395" s="10" t="s">
        <v>113</v>
      </c>
      <c r="G395" s="11"/>
      <c r="H395" s="11"/>
      <c r="I395" s="10" t="s">
        <v>114</v>
      </c>
      <c r="J395" s="13" t="n">
        <v>0</v>
      </c>
      <c r="K395" s="10" t="s">
        <v>50</v>
      </c>
    </row>
    <row r="396" customFormat="false" ht="15" hidden="false" customHeight="false" outlineLevel="0" collapsed="false">
      <c r="A396" s="10"/>
      <c r="B396" s="10"/>
      <c r="C396" s="10"/>
      <c r="D396" s="10"/>
      <c r="E396" s="10" t="s">
        <v>112</v>
      </c>
      <c r="F396" s="10" t="s">
        <v>113</v>
      </c>
      <c r="G396" s="11"/>
      <c r="H396" s="11"/>
      <c r="I396" s="10" t="s">
        <v>114</v>
      </c>
      <c r="J396" s="13" t="n">
        <v>0</v>
      </c>
      <c r="K396" s="10" t="s">
        <v>50</v>
      </c>
    </row>
    <row r="397" customFormat="false" ht="15" hidden="false" customHeight="false" outlineLevel="0" collapsed="false">
      <c r="A397" s="10"/>
      <c r="B397" s="10"/>
      <c r="C397" s="10"/>
      <c r="D397" s="10"/>
      <c r="E397" s="10" t="s">
        <v>112</v>
      </c>
      <c r="F397" s="10" t="s">
        <v>113</v>
      </c>
      <c r="G397" s="11"/>
      <c r="H397" s="11"/>
      <c r="I397" s="10" t="s">
        <v>114</v>
      </c>
      <c r="J397" s="13" t="n">
        <v>0</v>
      </c>
      <c r="K397" s="10" t="s">
        <v>50</v>
      </c>
    </row>
    <row r="398" customFormat="false" ht="15" hidden="false" customHeight="false" outlineLevel="0" collapsed="false">
      <c r="A398" s="10"/>
      <c r="B398" s="10"/>
      <c r="C398" s="10"/>
      <c r="D398" s="10"/>
      <c r="E398" s="10" t="s">
        <v>112</v>
      </c>
      <c r="F398" s="10" t="s">
        <v>113</v>
      </c>
      <c r="G398" s="11"/>
      <c r="H398" s="11"/>
      <c r="I398" s="10" t="s">
        <v>114</v>
      </c>
      <c r="J398" s="13" t="n">
        <v>0</v>
      </c>
      <c r="K398" s="10" t="s">
        <v>50</v>
      </c>
    </row>
    <row r="399" customFormat="false" ht="15" hidden="false" customHeight="false" outlineLevel="0" collapsed="false">
      <c r="A399" s="10"/>
      <c r="B399" s="10"/>
      <c r="C399" s="10"/>
      <c r="D399" s="10"/>
      <c r="E399" s="10" t="s">
        <v>112</v>
      </c>
      <c r="F399" s="10" t="s">
        <v>113</v>
      </c>
      <c r="G399" s="11"/>
      <c r="H399" s="11"/>
      <c r="I399" s="10" t="s">
        <v>114</v>
      </c>
      <c r="J399" s="13" t="n">
        <v>0</v>
      </c>
      <c r="K399" s="10" t="s">
        <v>50</v>
      </c>
    </row>
    <row r="400" customFormat="false" ht="15" hidden="false" customHeight="false" outlineLevel="0" collapsed="false">
      <c r="A400" s="10"/>
      <c r="B400" s="10"/>
      <c r="C400" s="10"/>
      <c r="D400" s="10"/>
      <c r="E400" s="10" t="s">
        <v>112</v>
      </c>
      <c r="F400" s="10" t="s">
        <v>113</v>
      </c>
      <c r="G400" s="11"/>
      <c r="H400" s="11"/>
      <c r="I400" s="10" t="s">
        <v>114</v>
      </c>
      <c r="J400" s="13" t="n">
        <v>0</v>
      </c>
      <c r="K400" s="10" t="s">
        <v>50</v>
      </c>
    </row>
    <row r="401" customFormat="false" ht="15" hidden="false" customHeight="false" outlineLevel="0" collapsed="false">
      <c r="A401" s="10"/>
      <c r="B401" s="10"/>
      <c r="C401" s="10"/>
      <c r="D401" s="10"/>
      <c r="E401" s="10" t="s">
        <v>112</v>
      </c>
      <c r="F401" s="10" t="s">
        <v>113</v>
      </c>
      <c r="G401" s="11"/>
      <c r="H401" s="11"/>
      <c r="I401" s="10" t="s">
        <v>114</v>
      </c>
      <c r="J401" s="13" t="n">
        <v>0</v>
      </c>
      <c r="K401" s="10" t="s">
        <v>50</v>
      </c>
    </row>
    <row r="402" customFormat="false" ht="15" hidden="false" customHeight="false" outlineLevel="0" collapsed="false">
      <c r="A402" s="10"/>
      <c r="B402" s="10"/>
      <c r="C402" s="10"/>
      <c r="D402" s="10"/>
      <c r="E402" s="10" t="s">
        <v>112</v>
      </c>
      <c r="F402" s="10" t="s">
        <v>113</v>
      </c>
      <c r="G402" s="11"/>
      <c r="H402" s="11"/>
      <c r="I402" s="10" t="s">
        <v>114</v>
      </c>
      <c r="J402" s="13" t="n">
        <v>0</v>
      </c>
      <c r="K402" s="10" t="s">
        <v>50</v>
      </c>
    </row>
    <row r="403" customFormat="false" ht="15" hidden="false" customHeight="false" outlineLevel="0" collapsed="false">
      <c r="A403" s="10"/>
      <c r="B403" s="10"/>
      <c r="C403" s="10"/>
      <c r="D403" s="10"/>
      <c r="E403" s="10" t="s">
        <v>112</v>
      </c>
      <c r="F403" s="10" t="s">
        <v>113</v>
      </c>
      <c r="G403" s="11"/>
      <c r="H403" s="11"/>
      <c r="I403" s="10" t="s">
        <v>114</v>
      </c>
      <c r="J403" s="13" t="n">
        <v>0</v>
      </c>
      <c r="K403" s="10" t="s">
        <v>50</v>
      </c>
    </row>
    <row r="404" customFormat="false" ht="15" hidden="false" customHeight="false" outlineLevel="0" collapsed="false">
      <c r="A404" s="10"/>
      <c r="B404" s="10"/>
      <c r="C404" s="10"/>
      <c r="D404" s="10"/>
      <c r="E404" s="10" t="s">
        <v>112</v>
      </c>
      <c r="F404" s="10" t="s">
        <v>113</v>
      </c>
      <c r="G404" s="11"/>
      <c r="H404" s="11"/>
      <c r="I404" s="10" t="s">
        <v>114</v>
      </c>
      <c r="J404" s="13" t="n">
        <v>0</v>
      </c>
      <c r="K404" s="10" t="s">
        <v>50</v>
      </c>
    </row>
    <row r="405" customFormat="false" ht="15" hidden="false" customHeight="false" outlineLevel="0" collapsed="false">
      <c r="A405" s="10"/>
      <c r="B405" s="10"/>
      <c r="C405" s="10"/>
      <c r="D405" s="10"/>
      <c r="E405" s="10" t="s">
        <v>112</v>
      </c>
      <c r="F405" s="10" t="s">
        <v>113</v>
      </c>
      <c r="G405" s="11"/>
      <c r="H405" s="11"/>
      <c r="I405" s="10" t="s">
        <v>114</v>
      </c>
      <c r="J405" s="13" t="n">
        <v>0</v>
      </c>
      <c r="K405" s="10" t="s">
        <v>50</v>
      </c>
    </row>
    <row r="406" customFormat="false" ht="15" hidden="false" customHeight="false" outlineLevel="0" collapsed="false">
      <c r="A406" s="10"/>
      <c r="B406" s="10"/>
      <c r="C406" s="10"/>
      <c r="D406" s="10"/>
      <c r="E406" s="10" t="s">
        <v>112</v>
      </c>
      <c r="F406" s="10" t="s">
        <v>113</v>
      </c>
      <c r="G406" s="11"/>
      <c r="H406" s="11"/>
      <c r="I406" s="10" t="s">
        <v>114</v>
      </c>
      <c r="J406" s="13" t="n">
        <v>0</v>
      </c>
      <c r="K406" s="10" t="s">
        <v>50</v>
      </c>
    </row>
    <row r="407" customFormat="false" ht="15" hidden="false" customHeight="false" outlineLevel="0" collapsed="false">
      <c r="A407" s="10"/>
      <c r="B407" s="10"/>
      <c r="C407" s="10"/>
      <c r="D407" s="10"/>
      <c r="E407" s="10" t="s">
        <v>112</v>
      </c>
      <c r="F407" s="10" t="s">
        <v>113</v>
      </c>
      <c r="G407" s="11"/>
      <c r="H407" s="11"/>
      <c r="I407" s="10" t="s">
        <v>114</v>
      </c>
      <c r="J407" s="13" t="n">
        <v>0</v>
      </c>
      <c r="K407" s="10" t="s">
        <v>50</v>
      </c>
    </row>
    <row r="408" customFormat="false" ht="15" hidden="false" customHeight="false" outlineLevel="0" collapsed="false">
      <c r="A408" s="10"/>
      <c r="B408" s="10"/>
      <c r="C408" s="10"/>
      <c r="D408" s="10"/>
      <c r="E408" s="10" t="s">
        <v>112</v>
      </c>
      <c r="F408" s="10" t="s">
        <v>113</v>
      </c>
      <c r="G408" s="11"/>
      <c r="H408" s="11"/>
      <c r="I408" s="10" t="s">
        <v>114</v>
      </c>
      <c r="J408" s="13" t="n">
        <v>0</v>
      </c>
      <c r="K408" s="10" t="s">
        <v>50</v>
      </c>
    </row>
    <row r="409" customFormat="false" ht="15" hidden="false" customHeight="false" outlineLevel="0" collapsed="false">
      <c r="A409" s="10"/>
      <c r="B409" s="10"/>
      <c r="C409" s="10"/>
      <c r="D409" s="10"/>
      <c r="E409" s="10" t="s">
        <v>112</v>
      </c>
      <c r="F409" s="10" t="s">
        <v>113</v>
      </c>
      <c r="G409" s="11"/>
      <c r="H409" s="11"/>
      <c r="I409" s="10" t="s">
        <v>114</v>
      </c>
      <c r="J409" s="13" t="n">
        <v>0</v>
      </c>
      <c r="K409" s="10" t="s">
        <v>50</v>
      </c>
    </row>
    <row r="410" customFormat="false" ht="15" hidden="false" customHeight="false" outlineLevel="0" collapsed="false">
      <c r="A410" s="10"/>
      <c r="B410" s="10"/>
      <c r="C410" s="10"/>
      <c r="D410" s="10"/>
      <c r="E410" s="10" t="s">
        <v>112</v>
      </c>
      <c r="F410" s="10" t="s">
        <v>113</v>
      </c>
      <c r="G410" s="11"/>
      <c r="H410" s="11"/>
      <c r="I410" s="10" t="s">
        <v>114</v>
      </c>
      <c r="J410" s="13" t="n">
        <v>0</v>
      </c>
      <c r="K410" s="10" t="s">
        <v>50</v>
      </c>
    </row>
    <row r="411" customFormat="false" ht="15" hidden="false" customHeight="false" outlineLevel="0" collapsed="false">
      <c r="A411" s="10"/>
      <c r="B411" s="10"/>
      <c r="C411" s="10"/>
      <c r="D411" s="10"/>
      <c r="E411" s="10" t="s">
        <v>112</v>
      </c>
      <c r="F411" s="10" t="s">
        <v>113</v>
      </c>
      <c r="G411" s="11"/>
      <c r="H411" s="11"/>
      <c r="I411" s="10" t="s">
        <v>114</v>
      </c>
      <c r="J411" s="13" t="n">
        <v>0</v>
      </c>
      <c r="K411" s="10" t="s">
        <v>50</v>
      </c>
    </row>
    <row r="412" customFormat="false" ht="15" hidden="false" customHeight="false" outlineLevel="0" collapsed="false">
      <c r="A412" s="10"/>
      <c r="B412" s="10"/>
      <c r="C412" s="10"/>
      <c r="D412" s="10"/>
      <c r="E412" s="10" t="s">
        <v>112</v>
      </c>
      <c r="F412" s="10" t="s">
        <v>113</v>
      </c>
      <c r="G412" s="11"/>
      <c r="H412" s="11"/>
      <c r="I412" s="10" t="s">
        <v>114</v>
      </c>
      <c r="J412" s="13" t="n">
        <v>0</v>
      </c>
      <c r="K412" s="10" t="s">
        <v>50</v>
      </c>
    </row>
    <row r="413" customFormat="false" ht="15" hidden="false" customHeight="false" outlineLevel="0" collapsed="false">
      <c r="A413" s="10"/>
      <c r="B413" s="10"/>
      <c r="C413" s="10"/>
      <c r="D413" s="10"/>
      <c r="E413" s="10" t="s">
        <v>112</v>
      </c>
      <c r="F413" s="10" t="s">
        <v>113</v>
      </c>
      <c r="G413" s="11"/>
      <c r="H413" s="11"/>
      <c r="I413" s="10" t="s">
        <v>114</v>
      </c>
      <c r="J413" s="13" t="n">
        <v>0</v>
      </c>
      <c r="K413" s="10" t="s">
        <v>50</v>
      </c>
    </row>
    <row r="414" customFormat="false" ht="15" hidden="false" customHeight="false" outlineLevel="0" collapsed="false">
      <c r="A414" s="10"/>
      <c r="B414" s="10"/>
      <c r="C414" s="10"/>
      <c r="D414" s="10"/>
      <c r="E414" s="10" t="s">
        <v>112</v>
      </c>
      <c r="F414" s="10" t="s">
        <v>113</v>
      </c>
      <c r="G414" s="11"/>
      <c r="H414" s="11"/>
      <c r="I414" s="10" t="s">
        <v>114</v>
      </c>
      <c r="J414" s="13" t="n">
        <v>0</v>
      </c>
      <c r="K414" s="10" t="s">
        <v>50</v>
      </c>
    </row>
    <row r="415" customFormat="false" ht="15" hidden="false" customHeight="false" outlineLevel="0" collapsed="false">
      <c r="A415" s="10"/>
      <c r="B415" s="10"/>
      <c r="C415" s="10"/>
      <c r="D415" s="10"/>
      <c r="E415" s="10" t="s">
        <v>112</v>
      </c>
      <c r="F415" s="10" t="s">
        <v>113</v>
      </c>
      <c r="G415" s="11"/>
      <c r="H415" s="11"/>
      <c r="I415" s="10" t="s">
        <v>114</v>
      </c>
      <c r="J415" s="13" t="n">
        <v>0</v>
      </c>
      <c r="K415" s="10" t="s">
        <v>50</v>
      </c>
    </row>
    <row r="416" customFormat="false" ht="15" hidden="false" customHeight="false" outlineLevel="0" collapsed="false">
      <c r="A416" s="10"/>
      <c r="B416" s="10"/>
      <c r="C416" s="10"/>
      <c r="D416" s="10"/>
      <c r="E416" s="10" t="s">
        <v>112</v>
      </c>
      <c r="F416" s="10" t="s">
        <v>113</v>
      </c>
      <c r="G416" s="11"/>
      <c r="H416" s="11"/>
      <c r="I416" s="10" t="s">
        <v>114</v>
      </c>
      <c r="J416" s="13" t="n">
        <v>0</v>
      </c>
      <c r="K416" s="10" t="s">
        <v>50</v>
      </c>
    </row>
    <row r="417" customFormat="false" ht="15" hidden="false" customHeight="false" outlineLevel="0" collapsed="false">
      <c r="A417" s="10"/>
      <c r="B417" s="10"/>
      <c r="C417" s="10"/>
      <c r="D417" s="10"/>
      <c r="E417" s="10" t="s">
        <v>112</v>
      </c>
      <c r="F417" s="10" t="s">
        <v>113</v>
      </c>
      <c r="G417" s="11"/>
      <c r="H417" s="11"/>
      <c r="I417" s="10" t="s">
        <v>114</v>
      </c>
      <c r="J417" s="13" t="n">
        <v>0</v>
      </c>
      <c r="K417" s="10" t="s">
        <v>50</v>
      </c>
    </row>
    <row r="418" customFormat="false" ht="15" hidden="false" customHeight="false" outlineLevel="0" collapsed="false">
      <c r="A418" s="10"/>
      <c r="B418" s="10"/>
      <c r="C418" s="10"/>
      <c r="D418" s="10"/>
      <c r="E418" s="10" t="s">
        <v>112</v>
      </c>
      <c r="F418" s="10" t="s">
        <v>113</v>
      </c>
      <c r="G418" s="11"/>
      <c r="H418" s="11"/>
      <c r="I418" s="10" t="s">
        <v>114</v>
      </c>
      <c r="J418" s="13" t="n">
        <v>0</v>
      </c>
      <c r="K418" s="10" t="s">
        <v>50</v>
      </c>
    </row>
    <row r="419" customFormat="false" ht="15" hidden="false" customHeight="false" outlineLevel="0" collapsed="false">
      <c r="A419" s="10"/>
      <c r="B419" s="10"/>
      <c r="C419" s="10"/>
      <c r="D419" s="10"/>
      <c r="E419" s="10" t="s">
        <v>112</v>
      </c>
      <c r="F419" s="10" t="s">
        <v>113</v>
      </c>
      <c r="G419" s="11"/>
      <c r="H419" s="11"/>
      <c r="I419" s="10" t="s">
        <v>114</v>
      </c>
      <c r="J419" s="13" t="n">
        <v>0</v>
      </c>
      <c r="K419" s="10" t="s">
        <v>50</v>
      </c>
    </row>
    <row r="420" customFormat="false" ht="15" hidden="false" customHeight="false" outlineLevel="0" collapsed="false">
      <c r="A420" s="10"/>
      <c r="B420" s="10"/>
      <c r="C420" s="10"/>
      <c r="D420" s="10"/>
      <c r="E420" s="10" t="s">
        <v>112</v>
      </c>
      <c r="F420" s="10" t="s">
        <v>113</v>
      </c>
      <c r="G420" s="11"/>
      <c r="H420" s="11"/>
      <c r="I420" s="10" t="s">
        <v>114</v>
      </c>
      <c r="J420" s="13" t="n">
        <v>0</v>
      </c>
      <c r="K420" s="10" t="s">
        <v>50</v>
      </c>
    </row>
    <row r="421" customFormat="false" ht="15" hidden="false" customHeight="false" outlineLevel="0" collapsed="false">
      <c r="A421" s="10"/>
      <c r="B421" s="10"/>
      <c r="C421" s="10"/>
      <c r="D421" s="10"/>
      <c r="E421" s="10" t="s">
        <v>112</v>
      </c>
      <c r="F421" s="10" t="s">
        <v>113</v>
      </c>
      <c r="G421" s="11"/>
      <c r="H421" s="11"/>
      <c r="I421" s="10" t="s">
        <v>114</v>
      </c>
      <c r="J421" s="13" t="n">
        <v>0</v>
      </c>
      <c r="K421" s="10" t="s">
        <v>50</v>
      </c>
    </row>
    <row r="422" customFormat="false" ht="15" hidden="false" customHeight="false" outlineLevel="0" collapsed="false">
      <c r="A422" s="10"/>
      <c r="B422" s="10"/>
      <c r="C422" s="10"/>
      <c r="D422" s="10"/>
      <c r="E422" s="10" t="s">
        <v>112</v>
      </c>
      <c r="F422" s="10" t="s">
        <v>113</v>
      </c>
      <c r="G422" s="11"/>
      <c r="H422" s="11"/>
      <c r="I422" s="10" t="s">
        <v>114</v>
      </c>
      <c r="J422" s="13" t="n">
        <v>0</v>
      </c>
      <c r="K422" s="10" t="s">
        <v>50</v>
      </c>
    </row>
    <row r="423" customFormat="false" ht="15" hidden="false" customHeight="false" outlineLevel="0" collapsed="false">
      <c r="A423" s="10"/>
      <c r="B423" s="10"/>
      <c r="C423" s="10"/>
      <c r="D423" s="10"/>
      <c r="E423" s="10" t="s">
        <v>112</v>
      </c>
      <c r="F423" s="10" t="s">
        <v>113</v>
      </c>
      <c r="G423" s="11"/>
      <c r="H423" s="11"/>
      <c r="I423" s="10" t="s">
        <v>114</v>
      </c>
      <c r="J423" s="13" t="n">
        <v>0</v>
      </c>
      <c r="K423" s="10" t="s">
        <v>50</v>
      </c>
    </row>
    <row r="424" customFormat="false" ht="15" hidden="false" customHeight="false" outlineLevel="0" collapsed="false">
      <c r="A424" s="10"/>
      <c r="B424" s="10"/>
      <c r="C424" s="10"/>
      <c r="D424" s="10"/>
      <c r="E424" s="10" t="s">
        <v>112</v>
      </c>
      <c r="F424" s="10" t="s">
        <v>113</v>
      </c>
      <c r="G424" s="11"/>
      <c r="H424" s="11"/>
      <c r="I424" s="10" t="s">
        <v>114</v>
      </c>
      <c r="J424" s="13" t="n">
        <v>0</v>
      </c>
      <c r="K424" s="10" t="s">
        <v>50</v>
      </c>
    </row>
    <row r="425" customFormat="false" ht="15" hidden="false" customHeight="false" outlineLevel="0" collapsed="false">
      <c r="A425" s="10"/>
      <c r="B425" s="10"/>
      <c r="C425" s="10"/>
      <c r="D425" s="10"/>
      <c r="E425" s="10" t="s">
        <v>112</v>
      </c>
      <c r="F425" s="10" t="s">
        <v>113</v>
      </c>
      <c r="G425" s="11"/>
      <c r="H425" s="11"/>
      <c r="I425" s="10" t="s">
        <v>114</v>
      </c>
      <c r="J425" s="13" t="n">
        <v>0</v>
      </c>
      <c r="K425" s="10" t="s">
        <v>50</v>
      </c>
    </row>
    <row r="426" customFormat="false" ht="15" hidden="false" customHeight="false" outlineLevel="0" collapsed="false">
      <c r="A426" s="10"/>
      <c r="B426" s="10"/>
      <c r="C426" s="10"/>
      <c r="D426" s="10"/>
      <c r="E426" s="10" t="s">
        <v>112</v>
      </c>
      <c r="F426" s="10" t="s">
        <v>113</v>
      </c>
      <c r="G426" s="11"/>
      <c r="H426" s="11"/>
      <c r="I426" s="10" t="s">
        <v>114</v>
      </c>
      <c r="J426" s="13" t="n">
        <v>0</v>
      </c>
      <c r="K426" s="10" t="s">
        <v>50</v>
      </c>
    </row>
    <row r="427" customFormat="false" ht="15" hidden="false" customHeight="false" outlineLevel="0" collapsed="false">
      <c r="A427" s="10"/>
      <c r="B427" s="10"/>
      <c r="C427" s="10"/>
      <c r="D427" s="10"/>
      <c r="E427" s="10" t="s">
        <v>112</v>
      </c>
      <c r="F427" s="10" t="s">
        <v>113</v>
      </c>
      <c r="G427" s="11"/>
      <c r="H427" s="11"/>
      <c r="I427" s="10" t="s">
        <v>114</v>
      </c>
      <c r="J427" s="13" t="n">
        <v>0</v>
      </c>
      <c r="K427" s="10" t="s">
        <v>50</v>
      </c>
    </row>
    <row r="428" customFormat="false" ht="15" hidden="false" customHeight="false" outlineLevel="0" collapsed="false">
      <c r="A428" s="10"/>
      <c r="B428" s="10"/>
      <c r="C428" s="10"/>
      <c r="D428" s="10"/>
      <c r="E428" s="10" t="s">
        <v>112</v>
      </c>
      <c r="F428" s="10" t="s">
        <v>113</v>
      </c>
      <c r="G428" s="11"/>
      <c r="H428" s="11"/>
      <c r="I428" s="10" t="s">
        <v>114</v>
      </c>
      <c r="J428" s="13" t="n">
        <v>0</v>
      </c>
      <c r="K428" s="10" t="s">
        <v>50</v>
      </c>
    </row>
    <row r="429" customFormat="false" ht="15" hidden="false" customHeight="false" outlineLevel="0" collapsed="false">
      <c r="A429" s="10"/>
      <c r="B429" s="10"/>
      <c r="C429" s="10"/>
      <c r="D429" s="10"/>
      <c r="E429" s="10" t="s">
        <v>112</v>
      </c>
      <c r="F429" s="10" t="s">
        <v>113</v>
      </c>
      <c r="G429" s="11"/>
      <c r="H429" s="11"/>
      <c r="I429" s="10" t="s">
        <v>114</v>
      </c>
      <c r="J429" s="13" t="n">
        <v>0</v>
      </c>
      <c r="K429" s="10" t="s">
        <v>50</v>
      </c>
    </row>
    <row r="430" customFormat="false" ht="15" hidden="false" customHeight="false" outlineLevel="0" collapsed="false">
      <c r="A430" s="10"/>
      <c r="B430" s="10"/>
      <c r="C430" s="10"/>
      <c r="D430" s="10"/>
      <c r="E430" s="10" t="s">
        <v>112</v>
      </c>
      <c r="F430" s="10" t="s">
        <v>113</v>
      </c>
      <c r="G430" s="11"/>
      <c r="H430" s="11"/>
      <c r="I430" s="10" t="s">
        <v>114</v>
      </c>
      <c r="J430" s="13" t="n">
        <v>0</v>
      </c>
      <c r="K430" s="10" t="s">
        <v>50</v>
      </c>
    </row>
    <row r="431" customFormat="false" ht="15" hidden="false" customHeight="false" outlineLevel="0" collapsed="false">
      <c r="A431" s="10"/>
      <c r="B431" s="10"/>
      <c r="C431" s="10"/>
      <c r="D431" s="10"/>
      <c r="E431" s="10" t="s">
        <v>112</v>
      </c>
      <c r="F431" s="10" t="s">
        <v>113</v>
      </c>
      <c r="G431" s="11"/>
      <c r="H431" s="11"/>
      <c r="I431" s="10" t="s">
        <v>114</v>
      </c>
      <c r="J431" s="13" t="n">
        <v>0</v>
      </c>
      <c r="K431" s="10" t="s">
        <v>50</v>
      </c>
    </row>
    <row r="432" customFormat="false" ht="15" hidden="false" customHeight="false" outlineLevel="0" collapsed="false">
      <c r="A432" s="10"/>
      <c r="B432" s="10"/>
      <c r="C432" s="10"/>
      <c r="D432" s="10"/>
      <c r="E432" s="10" t="s">
        <v>112</v>
      </c>
      <c r="F432" s="10" t="s">
        <v>113</v>
      </c>
      <c r="G432" s="11"/>
      <c r="H432" s="11"/>
      <c r="I432" s="10" t="s">
        <v>114</v>
      </c>
      <c r="J432" s="13" t="n">
        <v>0</v>
      </c>
      <c r="K432" s="10" t="s">
        <v>50</v>
      </c>
    </row>
    <row r="433" customFormat="false" ht="15" hidden="false" customHeight="false" outlineLevel="0" collapsed="false">
      <c r="A433" s="10"/>
      <c r="B433" s="10"/>
      <c r="C433" s="10"/>
      <c r="D433" s="10"/>
      <c r="E433" s="10" t="s">
        <v>112</v>
      </c>
      <c r="F433" s="10" t="s">
        <v>113</v>
      </c>
      <c r="G433" s="11"/>
      <c r="H433" s="11"/>
      <c r="I433" s="10" t="s">
        <v>114</v>
      </c>
      <c r="J433" s="13" t="n">
        <v>0</v>
      </c>
      <c r="K433" s="10" t="s">
        <v>50</v>
      </c>
    </row>
    <row r="434" customFormat="false" ht="15" hidden="false" customHeight="false" outlineLevel="0" collapsed="false">
      <c r="A434" s="10"/>
      <c r="B434" s="10"/>
      <c r="C434" s="10"/>
      <c r="D434" s="10"/>
      <c r="E434" s="10" t="s">
        <v>112</v>
      </c>
      <c r="F434" s="10" t="s">
        <v>113</v>
      </c>
      <c r="G434" s="11"/>
      <c r="H434" s="11"/>
      <c r="I434" s="10" t="s">
        <v>114</v>
      </c>
      <c r="J434" s="13" t="n">
        <v>0</v>
      </c>
      <c r="K434" s="10" t="s">
        <v>50</v>
      </c>
    </row>
    <row r="435" customFormat="false" ht="15" hidden="false" customHeight="false" outlineLevel="0" collapsed="false">
      <c r="A435" s="10"/>
      <c r="B435" s="10"/>
      <c r="C435" s="10"/>
      <c r="D435" s="10"/>
      <c r="E435" s="10" t="s">
        <v>112</v>
      </c>
      <c r="F435" s="10" t="s">
        <v>113</v>
      </c>
      <c r="G435" s="11"/>
      <c r="H435" s="11"/>
      <c r="I435" s="10" t="s">
        <v>114</v>
      </c>
      <c r="J435" s="13" t="n">
        <v>0</v>
      </c>
      <c r="K435" s="10" t="s">
        <v>50</v>
      </c>
    </row>
    <row r="436" customFormat="false" ht="15" hidden="false" customHeight="false" outlineLevel="0" collapsed="false">
      <c r="A436" s="10"/>
      <c r="B436" s="10"/>
      <c r="C436" s="10"/>
      <c r="D436" s="10"/>
      <c r="E436" s="10" t="s">
        <v>112</v>
      </c>
      <c r="F436" s="10" t="s">
        <v>113</v>
      </c>
      <c r="G436" s="11"/>
      <c r="H436" s="11"/>
      <c r="I436" s="10" t="s">
        <v>114</v>
      </c>
      <c r="J436" s="13" t="n">
        <v>0</v>
      </c>
      <c r="K436" s="10" t="s">
        <v>50</v>
      </c>
    </row>
    <row r="437" customFormat="false" ht="15" hidden="false" customHeight="false" outlineLevel="0" collapsed="false">
      <c r="A437" s="10"/>
      <c r="B437" s="10"/>
      <c r="C437" s="10"/>
      <c r="D437" s="10"/>
      <c r="E437" s="10" t="s">
        <v>112</v>
      </c>
      <c r="F437" s="10" t="s">
        <v>113</v>
      </c>
      <c r="G437" s="11"/>
      <c r="H437" s="11"/>
      <c r="I437" s="10" t="s">
        <v>114</v>
      </c>
      <c r="J437" s="13" t="n">
        <v>0</v>
      </c>
      <c r="K437" s="10" t="s">
        <v>50</v>
      </c>
    </row>
    <row r="438" customFormat="false" ht="15" hidden="false" customHeight="false" outlineLevel="0" collapsed="false">
      <c r="A438" s="10"/>
      <c r="B438" s="10"/>
      <c r="C438" s="10"/>
      <c r="D438" s="10"/>
      <c r="E438" s="10" t="s">
        <v>112</v>
      </c>
      <c r="F438" s="10" t="s">
        <v>113</v>
      </c>
      <c r="G438" s="11"/>
      <c r="H438" s="11"/>
      <c r="I438" s="10" t="s">
        <v>114</v>
      </c>
      <c r="J438" s="13" t="n">
        <v>0</v>
      </c>
      <c r="K438" s="10" t="s">
        <v>50</v>
      </c>
    </row>
    <row r="439" customFormat="false" ht="15" hidden="false" customHeight="false" outlineLevel="0" collapsed="false">
      <c r="A439" s="10"/>
      <c r="B439" s="10"/>
      <c r="C439" s="10"/>
      <c r="D439" s="10"/>
      <c r="E439" s="10" t="s">
        <v>112</v>
      </c>
      <c r="F439" s="10" t="s">
        <v>113</v>
      </c>
      <c r="G439" s="11"/>
      <c r="H439" s="11"/>
      <c r="I439" s="10" t="s">
        <v>114</v>
      </c>
      <c r="J439" s="13" t="n">
        <v>0</v>
      </c>
      <c r="K439" s="10" t="s">
        <v>50</v>
      </c>
    </row>
    <row r="440" customFormat="false" ht="15" hidden="false" customHeight="false" outlineLevel="0" collapsed="false">
      <c r="A440" s="10"/>
      <c r="B440" s="10"/>
      <c r="C440" s="10"/>
      <c r="D440" s="10"/>
      <c r="E440" s="10" t="s">
        <v>112</v>
      </c>
      <c r="F440" s="10" t="s">
        <v>113</v>
      </c>
      <c r="G440" s="11"/>
      <c r="H440" s="11"/>
      <c r="I440" s="10" t="s">
        <v>114</v>
      </c>
      <c r="J440" s="13" t="n">
        <v>0</v>
      </c>
      <c r="K440" s="10" t="s">
        <v>50</v>
      </c>
    </row>
    <row r="441" customFormat="false" ht="15" hidden="false" customHeight="false" outlineLevel="0" collapsed="false">
      <c r="A441" s="10"/>
      <c r="B441" s="10"/>
      <c r="C441" s="10"/>
      <c r="D441" s="10"/>
      <c r="E441" s="10" t="s">
        <v>112</v>
      </c>
      <c r="F441" s="10" t="s">
        <v>113</v>
      </c>
      <c r="G441" s="11"/>
      <c r="H441" s="11"/>
      <c r="I441" s="10" t="s">
        <v>114</v>
      </c>
      <c r="J441" s="13" t="n">
        <v>0</v>
      </c>
      <c r="K441" s="10" t="s">
        <v>50</v>
      </c>
    </row>
    <row r="442" customFormat="false" ht="15" hidden="false" customHeight="false" outlineLevel="0" collapsed="false">
      <c r="A442" s="10"/>
      <c r="B442" s="10"/>
      <c r="C442" s="10"/>
      <c r="D442" s="10"/>
      <c r="E442" s="10" t="s">
        <v>112</v>
      </c>
      <c r="F442" s="10" t="s">
        <v>113</v>
      </c>
      <c r="G442" s="11"/>
      <c r="H442" s="11"/>
      <c r="I442" s="10" t="s">
        <v>114</v>
      </c>
      <c r="J442" s="13" t="n">
        <v>0</v>
      </c>
      <c r="K442" s="10" t="s">
        <v>50</v>
      </c>
    </row>
    <row r="443" customFormat="false" ht="15" hidden="false" customHeight="false" outlineLevel="0" collapsed="false">
      <c r="A443" s="10"/>
      <c r="B443" s="10"/>
      <c r="C443" s="10"/>
      <c r="D443" s="10"/>
      <c r="E443" s="10" t="s">
        <v>112</v>
      </c>
      <c r="F443" s="10" t="s">
        <v>113</v>
      </c>
      <c r="G443" s="11"/>
      <c r="H443" s="11"/>
      <c r="I443" s="10" t="s">
        <v>114</v>
      </c>
      <c r="J443" s="13" t="n">
        <v>0</v>
      </c>
      <c r="K443" s="10" t="s">
        <v>50</v>
      </c>
    </row>
    <row r="444" customFormat="false" ht="15" hidden="false" customHeight="false" outlineLevel="0" collapsed="false">
      <c r="A444" s="10"/>
      <c r="B444" s="10"/>
      <c r="C444" s="10"/>
      <c r="D444" s="10"/>
      <c r="E444" s="10" t="s">
        <v>112</v>
      </c>
      <c r="F444" s="10" t="s">
        <v>113</v>
      </c>
      <c r="G444" s="11"/>
      <c r="H444" s="11"/>
      <c r="I444" s="10" t="s">
        <v>114</v>
      </c>
      <c r="J444" s="13" t="n">
        <v>0</v>
      </c>
      <c r="K444" s="10" t="s">
        <v>50</v>
      </c>
    </row>
    <row r="445" customFormat="false" ht="15" hidden="false" customHeight="false" outlineLevel="0" collapsed="false">
      <c r="A445" s="10"/>
      <c r="B445" s="10"/>
      <c r="C445" s="10"/>
      <c r="D445" s="10"/>
      <c r="E445" s="10" t="s">
        <v>112</v>
      </c>
      <c r="F445" s="10" t="s">
        <v>113</v>
      </c>
      <c r="G445" s="11"/>
      <c r="H445" s="11"/>
      <c r="I445" s="10" t="s">
        <v>114</v>
      </c>
      <c r="J445" s="13" t="n">
        <v>0</v>
      </c>
      <c r="K445" s="10" t="s">
        <v>50</v>
      </c>
    </row>
    <row r="446" customFormat="false" ht="15" hidden="false" customHeight="false" outlineLevel="0" collapsed="false">
      <c r="A446" s="10"/>
      <c r="B446" s="10"/>
      <c r="C446" s="10"/>
      <c r="D446" s="10"/>
      <c r="E446" s="10" t="s">
        <v>112</v>
      </c>
      <c r="F446" s="10" t="s">
        <v>113</v>
      </c>
      <c r="G446" s="11"/>
      <c r="H446" s="11"/>
      <c r="I446" s="10" t="s">
        <v>114</v>
      </c>
      <c r="J446" s="13" t="n">
        <v>0</v>
      </c>
      <c r="K446" s="10" t="s">
        <v>50</v>
      </c>
    </row>
    <row r="447" customFormat="false" ht="15" hidden="false" customHeight="false" outlineLevel="0" collapsed="false">
      <c r="A447" s="10"/>
      <c r="B447" s="10"/>
      <c r="C447" s="10"/>
      <c r="D447" s="10"/>
      <c r="E447" s="10" t="s">
        <v>112</v>
      </c>
      <c r="F447" s="10" t="s">
        <v>113</v>
      </c>
      <c r="G447" s="11"/>
      <c r="H447" s="11"/>
      <c r="I447" s="10" t="s">
        <v>114</v>
      </c>
      <c r="J447" s="13" t="n">
        <v>0</v>
      </c>
      <c r="K447" s="10" t="s">
        <v>50</v>
      </c>
    </row>
    <row r="448" customFormat="false" ht="15" hidden="false" customHeight="false" outlineLevel="0" collapsed="false">
      <c r="A448" s="10"/>
      <c r="B448" s="10"/>
      <c r="C448" s="10"/>
      <c r="D448" s="10"/>
      <c r="E448" s="10" t="s">
        <v>112</v>
      </c>
      <c r="F448" s="10" t="s">
        <v>113</v>
      </c>
      <c r="G448" s="11"/>
      <c r="H448" s="11"/>
      <c r="I448" s="10" t="s">
        <v>114</v>
      </c>
      <c r="J448" s="13" t="n">
        <v>0</v>
      </c>
      <c r="K448" s="10" t="s">
        <v>50</v>
      </c>
    </row>
    <row r="449" customFormat="false" ht="15" hidden="false" customHeight="false" outlineLevel="0" collapsed="false">
      <c r="A449" s="10"/>
      <c r="B449" s="10"/>
      <c r="C449" s="10"/>
      <c r="D449" s="10"/>
      <c r="E449" s="10" t="s">
        <v>112</v>
      </c>
      <c r="F449" s="10" t="s">
        <v>113</v>
      </c>
      <c r="G449" s="11"/>
      <c r="H449" s="11"/>
      <c r="I449" s="10" t="s">
        <v>114</v>
      </c>
      <c r="J449" s="13" t="n">
        <v>0</v>
      </c>
      <c r="K449" s="10" t="s">
        <v>50</v>
      </c>
    </row>
    <row r="450" customFormat="false" ht="15" hidden="false" customHeight="false" outlineLevel="0" collapsed="false">
      <c r="A450" s="10"/>
      <c r="B450" s="10"/>
      <c r="C450" s="10"/>
      <c r="D450" s="10"/>
      <c r="E450" s="10" t="s">
        <v>112</v>
      </c>
      <c r="F450" s="10" t="s">
        <v>113</v>
      </c>
      <c r="G450" s="11"/>
      <c r="H450" s="11"/>
      <c r="I450" s="10" t="s">
        <v>114</v>
      </c>
      <c r="J450" s="13" t="n">
        <v>0</v>
      </c>
      <c r="K450" s="10" t="s">
        <v>50</v>
      </c>
    </row>
    <row r="451" customFormat="false" ht="15" hidden="false" customHeight="false" outlineLevel="0" collapsed="false">
      <c r="A451" s="10"/>
      <c r="B451" s="10"/>
      <c r="C451" s="10"/>
      <c r="D451" s="10"/>
      <c r="E451" s="10" t="s">
        <v>112</v>
      </c>
      <c r="F451" s="10" t="s">
        <v>113</v>
      </c>
      <c r="G451" s="11"/>
      <c r="H451" s="11"/>
      <c r="I451" s="10" t="s">
        <v>114</v>
      </c>
      <c r="J451" s="13" t="n">
        <v>0</v>
      </c>
      <c r="K451" s="10" t="s">
        <v>50</v>
      </c>
    </row>
    <row r="452" customFormat="false" ht="15" hidden="false" customHeight="false" outlineLevel="0" collapsed="false">
      <c r="A452" s="10"/>
      <c r="B452" s="10"/>
      <c r="C452" s="10"/>
      <c r="D452" s="10"/>
      <c r="E452" s="10" t="s">
        <v>112</v>
      </c>
      <c r="F452" s="10" t="s">
        <v>113</v>
      </c>
      <c r="G452" s="11"/>
      <c r="H452" s="11"/>
      <c r="I452" s="10" t="s">
        <v>114</v>
      </c>
      <c r="J452" s="13" t="n">
        <v>0</v>
      </c>
      <c r="K452" s="10" t="s">
        <v>50</v>
      </c>
    </row>
    <row r="453" customFormat="false" ht="15" hidden="false" customHeight="false" outlineLevel="0" collapsed="false">
      <c r="A453" s="10"/>
      <c r="B453" s="10"/>
      <c r="C453" s="10"/>
      <c r="D453" s="10"/>
      <c r="E453" s="10" t="s">
        <v>112</v>
      </c>
      <c r="F453" s="10" t="s">
        <v>113</v>
      </c>
      <c r="G453" s="11"/>
      <c r="H453" s="11"/>
      <c r="I453" s="10" t="s">
        <v>114</v>
      </c>
      <c r="J453" s="13" t="n">
        <v>0</v>
      </c>
      <c r="K453" s="10" t="s">
        <v>50</v>
      </c>
    </row>
    <row r="454" customFormat="false" ht="15" hidden="false" customHeight="false" outlineLevel="0" collapsed="false">
      <c r="A454" s="10"/>
      <c r="B454" s="10"/>
      <c r="C454" s="10"/>
      <c r="D454" s="10"/>
      <c r="E454" s="10" t="s">
        <v>112</v>
      </c>
      <c r="F454" s="10" t="s">
        <v>113</v>
      </c>
      <c r="G454" s="11"/>
      <c r="H454" s="11"/>
      <c r="I454" s="10" t="s">
        <v>114</v>
      </c>
      <c r="J454" s="13" t="n">
        <v>0</v>
      </c>
      <c r="K454" s="10" t="s">
        <v>50</v>
      </c>
    </row>
    <row r="455" customFormat="false" ht="15" hidden="false" customHeight="false" outlineLevel="0" collapsed="false">
      <c r="A455" s="10"/>
      <c r="B455" s="10"/>
      <c r="C455" s="10"/>
      <c r="D455" s="10"/>
      <c r="E455" s="10" t="s">
        <v>112</v>
      </c>
      <c r="F455" s="10" t="s">
        <v>113</v>
      </c>
      <c r="G455" s="11"/>
      <c r="H455" s="11"/>
      <c r="I455" s="10" t="s">
        <v>114</v>
      </c>
      <c r="J455" s="13" t="n">
        <v>0</v>
      </c>
      <c r="K455" s="10" t="s">
        <v>50</v>
      </c>
    </row>
    <row r="456" customFormat="false" ht="15" hidden="false" customHeight="false" outlineLevel="0" collapsed="false">
      <c r="A456" s="10"/>
      <c r="B456" s="10"/>
      <c r="C456" s="10"/>
      <c r="D456" s="10"/>
      <c r="E456" s="10" t="s">
        <v>112</v>
      </c>
      <c r="F456" s="10" t="s">
        <v>113</v>
      </c>
      <c r="G456" s="11"/>
      <c r="H456" s="11"/>
      <c r="I456" s="10" t="s">
        <v>114</v>
      </c>
      <c r="J456" s="13" t="n">
        <v>0</v>
      </c>
      <c r="K456" s="10" t="s">
        <v>50</v>
      </c>
    </row>
    <row r="457" customFormat="false" ht="15" hidden="false" customHeight="false" outlineLevel="0" collapsed="false">
      <c r="A457" s="10"/>
      <c r="B457" s="10"/>
      <c r="C457" s="10"/>
      <c r="D457" s="10"/>
      <c r="E457" s="10" t="s">
        <v>112</v>
      </c>
      <c r="F457" s="10" t="s">
        <v>113</v>
      </c>
      <c r="G457" s="11"/>
      <c r="H457" s="11"/>
      <c r="I457" s="10" t="s">
        <v>114</v>
      </c>
      <c r="J457" s="13" t="n">
        <v>0</v>
      </c>
      <c r="K457" s="10" t="s">
        <v>50</v>
      </c>
    </row>
    <row r="458" customFormat="false" ht="15" hidden="false" customHeight="false" outlineLevel="0" collapsed="false">
      <c r="A458" s="10"/>
      <c r="B458" s="10"/>
      <c r="C458" s="10"/>
      <c r="D458" s="10"/>
      <c r="E458" s="10" t="s">
        <v>112</v>
      </c>
      <c r="F458" s="10" t="s">
        <v>113</v>
      </c>
      <c r="G458" s="11"/>
      <c r="H458" s="11"/>
      <c r="I458" s="10" t="s">
        <v>114</v>
      </c>
      <c r="J458" s="13" t="n">
        <v>0</v>
      </c>
      <c r="K458" s="10" t="s">
        <v>50</v>
      </c>
    </row>
    <row r="459" customFormat="false" ht="15" hidden="false" customHeight="false" outlineLevel="0" collapsed="false">
      <c r="A459" s="10"/>
      <c r="B459" s="10"/>
      <c r="C459" s="10"/>
      <c r="D459" s="10"/>
      <c r="E459" s="10" t="s">
        <v>112</v>
      </c>
      <c r="F459" s="10" t="s">
        <v>113</v>
      </c>
      <c r="G459" s="11"/>
      <c r="H459" s="11"/>
      <c r="I459" s="10" t="s">
        <v>114</v>
      </c>
      <c r="J459" s="13" t="n">
        <v>0</v>
      </c>
      <c r="K459" s="10" t="s">
        <v>50</v>
      </c>
    </row>
    <row r="460" customFormat="false" ht="15" hidden="false" customHeight="false" outlineLevel="0" collapsed="false">
      <c r="A460" s="10"/>
      <c r="B460" s="10"/>
      <c r="C460" s="10"/>
      <c r="D460" s="10"/>
      <c r="E460" s="10" t="s">
        <v>112</v>
      </c>
      <c r="F460" s="10" t="s">
        <v>113</v>
      </c>
      <c r="G460" s="11"/>
      <c r="H460" s="11"/>
      <c r="I460" s="10" t="s">
        <v>114</v>
      </c>
      <c r="J460" s="13" t="n">
        <v>0</v>
      </c>
      <c r="K460" s="10" t="s">
        <v>50</v>
      </c>
    </row>
    <row r="461" customFormat="false" ht="15" hidden="false" customHeight="false" outlineLevel="0" collapsed="false">
      <c r="A461" s="10"/>
      <c r="B461" s="10"/>
      <c r="C461" s="10"/>
      <c r="D461" s="10"/>
      <c r="E461" s="10" t="s">
        <v>112</v>
      </c>
      <c r="F461" s="10" t="s">
        <v>113</v>
      </c>
      <c r="G461" s="11"/>
      <c r="H461" s="11"/>
      <c r="I461" s="10" t="s">
        <v>114</v>
      </c>
      <c r="J461" s="13" t="n">
        <v>0</v>
      </c>
      <c r="K461" s="10" t="s">
        <v>50</v>
      </c>
    </row>
    <row r="462" customFormat="false" ht="15" hidden="false" customHeight="false" outlineLevel="0" collapsed="false">
      <c r="A462" s="10"/>
      <c r="B462" s="10"/>
      <c r="C462" s="10"/>
      <c r="D462" s="10"/>
      <c r="E462" s="10" t="s">
        <v>112</v>
      </c>
      <c r="F462" s="10" t="s">
        <v>113</v>
      </c>
      <c r="G462" s="11"/>
      <c r="H462" s="11"/>
      <c r="I462" s="10" t="s">
        <v>114</v>
      </c>
      <c r="J462" s="13" t="n">
        <v>0</v>
      </c>
      <c r="K462" s="10" t="s">
        <v>50</v>
      </c>
    </row>
    <row r="463" customFormat="false" ht="15" hidden="false" customHeight="false" outlineLevel="0" collapsed="false">
      <c r="A463" s="10"/>
      <c r="B463" s="10"/>
      <c r="C463" s="10"/>
      <c r="D463" s="10"/>
      <c r="E463" s="10" t="s">
        <v>112</v>
      </c>
      <c r="F463" s="10" t="s">
        <v>113</v>
      </c>
      <c r="G463" s="11"/>
      <c r="H463" s="11"/>
      <c r="I463" s="10" t="s">
        <v>114</v>
      </c>
      <c r="J463" s="13" t="n">
        <v>0</v>
      </c>
      <c r="K463" s="10" t="s">
        <v>50</v>
      </c>
    </row>
    <row r="464" customFormat="false" ht="15" hidden="false" customHeight="false" outlineLevel="0" collapsed="false">
      <c r="A464" s="10"/>
      <c r="B464" s="10"/>
      <c r="C464" s="10"/>
      <c r="D464" s="10"/>
      <c r="E464" s="10" t="s">
        <v>112</v>
      </c>
      <c r="F464" s="10" t="s">
        <v>113</v>
      </c>
      <c r="G464" s="11"/>
      <c r="H464" s="11"/>
      <c r="I464" s="10" t="s">
        <v>114</v>
      </c>
      <c r="J464" s="13" t="n">
        <v>0</v>
      </c>
      <c r="K464" s="10" t="s">
        <v>50</v>
      </c>
    </row>
    <row r="465" customFormat="false" ht="15" hidden="false" customHeight="false" outlineLevel="0" collapsed="false">
      <c r="A465" s="10"/>
      <c r="B465" s="10"/>
      <c r="C465" s="10"/>
      <c r="D465" s="10"/>
      <c r="E465" s="10" t="s">
        <v>112</v>
      </c>
      <c r="F465" s="10" t="s">
        <v>113</v>
      </c>
      <c r="G465" s="11"/>
      <c r="H465" s="11"/>
      <c r="I465" s="10" t="s">
        <v>114</v>
      </c>
      <c r="J465" s="13" t="n">
        <v>0</v>
      </c>
      <c r="K465" s="10" t="s">
        <v>50</v>
      </c>
    </row>
    <row r="466" customFormat="false" ht="15" hidden="false" customHeight="false" outlineLevel="0" collapsed="false">
      <c r="A466" s="10"/>
      <c r="B466" s="10"/>
      <c r="C466" s="10"/>
      <c r="D466" s="10"/>
      <c r="E466" s="10" t="s">
        <v>112</v>
      </c>
      <c r="F466" s="10" t="s">
        <v>113</v>
      </c>
      <c r="G466" s="11"/>
      <c r="H466" s="11"/>
      <c r="I466" s="10" t="s">
        <v>114</v>
      </c>
      <c r="J466" s="13" t="n">
        <v>0</v>
      </c>
      <c r="K466" s="10" t="s">
        <v>50</v>
      </c>
    </row>
    <row r="467" customFormat="false" ht="15" hidden="false" customHeight="false" outlineLevel="0" collapsed="false">
      <c r="A467" s="10"/>
      <c r="B467" s="10"/>
      <c r="C467" s="10"/>
      <c r="D467" s="10"/>
      <c r="E467" s="10" t="s">
        <v>112</v>
      </c>
      <c r="F467" s="10" t="s">
        <v>113</v>
      </c>
      <c r="G467" s="11"/>
      <c r="H467" s="11"/>
      <c r="I467" s="10" t="s">
        <v>114</v>
      </c>
      <c r="J467" s="13" t="n">
        <v>0</v>
      </c>
      <c r="K467" s="10" t="s">
        <v>50</v>
      </c>
    </row>
    <row r="468" customFormat="false" ht="15" hidden="false" customHeight="false" outlineLevel="0" collapsed="false">
      <c r="A468" s="10"/>
      <c r="B468" s="10"/>
      <c r="C468" s="10"/>
      <c r="D468" s="10"/>
      <c r="E468" s="10" t="s">
        <v>112</v>
      </c>
      <c r="F468" s="10" t="s">
        <v>113</v>
      </c>
      <c r="G468" s="11"/>
      <c r="H468" s="11"/>
      <c r="I468" s="10" t="s">
        <v>114</v>
      </c>
      <c r="J468" s="13" t="n">
        <v>0</v>
      </c>
      <c r="K468" s="10" t="s">
        <v>50</v>
      </c>
    </row>
    <row r="469" customFormat="false" ht="15" hidden="false" customHeight="false" outlineLevel="0" collapsed="false">
      <c r="A469" s="10"/>
      <c r="B469" s="10"/>
      <c r="C469" s="10"/>
      <c r="D469" s="10"/>
      <c r="E469" s="10" t="s">
        <v>112</v>
      </c>
      <c r="F469" s="10" t="s">
        <v>113</v>
      </c>
      <c r="G469" s="11"/>
      <c r="H469" s="11"/>
      <c r="I469" s="10" t="s">
        <v>114</v>
      </c>
      <c r="J469" s="13" t="n">
        <v>0</v>
      </c>
      <c r="K469" s="10" t="s">
        <v>50</v>
      </c>
    </row>
    <row r="470" customFormat="false" ht="15" hidden="false" customHeight="false" outlineLevel="0" collapsed="false">
      <c r="A470" s="10"/>
      <c r="B470" s="10"/>
      <c r="C470" s="10"/>
      <c r="D470" s="10"/>
      <c r="E470" s="10" t="s">
        <v>112</v>
      </c>
      <c r="F470" s="10" t="s">
        <v>113</v>
      </c>
      <c r="G470" s="11"/>
      <c r="H470" s="11"/>
      <c r="I470" s="10" t="s">
        <v>114</v>
      </c>
      <c r="J470" s="13" t="n">
        <v>0</v>
      </c>
      <c r="K470" s="10" t="s">
        <v>50</v>
      </c>
    </row>
    <row r="471" customFormat="false" ht="15" hidden="false" customHeight="false" outlineLevel="0" collapsed="false">
      <c r="A471" s="10"/>
      <c r="B471" s="10"/>
      <c r="C471" s="10"/>
      <c r="D471" s="10"/>
      <c r="E471" s="10" t="s">
        <v>112</v>
      </c>
      <c r="F471" s="10" t="s">
        <v>113</v>
      </c>
      <c r="G471" s="11"/>
      <c r="H471" s="11"/>
      <c r="I471" s="10" t="s">
        <v>114</v>
      </c>
      <c r="J471" s="13" t="n">
        <v>0</v>
      </c>
      <c r="K471" s="10" t="s">
        <v>50</v>
      </c>
    </row>
    <row r="472" customFormat="false" ht="15" hidden="false" customHeight="false" outlineLevel="0" collapsed="false">
      <c r="A472" s="10"/>
      <c r="B472" s="10"/>
      <c r="C472" s="10"/>
      <c r="D472" s="10"/>
      <c r="E472" s="10" t="s">
        <v>112</v>
      </c>
      <c r="F472" s="10" t="s">
        <v>113</v>
      </c>
      <c r="G472" s="11"/>
      <c r="H472" s="11"/>
      <c r="I472" s="10" t="s">
        <v>114</v>
      </c>
      <c r="J472" s="13" t="n">
        <v>0</v>
      </c>
      <c r="K472" s="10" t="s">
        <v>50</v>
      </c>
    </row>
    <row r="473" customFormat="false" ht="15" hidden="false" customHeight="false" outlineLevel="0" collapsed="false">
      <c r="A473" s="10"/>
      <c r="B473" s="10"/>
      <c r="C473" s="10"/>
      <c r="D473" s="10"/>
      <c r="E473" s="10" t="s">
        <v>112</v>
      </c>
      <c r="F473" s="10" t="s">
        <v>113</v>
      </c>
      <c r="G473" s="11"/>
      <c r="H473" s="11"/>
      <c r="I473" s="10" t="s">
        <v>114</v>
      </c>
      <c r="J473" s="13" t="n">
        <v>0</v>
      </c>
      <c r="K473" s="10" t="s">
        <v>50</v>
      </c>
    </row>
    <row r="474" customFormat="false" ht="15" hidden="false" customHeight="false" outlineLevel="0" collapsed="false">
      <c r="A474" s="10"/>
      <c r="B474" s="10"/>
      <c r="C474" s="10"/>
      <c r="D474" s="10"/>
      <c r="E474" s="10" t="s">
        <v>112</v>
      </c>
      <c r="F474" s="10" t="s">
        <v>113</v>
      </c>
      <c r="G474" s="11"/>
      <c r="H474" s="11"/>
      <c r="I474" s="10" t="s">
        <v>114</v>
      </c>
      <c r="J474" s="13" t="n">
        <v>0</v>
      </c>
      <c r="K474" s="10" t="s">
        <v>50</v>
      </c>
    </row>
    <row r="475" customFormat="false" ht="15" hidden="false" customHeight="false" outlineLevel="0" collapsed="false">
      <c r="A475" s="10"/>
      <c r="B475" s="10"/>
      <c r="C475" s="10"/>
      <c r="D475" s="10"/>
      <c r="E475" s="10" t="s">
        <v>112</v>
      </c>
      <c r="F475" s="10" t="s">
        <v>113</v>
      </c>
      <c r="G475" s="11"/>
      <c r="H475" s="11"/>
      <c r="I475" s="10" t="s">
        <v>114</v>
      </c>
      <c r="J475" s="13" t="n">
        <v>0</v>
      </c>
      <c r="K475" s="10" t="s">
        <v>50</v>
      </c>
    </row>
    <row r="476" customFormat="false" ht="15" hidden="false" customHeight="false" outlineLevel="0" collapsed="false">
      <c r="A476" s="10"/>
      <c r="B476" s="10"/>
      <c r="C476" s="10"/>
      <c r="D476" s="10"/>
      <c r="E476" s="10" t="s">
        <v>112</v>
      </c>
      <c r="F476" s="10" t="s">
        <v>113</v>
      </c>
      <c r="G476" s="11"/>
      <c r="H476" s="11"/>
      <c r="I476" s="10" t="s">
        <v>114</v>
      </c>
      <c r="J476" s="13" t="n">
        <v>0</v>
      </c>
      <c r="K476" s="10" t="s">
        <v>50</v>
      </c>
    </row>
    <row r="477" customFormat="false" ht="15" hidden="false" customHeight="false" outlineLevel="0" collapsed="false">
      <c r="A477" s="10"/>
      <c r="B477" s="10"/>
      <c r="C477" s="10"/>
      <c r="D477" s="10"/>
      <c r="E477" s="10" t="s">
        <v>112</v>
      </c>
      <c r="F477" s="10" t="s">
        <v>113</v>
      </c>
      <c r="G477" s="11"/>
      <c r="H477" s="11"/>
      <c r="I477" s="10" t="s">
        <v>114</v>
      </c>
      <c r="J477" s="13" t="n">
        <v>0</v>
      </c>
      <c r="K477" s="10" t="s">
        <v>50</v>
      </c>
    </row>
    <row r="478" customFormat="false" ht="15" hidden="false" customHeight="false" outlineLevel="0" collapsed="false">
      <c r="A478" s="10"/>
      <c r="B478" s="10"/>
      <c r="C478" s="10"/>
      <c r="D478" s="10"/>
      <c r="E478" s="10" t="s">
        <v>112</v>
      </c>
      <c r="F478" s="10" t="s">
        <v>113</v>
      </c>
      <c r="G478" s="11"/>
      <c r="H478" s="11"/>
      <c r="I478" s="10" t="s">
        <v>114</v>
      </c>
      <c r="J478" s="13" t="n">
        <v>0</v>
      </c>
      <c r="K478" s="10" t="s">
        <v>50</v>
      </c>
    </row>
    <row r="479" customFormat="false" ht="15" hidden="false" customHeight="false" outlineLevel="0" collapsed="false">
      <c r="A479" s="10"/>
      <c r="B479" s="10"/>
      <c r="C479" s="10"/>
      <c r="D479" s="10"/>
      <c r="E479" s="10" t="s">
        <v>112</v>
      </c>
      <c r="F479" s="10" t="s">
        <v>113</v>
      </c>
      <c r="G479" s="11"/>
      <c r="H479" s="11"/>
      <c r="I479" s="10" t="s">
        <v>114</v>
      </c>
      <c r="J479" s="13" t="n">
        <v>0</v>
      </c>
      <c r="K479" s="10" t="s">
        <v>50</v>
      </c>
    </row>
    <row r="480" customFormat="false" ht="15" hidden="false" customHeight="false" outlineLevel="0" collapsed="false">
      <c r="A480" s="10"/>
      <c r="B480" s="10"/>
      <c r="C480" s="10"/>
      <c r="D480" s="10"/>
      <c r="E480" s="10" t="s">
        <v>112</v>
      </c>
      <c r="F480" s="10" t="s">
        <v>113</v>
      </c>
      <c r="G480" s="11"/>
      <c r="H480" s="11"/>
      <c r="I480" s="10" t="s">
        <v>114</v>
      </c>
      <c r="J480" s="13" t="n">
        <v>0</v>
      </c>
      <c r="K480" s="10" t="s">
        <v>50</v>
      </c>
    </row>
    <row r="481" customFormat="false" ht="15" hidden="false" customHeight="false" outlineLevel="0" collapsed="false">
      <c r="A481" s="10"/>
      <c r="B481" s="10"/>
      <c r="C481" s="10"/>
      <c r="D481" s="10"/>
      <c r="E481" s="10" t="s">
        <v>112</v>
      </c>
      <c r="F481" s="10" t="s">
        <v>113</v>
      </c>
      <c r="G481" s="11"/>
      <c r="H481" s="11"/>
      <c r="I481" s="10" t="s">
        <v>114</v>
      </c>
      <c r="J481" s="13" t="n">
        <v>0</v>
      </c>
      <c r="K481" s="10" t="s">
        <v>50</v>
      </c>
    </row>
    <row r="482" customFormat="false" ht="15" hidden="false" customHeight="false" outlineLevel="0" collapsed="false">
      <c r="A482" s="10"/>
      <c r="B482" s="10"/>
      <c r="C482" s="10"/>
      <c r="D482" s="10"/>
      <c r="E482" s="10" t="s">
        <v>112</v>
      </c>
      <c r="F482" s="10" t="s">
        <v>113</v>
      </c>
      <c r="G482" s="11"/>
      <c r="H482" s="11"/>
      <c r="I482" s="10" t="s">
        <v>114</v>
      </c>
      <c r="J482" s="13" t="n">
        <v>0</v>
      </c>
      <c r="K482" s="10" t="s">
        <v>50</v>
      </c>
    </row>
    <row r="483" customFormat="false" ht="15" hidden="false" customHeight="false" outlineLevel="0" collapsed="false">
      <c r="A483" s="10"/>
      <c r="B483" s="10"/>
      <c r="C483" s="10"/>
      <c r="D483" s="10"/>
      <c r="E483" s="10" t="s">
        <v>112</v>
      </c>
      <c r="F483" s="10" t="s">
        <v>113</v>
      </c>
      <c r="G483" s="11"/>
      <c r="H483" s="11"/>
      <c r="I483" s="10" t="s">
        <v>114</v>
      </c>
      <c r="J483" s="13" t="n">
        <v>0</v>
      </c>
      <c r="K483" s="10" t="s">
        <v>50</v>
      </c>
    </row>
    <row r="484" customFormat="false" ht="15" hidden="false" customHeight="false" outlineLevel="0" collapsed="false">
      <c r="A484" s="10"/>
      <c r="B484" s="10"/>
      <c r="C484" s="10"/>
      <c r="D484" s="10"/>
      <c r="E484" s="10" t="s">
        <v>112</v>
      </c>
      <c r="F484" s="10" t="s">
        <v>113</v>
      </c>
      <c r="G484" s="11"/>
      <c r="H484" s="11"/>
      <c r="I484" s="10" t="s">
        <v>114</v>
      </c>
      <c r="J484" s="13" t="n">
        <v>0</v>
      </c>
      <c r="K484" s="10" t="s">
        <v>50</v>
      </c>
    </row>
    <row r="485" customFormat="false" ht="15" hidden="false" customHeight="false" outlineLevel="0" collapsed="false">
      <c r="A485" s="10"/>
      <c r="B485" s="10"/>
      <c r="C485" s="10"/>
      <c r="D485" s="10"/>
      <c r="E485" s="10" t="s">
        <v>112</v>
      </c>
      <c r="F485" s="10" t="s">
        <v>113</v>
      </c>
      <c r="G485" s="11"/>
      <c r="H485" s="11"/>
      <c r="I485" s="10" t="s">
        <v>114</v>
      </c>
      <c r="J485" s="13" t="n">
        <v>0</v>
      </c>
      <c r="K485" s="10" t="s">
        <v>50</v>
      </c>
    </row>
    <row r="486" customFormat="false" ht="15" hidden="false" customHeight="false" outlineLevel="0" collapsed="false">
      <c r="A486" s="10"/>
      <c r="B486" s="10"/>
      <c r="C486" s="10"/>
      <c r="D486" s="10"/>
      <c r="E486" s="10" t="s">
        <v>112</v>
      </c>
      <c r="F486" s="10" t="s">
        <v>113</v>
      </c>
      <c r="G486" s="11"/>
      <c r="H486" s="11"/>
      <c r="I486" s="10" t="s">
        <v>114</v>
      </c>
      <c r="J486" s="13" t="n">
        <v>0</v>
      </c>
      <c r="K486" s="10" t="s">
        <v>50</v>
      </c>
    </row>
    <row r="487" customFormat="false" ht="15" hidden="false" customHeight="false" outlineLevel="0" collapsed="false">
      <c r="A487" s="10"/>
      <c r="B487" s="10"/>
      <c r="C487" s="10"/>
      <c r="D487" s="10"/>
      <c r="E487" s="10" t="s">
        <v>112</v>
      </c>
      <c r="F487" s="10" t="s">
        <v>113</v>
      </c>
      <c r="G487" s="11"/>
      <c r="H487" s="11"/>
      <c r="I487" s="10" t="s">
        <v>114</v>
      </c>
      <c r="J487" s="13" t="n">
        <v>0</v>
      </c>
      <c r="K487" s="10" t="s">
        <v>50</v>
      </c>
    </row>
    <row r="488" customFormat="false" ht="15" hidden="false" customHeight="false" outlineLevel="0" collapsed="false">
      <c r="A488" s="10"/>
      <c r="B488" s="10"/>
      <c r="C488" s="10"/>
      <c r="D488" s="10"/>
      <c r="E488" s="10" t="s">
        <v>112</v>
      </c>
      <c r="F488" s="10" t="s">
        <v>113</v>
      </c>
      <c r="G488" s="11"/>
      <c r="H488" s="11"/>
      <c r="I488" s="10" t="s">
        <v>114</v>
      </c>
      <c r="J488" s="13" t="n">
        <v>0</v>
      </c>
      <c r="K488" s="10" t="s">
        <v>50</v>
      </c>
    </row>
    <row r="489" customFormat="false" ht="15" hidden="false" customHeight="false" outlineLevel="0" collapsed="false">
      <c r="A489" s="10"/>
      <c r="B489" s="10"/>
      <c r="C489" s="10"/>
      <c r="D489" s="10"/>
      <c r="E489" s="10" t="s">
        <v>112</v>
      </c>
      <c r="F489" s="10" t="s">
        <v>113</v>
      </c>
      <c r="G489" s="11"/>
      <c r="H489" s="11"/>
      <c r="I489" s="10" t="s">
        <v>114</v>
      </c>
      <c r="J489" s="13" t="n">
        <v>0</v>
      </c>
      <c r="K489" s="10" t="s">
        <v>50</v>
      </c>
    </row>
    <row r="490" customFormat="false" ht="15" hidden="false" customHeight="false" outlineLevel="0" collapsed="false">
      <c r="A490" s="10"/>
      <c r="B490" s="10"/>
      <c r="C490" s="10"/>
      <c r="D490" s="10"/>
      <c r="E490" s="10" t="s">
        <v>112</v>
      </c>
      <c r="F490" s="10" t="s">
        <v>113</v>
      </c>
      <c r="G490" s="11"/>
      <c r="H490" s="11"/>
      <c r="I490" s="10" t="s">
        <v>114</v>
      </c>
      <c r="J490" s="13" t="n">
        <v>0</v>
      </c>
      <c r="K490" s="10" t="s">
        <v>50</v>
      </c>
    </row>
    <row r="491" customFormat="false" ht="15" hidden="false" customHeight="false" outlineLevel="0" collapsed="false">
      <c r="A491" s="10"/>
      <c r="B491" s="10"/>
      <c r="C491" s="10"/>
      <c r="D491" s="10"/>
      <c r="E491" s="10" t="s">
        <v>112</v>
      </c>
      <c r="F491" s="10" t="s">
        <v>113</v>
      </c>
      <c r="G491" s="11"/>
      <c r="H491" s="11"/>
      <c r="I491" s="10" t="s">
        <v>114</v>
      </c>
      <c r="J491" s="13" t="n">
        <v>0</v>
      </c>
      <c r="K491" s="10" t="s">
        <v>50</v>
      </c>
    </row>
    <row r="492" customFormat="false" ht="15" hidden="false" customHeight="false" outlineLevel="0" collapsed="false">
      <c r="A492" s="10"/>
      <c r="B492" s="10"/>
      <c r="C492" s="10"/>
      <c r="D492" s="10"/>
      <c r="E492" s="10" t="s">
        <v>112</v>
      </c>
      <c r="F492" s="10" t="s">
        <v>113</v>
      </c>
      <c r="G492" s="11"/>
      <c r="H492" s="11"/>
      <c r="I492" s="10" t="s">
        <v>114</v>
      </c>
      <c r="J492" s="13" t="n">
        <v>0</v>
      </c>
      <c r="K492" s="10" t="s">
        <v>50</v>
      </c>
    </row>
    <row r="493" customFormat="false" ht="15" hidden="false" customHeight="false" outlineLevel="0" collapsed="false">
      <c r="A493" s="10"/>
      <c r="B493" s="10"/>
      <c r="C493" s="10"/>
      <c r="D493" s="10"/>
      <c r="E493" s="10" t="s">
        <v>112</v>
      </c>
      <c r="F493" s="10" t="s">
        <v>113</v>
      </c>
      <c r="G493" s="11"/>
      <c r="H493" s="11"/>
      <c r="I493" s="10" t="s">
        <v>114</v>
      </c>
      <c r="J493" s="13" t="n">
        <v>0</v>
      </c>
      <c r="K493" s="10" t="s">
        <v>50</v>
      </c>
    </row>
    <row r="494" customFormat="false" ht="15" hidden="false" customHeight="false" outlineLevel="0" collapsed="false">
      <c r="A494" s="10"/>
      <c r="B494" s="10"/>
      <c r="C494" s="10"/>
      <c r="D494" s="10"/>
      <c r="E494" s="10" t="s">
        <v>112</v>
      </c>
      <c r="F494" s="10" t="s">
        <v>113</v>
      </c>
      <c r="G494" s="11"/>
      <c r="H494" s="11"/>
      <c r="I494" s="10" t="s">
        <v>114</v>
      </c>
      <c r="J494" s="13" t="n">
        <v>0</v>
      </c>
      <c r="K494" s="10" t="s">
        <v>50</v>
      </c>
    </row>
    <row r="495" customFormat="false" ht="15" hidden="false" customHeight="false" outlineLevel="0" collapsed="false">
      <c r="A495" s="10"/>
      <c r="B495" s="10"/>
      <c r="C495" s="10"/>
      <c r="D495" s="10"/>
      <c r="E495" s="10" t="s">
        <v>112</v>
      </c>
      <c r="F495" s="10" t="s">
        <v>113</v>
      </c>
      <c r="G495" s="11"/>
      <c r="H495" s="11"/>
      <c r="I495" s="10" t="s">
        <v>114</v>
      </c>
      <c r="J495" s="13" t="n">
        <v>0</v>
      </c>
      <c r="K495" s="10" t="s">
        <v>50</v>
      </c>
    </row>
    <row r="496" customFormat="false" ht="15" hidden="false" customHeight="false" outlineLevel="0" collapsed="false">
      <c r="A496" s="10"/>
      <c r="B496" s="10"/>
      <c r="C496" s="10"/>
      <c r="D496" s="10"/>
      <c r="E496" s="10" t="s">
        <v>112</v>
      </c>
      <c r="F496" s="10" t="s">
        <v>113</v>
      </c>
      <c r="G496" s="11"/>
      <c r="H496" s="11"/>
      <c r="I496" s="10" t="s">
        <v>114</v>
      </c>
      <c r="J496" s="13" t="n">
        <v>0</v>
      </c>
      <c r="K496" s="10" t="s">
        <v>50</v>
      </c>
    </row>
    <row r="497" customFormat="false" ht="15" hidden="false" customHeight="false" outlineLevel="0" collapsed="false">
      <c r="A497" s="10"/>
      <c r="B497" s="10"/>
      <c r="C497" s="10"/>
      <c r="D497" s="10"/>
      <c r="E497" s="10" t="s">
        <v>112</v>
      </c>
      <c r="F497" s="10" t="s">
        <v>113</v>
      </c>
      <c r="G497" s="11"/>
      <c r="H497" s="11"/>
      <c r="I497" s="10" t="s">
        <v>114</v>
      </c>
      <c r="J497" s="13" t="n">
        <v>0</v>
      </c>
      <c r="K497" s="10" t="s">
        <v>50</v>
      </c>
    </row>
    <row r="498" customFormat="false" ht="15" hidden="false" customHeight="false" outlineLevel="0" collapsed="false">
      <c r="A498" s="10"/>
      <c r="B498" s="10"/>
      <c r="C498" s="10"/>
      <c r="D498" s="10"/>
      <c r="E498" s="10" t="s">
        <v>112</v>
      </c>
      <c r="F498" s="10" t="s">
        <v>113</v>
      </c>
      <c r="G498" s="11"/>
      <c r="H498" s="11"/>
      <c r="I498" s="10" t="s">
        <v>114</v>
      </c>
      <c r="J498" s="13" t="n">
        <v>0</v>
      </c>
      <c r="K498" s="10" t="s">
        <v>50</v>
      </c>
    </row>
    <row r="499" customFormat="false" ht="15" hidden="false" customHeight="false" outlineLevel="0" collapsed="false">
      <c r="A499" s="10"/>
      <c r="B499" s="10"/>
      <c r="C499" s="10"/>
      <c r="D499" s="10"/>
      <c r="E499" s="10" t="s">
        <v>112</v>
      </c>
      <c r="F499" s="10" t="s">
        <v>113</v>
      </c>
      <c r="G499" s="11"/>
      <c r="H499" s="11"/>
      <c r="I499" s="10" t="s">
        <v>114</v>
      </c>
      <c r="J499" s="13" t="n">
        <v>0</v>
      </c>
      <c r="K499" s="10" t="s">
        <v>50</v>
      </c>
    </row>
    <row r="500" customFormat="false" ht="15" hidden="false" customHeight="false" outlineLevel="0" collapsed="false">
      <c r="A500" s="10"/>
      <c r="B500" s="10"/>
      <c r="C500" s="10"/>
      <c r="D500" s="10"/>
      <c r="E500" s="10" t="s">
        <v>112</v>
      </c>
      <c r="F500" s="10" t="s">
        <v>113</v>
      </c>
      <c r="G500" s="11"/>
      <c r="H500" s="11"/>
      <c r="I500" s="10" t="s">
        <v>114</v>
      </c>
      <c r="J500" s="13" t="n">
        <v>0</v>
      </c>
      <c r="K500" s="10" t="s">
        <v>50</v>
      </c>
    </row>
    <row r="501" customFormat="false" ht="15" hidden="false" customHeight="false" outlineLevel="0" collapsed="false">
      <c r="A501" s="10"/>
      <c r="B501" s="10"/>
      <c r="C501" s="10"/>
      <c r="D501" s="10"/>
      <c r="E501" s="10" t="s">
        <v>112</v>
      </c>
      <c r="F501" s="10" t="s">
        <v>113</v>
      </c>
      <c r="G501" s="11"/>
      <c r="H501" s="11"/>
      <c r="I501" s="10" t="s">
        <v>114</v>
      </c>
      <c r="J501" s="13" t="n">
        <v>0</v>
      </c>
      <c r="K501" s="10" t="s">
        <v>50</v>
      </c>
    </row>
    <row r="502" customFormat="false" ht="15" hidden="false" customHeight="false" outlineLevel="0" collapsed="false">
      <c r="A502" s="10"/>
      <c r="B502" s="10"/>
      <c r="C502" s="10"/>
      <c r="D502" s="10"/>
      <c r="E502" s="10" t="s">
        <v>112</v>
      </c>
      <c r="F502" s="10" t="s">
        <v>113</v>
      </c>
      <c r="G502" s="11"/>
      <c r="H502" s="11"/>
      <c r="I502" s="10" t="s">
        <v>114</v>
      </c>
      <c r="J502" s="13" t="n">
        <v>0</v>
      </c>
      <c r="K502" s="10" t="s">
        <v>50</v>
      </c>
    </row>
    <row r="503" customFormat="false" ht="15" hidden="false" customHeight="false" outlineLevel="0" collapsed="false">
      <c r="A503" s="10"/>
      <c r="B503" s="10"/>
      <c r="C503" s="10"/>
      <c r="D503" s="10"/>
      <c r="E503" s="10" t="s">
        <v>112</v>
      </c>
      <c r="F503" s="10" t="s">
        <v>113</v>
      </c>
      <c r="G503" s="11"/>
      <c r="H503" s="11"/>
      <c r="I503" s="10" t="s">
        <v>114</v>
      </c>
      <c r="J503" s="13" t="n">
        <v>0</v>
      </c>
      <c r="K503" s="10" t="s">
        <v>50</v>
      </c>
    </row>
    <row r="504" customFormat="false" ht="15" hidden="false" customHeight="false" outlineLevel="0" collapsed="false">
      <c r="A504" s="10"/>
      <c r="B504" s="10"/>
      <c r="C504" s="10"/>
      <c r="D504" s="10"/>
      <c r="E504" s="10" t="s">
        <v>112</v>
      </c>
      <c r="F504" s="10" t="s">
        <v>113</v>
      </c>
      <c r="G504" s="11"/>
      <c r="H504" s="11"/>
      <c r="I504" s="10" t="s">
        <v>114</v>
      </c>
      <c r="J504" s="13" t="n">
        <v>0</v>
      </c>
      <c r="K504" s="10" t="s">
        <v>50</v>
      </c>
    </row>
  </sheetData>
  <dataValidations count="3">
    <dataValidation allowBlank="true" error="Choose from product_kind" errorStyle="stop" errorTitle="Invalid" operator="between" showDropDown="false" showErrorMessage="false" showInputMessage="false" sqref="E5:E504" type="list">
      <formula1>enum_product_kind</formula1>
      <formula2>0</formula2>
    </dataValidation>
    <dataValidation allowBlank="true" error="Choose from vat_code" errorStyle="stop" errorTitle="Invalid" operator="between" showDropDown="false" showErrorMessage="false" showInputMessage="false" sqref="I5:I504" type="list">
      <formula1>enum_vat_code</formula1>
      <formula2>0</formula2>
    </dataValidation>
    <dataValidation allowBlank="true" errorStyle="stop" operator="between" showDropDown="false" showErrorMessage="false" showInputMessage="false" sqref="K5:K5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4" min="10" style="0" width="13"/>
  </cols>
  <sheetData>
    <row r="1" customFormat="false" ht="19.7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15" hidden="false" customHeight="false" outlineLevel="0" collapsed="false">
      <c r="A4" s="6" t="s">
        <v>142</v>
      </c>
      <c r="B4" s="6" t="s">
        <v>143</v>
      </c>
      <c r="C4" s="6" t="s">
        <v>33</v>
      </c>
      <c r="D4" s="6" t="s">
        <v>144</v>
      </c>
      <c r="E4" s="6" t="s">
        <v>145</v>
      </c>
      <c r="F4" s="6" t="s">
        <v>146</v>
      </c>
      <c r="G4" s="6" t="s">
        <v>147</v>
      </c>
      <c r="H4" s="6" t="s">
        <v>148</v>
      </c>
      <c r="I4" s="6" t="s">
        <v>149</v>
      </c>
      <c r="J4" s="6" t="s">
        <v>150</v>
      </c>
      <c r="K4" s="6" t="s">
        <v>151</v>
      </c>
      <c r="L4" s="6" t="s">
        <v>152</v>
      </c>
      <c r="M4" s="6" t="s">
        <v>153</v>
      </c>
      <c r="N4" s="6" t="s">
        <v>154</v>
      </c>
    </row>
    <row r="5" customFormat="false" ht="15" hidden="false" customHeight="false" outlineLevel="0" collapsed="false">
      <c r="A5" s="10" t="s">
        <v>155</v>
      </c>
      <c r="B5" s="12" t="n">
        <v>46088</v>
      </c>
      <c r="C5" s="10" t="s">
        <v>43</v>
      </c>
      <c r="D5" s="14" t="str">
        <f aca="false">IFERROR(IF(C5="","",INDEX(Customers!$B$5:$B$504,MATCH(C5,Customers!$A$5:$A$504,0))),"")</f>
        <v>Acme Engineering Ltd</v>
      </c>
      <c r="E5" s="10" t="s">
        <v>12</v>
      </c>
      <c r="F5" s="12" t="n">
        <v>46098</v>
      </c>
      <c r="G5" s="12" t="n">
        <v>46095</v>
      </c>
      <c r="H5" s="10" t="s">
        <v>156</v>
      </c>
      <c r="I5" s="10"/>
      <c r="J5" s="9" t="n">
        <f aca="false">IFERROR(SUMIFS(SalesOrderLines!$I$5:$I$504,SalesOrderLines!$B$5:$B$504,A5),"")</f>
        <v>1262</v>
      </c>
      <c r="K5" s="9" t="n">
        <f aca="false">IFERROR(SUMIFS(SalesOrderLines!$J$5:$J$504,SalesOrderLines!$B$5:$B$504,A5),"")</f>
        <v>252.4</v>
      </c>
      <c r="L5" s="9" t="n">
        <f aca="false">IFERROR(J5+K5,"")</f>
        <v>1514.4</v>
      </c>
      <c r="M5" s="9" t="n">
        <f aca="false">IFERROR(SUMIFS(Payments!$E$5:$E$504,Payments!$D$5:$D$504,A5,Payments!$C$5:$C$504,"In"),"")</f>
        <v>1264.8</v>
      </c>
      <c r="N5" s="9" t="n">
        <f aca="false">IFERROR(L5-M5,"")</f>
        <v>249.6</v>
      </c>
    </row>
    <row r="6" customFormat="false" ht="15" hidden="false" customHeight="false" outlineLevel="0" collapsed="false">
      <c r="A6" s="10" t="s">
        <v>157</v>
      </c>
      <c r="B6" s="12" t="n">
        <v>46095</v>
      </c>
      <c r="C6" s="10" t="s">
        <v>51</v>
      </c>
      <c r="D6" s="14" t="str">
        <f aca="false">IFERROR(IF(C6="","",INDEX(Customers!$B$5:$B$504,MATCH(C6,Customers!$A$5:$A$504,0))),"")</f>
        <v>Bright Retail Co</v>
      </c>
      <c r="E6" s="10" t="s">
        <v>27</v>
      </c>
      <c r="F6" s="12" t="n">
        <v>46105</v>
      </c>
      <c r="G6" s="12" t="n">
        <v>46103</v>
      </c>
      <c r="H6" s="10" t="s">
        <v>158</v>
      </c>
      <c r="I6" s="10" t="s">
        <v>159</v>
      </c>
      <c r="J6" s="9" t="n">
        <f aca="false">IFERROR(SUMIFS(SalesOrderLines!$I$5:$I$504,SalesOrderLines!$B$5:$B$504,A6),"")</f>
        <v>1045</v>
      </c>
      <c r="K6" s="9" t="n">
        <f aca="false">IFERROR(SUMIFS(SalesOrderLines!$J$5:$J$504,SalesOrderLines!$B$5:$B$504,A6),"")</f>
        <v>209</v>
      </c>
      <c r="L6" s="9" t="n">
        <f aca="false">IFERROR(J6+K6,"")</f>
        <v>1254</v>
      </c>
      <c r="M6" s="9" t="n">
        <f aca="false">IFERROR(SUMIFS(Payments!$E$5:$E$504,Payments!$D$5:$D$504,A6,Payments!$C$5:$C$504,"In"),"")</f>
        <v>800</v>
      </c>
      <c r="N6" s="9" t="n">
        <f aca="false">IFERROR(L6-M6,"")</f>
        <v>454</v>
      </c>
    </row>
    <row r="7" customFormat="false" ht="15" hidden="false" customHeight="false" outlineLevel="0" collapsed="false">
      <c r="A7" s="10" t="s">
        <v>160</v>
      </c>
      <c r="B7" s="12" t="n">
        <v>46103</v>
      </c>
      <c r="C7" s="10" t="s">
        <v>58</v>
      </c>
      <c r="D7" s="14" t="str">
        <f aca="false">IFERROR(IF(C7="","",INDEX(Customers!$B$5:$B$504,MATCH(C7,Customers!$A$5:$A$504,0))),"")</f>
        <v>Harbour &amp; Sons</v>
      </c>
      <c r="E7" s="10" t="s">
        <v>26</v>
      </c>
      <c r="F7" s="12" t="n">
        <v>46111</v>
      </c>
      <c r="G7" s="12" t="n">
        <v>46110</v>
      </c>
      <c r="H7" s="10"/>
      <c r="I7" s="10" t="s">
        <v>161</v>
      </c>
      <c r="J7" s="9" t="n">
        <f aca="false">IFERROR(SUMIFS(SalesOrderLines!$I$5:$I$504,SalesOrderLines!$B$5:$B$504,A7),"")</f>
        <v>640</v>
      </c>
      <c r="K7" s="9" t="n">
        <f aca="false">IFERROR(SUMIFS(SalesOrderLines!$J$5:$J$504,SalesOrderLines!$B$5:$B$504,A7),"")</f>
        <v>128</v>
      </c>
      <c r="L7" s="9" t="n">
        <f aca="false">IFERROR(J7+K7,"")</f>
        <v>768</v>
      </c>
      <c r="M7" s="9" t="n">
        <f aca="false">IFERROR(SUMIFS(Payments!$E$5:$E$504,Payments!$D$5:$D$504,A7,Payments!$C$5:$C$504,"In"),"")</f>
        <v>0</v>
      </c>
      <c r="N7" s="9" t="n">
        <f aca="false">IFERROR(L7-M7,"")</f>
        <v>768</v>
      </c>
    </row>
    <row r="8" customFormat="false" ht="15" hidden="false" customHeight="false" outlineLevel="0" collapsed="false">
      <c r="A8" s="10" t="s">
        <v>162</v>
      </c>
      <c r="B8" s="12" t="n">
        <v>46110</v>
      </c>
      <c r="C8" s="10" t="s">
        <v>64</v>
      </c>
      <c r="D8" s="14" t="str">
        <f aca="false">IFERROR(IF(C8="","",INDEX(Customers!$B$5:$B$504,MATCH(C8,Customers!$A$5:$A$504,0))),"")</f>
        <v>Northpoint Services</v>
      </c>
      <c r="E8" s="10" t="s">
        <v>25</v>
      </c>
      <c r="F8" s="12" t="n">
        <v>46120</v>
      </c>
      <c r="G8" s="12"/>
      <c r="H8" s="10" t="s">
        <v>163</v>
      </c>
      <c r="I8" s="10"/>
      <c r="J8" s="9" t="n">
        <f aca="false">IFERROR(SUMIFS(SalesOrderLines!$I$5:$I$504,SalesOrderLines!$B$5:$B$504,A8),"")</f>
        <v>630</v>
      </c>
      <c r="K8" s="9" t="n">
        <f aca="false">IFERROR(SUMIFS(SalesOrderLines!$J$5:$J$504,SalesOrderLines!$B$5:$B$504,A8),"")</f>
        <v>126</v>
      </c>
      <c r="L8" s="9" t="n">
        <f aca="false">IFERROR(J8+K8,"")</f>
        <v>756</v>
      </c>
      <c r="M8" s="9" t="n">
        <f aca="false">IFERROR(SUMIFS(Payments!$E$5:$E$504,Payments!$D$5:$D$504,A8,Payments!$C$5:$C$504,"In"),"")</f>
        <v>0</v>
      </c>
      <c r="N8" s="9" t="n">
        <f aca="false">IFERROR(L8-M8,"")</f>
        <v>756</v>
      </c>
    </row>
    <row r="9" customFormat="false" ht="15" hidden="false" customHeight="false" outlineLevel="0" collapsed="false">
      <c r="A9" s="10" t="s">
        <v>164</v>
      </c>
      <c r="B9" s="12" t="n">
        <v>46113</v>
      </c>
      <c r="C9" s="10" t="s">
        <v>43</v>
      </c>
      <c r="D9" s="14" t="str">
        <f aca="false">IFERROR(IF(C9="","",INDEX(Customers!$B$5:$B$504,MATCH(C9,Customers!$A$5:$A$504,0))),"")</f>
        <v>Acme Engineering Ltd</v>
      </c>
      <c r="E9" s="10" t="s">
        <v>24</v>
      </c>
      <c r="F9" s="12" t="n">
        <v>46127</v>
      </c>
      <c r="G9" s="12"/>
      <c r="H9" s="10"/>
      <c r="I9" s="10" t="s">
        <v>165</v>
      </c>
      <c r="J9" s="9" t="n">
        <f aca="false">IFERROR(SUMIFS(SalesOrderLines!$I$5:$I$504,SalesOrderLines!$B$5:$B$504,A9),"")</f>
        <v>2400</v>
      </c>
      <c r="K9" s="9" t="n">
        <f aca="false">IFERROR(SUMIFS(SalesOrderLines!$J$5:$J$504,SalesOrderLines!$B$5:$B$504,A9),"")</f>
        <v>480</v>
      </c>
      <c r="L9" s="9" t="n">
        <f aca="false">IFERROR(J9+K9,"")</f>
        <v>2880</v>
      </c>
      <c r="M9" s="9" t="n">
        <f aca="false">IFERROR(SUMIFS(Payments!$E$5:$E$504,Payments!$D$5:$D$504,A9,Payments!$C$5:$C$504,"In"),"")</f>
        <v>0</v>
      </c>
      <c r="N9" s="9" t="n">
        <f aca="false">IFERROR(L9-M9,"")</f>
        <v>2880</v>
      </c>
    </row>
    <row r="10" customFormat="false" ht="15" hidden="false" customHeight="false" outlineLevel="0" collapsed="false">
      <c r="A10" s="10"/>
      <c r="B10" s="12"/>
      <c r="C10" s="10"/>
      <c r="D10" s="14" t="str">
        <f aca="false">IFERROR(IF(C10="","",INDEX(Customers!$B$5:$B$504,MATCH(C10,Customers!$A$5:$A$504,0))),"")</f>
        <v/>
      </c>
      <c r="E10" s="10" t="s">
        <v>24</v>
      </c>
      <c r="F10" s="12"/>
      <c r="G10" s="12"/>
      <c r="H10" s="10"/>
      <c r="I10" s="10"/>
      <c r="J10" s="9" t="n">
        <f aca="false">IFERROR(SUMIFS(SalesOrderLines!$I$5:$I$504,SalesOrderLines!$B$5:$B$504,A10),"")</f>
        <v>0</v>
      </c>
      <c r="K10" s="9" t="n">
        <f aca="false">IFERROR(SUMIFS(SalesOrderLines!$J$5:$J$504,SalesOrderLines!$B$5:$B$504,A10),"")</f>
        <v>0</v>
      </c>
      <c r="L10" s="9" t="n">
        <f aca="false">IFERROR(J10+K10,"")</f>
        <v>0</v>
      </c>
      <c r="M10" s="9" t="n">
        <f aca="false">IFERROR(SUMIFS(Payments!$E$5:$E$504,Payments!$D$5:$D$504,A10,Payments!$C$5:$C$504,"In"),"")</f>
        <v>0</v>
      </c>
      <c r="N10" s="9" t="n">
        <f aca="false">IFERROR(L10-M10,"")</f>
        <v>0</v>
      </c>
    </row>
    <row r="11" customFormat="false" ht="15" hidden="false" customHeight="false" outlineLevel="0" collapsed="false">
      <c r="A11" s="10"/>
      <c r="B11" s="12"/>
      <c r="C11" s="10"/>
      <c r="D11" s="14" t="str">
        <f aca="false">IFERROR(IF(C11="","",INDEX(Customers!$B$5:$B$504,MATCH(C11,Customers!$A$5:$A$504,0))),"")</f>
        <v/>
      </c>
      <c r="E11" s="10" t="s">
        <v>24</v>
      </c>
      <c r="F11" s="12"/>
      <c r="G11" s="12"/>
      <c r="H11" s="10"/>
      <c r="I11" s="10"/>
      <c r="J11" s="9" t="n">
        <f aca="false">IFERROR(SUMIFS(SalesOrderLines!$I$5:$I$504,SalesOrderLines!$B$5:$B$504,A11),"")</f>
        <v>0</v>
      </c>
      <c r="K11" s="9" t="n">
        <f aca="false">IFERROR(SUMIFS(SalesOrderLines!$J$5:$J$504,SalesOrderLines!$B$5:$B$504,A11),"")</f>
        <v>0</v>
      </c>
      <c r="L11" s="9" t="n">
        <f aca="false">IFERROR(J11+K11,"")</f>
        <v>0</v>
      </c>
      <c r="M11" s="9" t="n">
        <f aca="false">IFERROR(SUMIFS(Payments!$E$5:$E$504,Payments!$D$5:$D$504,A11,Payments!$C$5:$C$504,"In"),"")</f>
        <v>0</v>
      </c>
      <c r="N11" s="9" t="n">
        <f aca="false">IFERROR(L11-M11,"")</f>
        <v>0</v>
      </c>
    </row>
    <row r="12" customFormat="false" ht="15" hidden="false" customHeight="false" outlineLevel="0" collapsed="false">
      <c r="A12" s="10"/>
      <c r="B12" s="12"/>
      <c r="C12" s="10"/>
      <c r="D12" s="14" t="str">
        <f aca="false">IFERROR(IF(C12="","",INDEX(Customers!$B$5:$B$504,MATCH(C12,Customers!$A$5:$A$504,0))),"")</f>
        <v/>
      </c>
      <c r="E12" s="10" t="s">
        <v>24</v>
      </c>
      <c r="F12" s="12"/>
      <c r="G12" s="12"/>
      <c r="H12" s="10"/>
      <c r="I12" s="10"/>
      <c r="J12" s="9" t="n">
        <f aca="false">IFERROR(SUMIFS(SalesOrderLines!$I$5:$I$504,SalesOrderLines!$B$5:$B$504,A12),"")</f>
        <v>0</v>
      </c>
      <c r="K12" s="9" t="n">
        <f aca="false">IFERROR(SUMIFS(SalesOrderLines!$J$5:$J$504,SalesOrderLines!$B$5:$B$504,A12),"")</f>
        <v>0</v>
      </c>
      <c r="L12" s="9" t="n">
        <f aca="false">IFERROR(J12+K12,"")</f>
        <v>0</v>
      </c>
      <c r="M12" s="9" t="n">
        <f aca="false">IFERROR(SUMIFS(Payments!$E$5:$E$504,Payments!$D$5:$D$504,A12,Payments!$C$5:$C$504,"In"),"")</f>
        <v>0</v>
      </c>
      <c r="N12" s="9" t="n">
        <f aca="false">IFERROR(L12-M12,"")</f>
        <v>0</v>
      </c>
    </row>
    <row r="13" customFormat="false" ht="15" hidden="false" customHeight="false" outlineLevel="0" collapsed="false">
      <c r="A13" s="10"/>
      <c r="B13" s="12"/>
      <c r="C13" s="10"/>
      <c r="D13" s="14" t="str">
        <f aca="false">IFERROR(IF(C13="","",INDEX(Customers!$B$5:$B$504,MATCH(C13,Customers!$A$5:$A$504,0))),"")</f>
        <v/>
      </c>
      <c r="E13" s="10" t="s">
        <v>24</v>
      </c>
      <c r="F13" s="12"/>
      <c r="G13" s="12"/>
      <c r="H13" s="10"/>
      <c r="I13" s="10"/>
      <c r="J13" s="9" t="n">
        <f aca="false">IFERROR(SUMIFS(SalesOrderLines!$I$5:$I$504,SalesOrderLines!$B$5:$B$504,A13),"")</f>
        <v>0</v>
      </c>
      <c r="K13" s="9" t="n">
        <f aca="false">IFERROR(SUMIFS(SalesOrderLines!$J$5:$J$504,SalesOrderLines!$B$5:$B$504,A13),"")</f>
        <v>0</v>
      </c>
      <c r="L13" s="9" t="n">
        <f aca="false">IFERROR(J13+K13,"")</f>
        <v>0</v>
      </c>
      <c r="M13" s="9" t="n">
        <f aca="false">IFERROR(SUMIFS(Payments!$E$5:$E$504,Payments!$D$5:$D$504,A13,Payments!$C$5:$C$504,"In"),"")</f>
        <v>0</v>
      </c>
      <c r="N13" s="9" t="n">
        <f aca="false">IFERROR(L13-M13,"")</f>
        <v>0</v>
      </c>
    </row>
    <row r="14" customFormat="false" ht="15" hidden="false" customHeight="false" outlineLevel="0" collapsed="false">
      <c r="A14" s="10"/>
      <c r="B14" s="12"/>
      <c r="C14" s="10"/>
      <c r="D14" s="14" t="str">
        <f aca="false">IFERROR(IF(C14="","",INDEX(Customers!$B$5:$B$504,MATCH(C14,Customers!$A$5:$A$504,0))),"")</f>
        <v/>
      </c>
      <c r="E14" s="10" t="s">
        <v>24</v>
      </c>
      <c r="F14" s="12"/>
      <c r="G14" s="12"/>
      <c r="H14" s="10"/>
      <c r="I14" s="10"/>
      <c r="J14" s="9" t="n">
        <f aca="false">IFERROR(SUMIFS(SalesOrderLines!$I$5:$I$504,SalesOrderLines!$B$5:$B$504,A14),"")</f>
        <v>0</v>
      </c>
      <c r="K14" s="9" t="n">
        <f aca="false">IFERROR(SUMIFS(SalesOrderLines!$J$5:$J$504,SalesOrderLines!$B$5:$B$504,A14),"")</f>
        <v>0</v>
      </c>
      <c r="L14" s="9" t="n">
        <f aca="false">IFERROR(J14+K14,"")</f>
        <v>0</v>
      </c>
      <c r="M14" s="9" t="n">
        <f aca="false">IFERROR(SUMIFS(Payments!$E$5:$E$504,Payments!$D$5:$D$504,A14,Payments!$C$5:$C$504,"In"),"")</f>
        <v>0</v>
      </c>
      <c r="N14" s="9" t="n">
        <f aca="false">IFERROR(L14-M14,"")</f>
        <v>0</v>
      </c>
    </row>
    <row r="15" customFormat="false" ht="15" hidden="false" customHeight="false" outlineLevel="0" collapsed="false">
      <c r="A15" s="10"/>
      <c r="B15" s="12"/>
      <c r="C15" s="10"/>
      <c r="D15" s="14" t="str">
        <f aca="false">IFERROR(IF(C15="","",INDEX(Customers!$B$5:$B$504,MATCH(C15,Customers!$A$5:$A$504,0))),"")</f>
        <v/>
      </c>
      <c r="E15" s="10" t="s">
        <v>24</v>
      </c>
      <c r="F15" s="12"/>
      <c r="G15" s="12"/>
      <c r="H15" s="10"/>
      <c r="I15" s="10"/>
      <c r="J15" s="9" t="n">
        <f aca="false">IFERROR(SUMIFS(SalesOrderLines!$I$5:$I$504,SalesOrderLines!$B$5:$B$504,A15),"")</f>
        <v>0</v>
      </c>
      <c r="K15" s="9" t="n">
        <f aca="false">IFERROR(SUMIFS(SalesOrderLines!$J$5:$J$504,SalesOrderLines!$B$5:$B$504,A15),"")</f>
        <v>0</v>
      </c>
      <c r="L15" s="9" t="n">
        <f aca="false">IFERROR(J15+K15,"")</f>
        <v>0</v>
      </c>
      <c r="M15" s="9" t="n">
        <f aca="false">IFERROR(SUMIFS(Payments!$E$5:$E$504,Payments!$D$5:$D$504,A15,Payments!$C$5:$C$504,"In"),"")</f>
        <v>0</v>
      </c>
      <c r="N15" s="9" t="n">
        <f aca="false">IFERROR(L15-M15,"")</f>
        <v>0</v>
      </c>
    </row>
    <row r="16" customFormat="false" ht="15" hidden="false" customHeight="false" outlineLevel="0" collapsed="false">
      <c r="A16" s="10"/>
      <c r="B16" s="12"/>
      <c r="C16" s="10"/>
      <c r="D16" s="14" t="str">
        <f aca="false">IFERROR(IF(C16="","",INDEX(Customers!$B$5:$B$504,MATCH(C16,Customers!$A$5:$A$504,0))),"")</f>
        <v/>
      </c>
      <c r="E16" s="10" t="s">
        <v>24</v>
      </c>
      <c r="F16" s="12"/>
      <c r="G16" s="12"/>
      <c r="H16" s="10"/>
      <c r="I16" s="10"/>
      <c r="J16" s="9" t="n">
        <f aca="false">IFERROR(SUMIFS(SalesOrderLines!$I$5:$I$504,SalesOrderLines!$B$5:$B$504,A16),"")</f>
        <v>0</v>
      </c>
      <c r="K16" s="9" t="n">
        <f aca="false">IFERROR(SUMIFS(SalesOrderLines!$J$5:$J$504,SalesOrderLines!$B$5:$B$504,A16),"")</f>
        <v>0</v>
      </c>
      <c r="L16" s="9" t="n">
        <f aca="false">IFERROR(J16+K16,"")</f>
        <v>0</v>
      </c>
      <c r="M16" s="9" t="n">
        <f aca="false">IFERROR(SUMIFS(Payments!$E$5:$E$504,Payments!$D$5:$D$504,A16,Payments!$C$5:$C$504,"In"),"")</f>
        <v>0</v>
      </c>
      <c r="N16" s="9" t="n">
        <f aca="false">IFERROR(L16-M16,"")</f>
        <v>0</v>
      </c>
    </row>
    <row r="17" customFormat="false" ht="15" hidden="false" customHeight="false" outlineLevel="0" collapsed="false">
      <c r="A17" s="10"/>
      <c r="B17" s="12"/>
      <c r="C17" s="10"/>
      <c r="D17" s="14" t="str">
        <f aca="false">IFERROR(IF(C17="","",INDEX(Customers!$B$5:$B$504,MATCH(C17,Customers!$A$5:$A$504,0))),"")</f>
        <v/>
      </c>
      <c r="E17" s="10" t="s">
        <v>24</v>
      </c>
      <c r="F17" s="12"/>
      <c r="G17" s="12"/>
      <c r="H17" s="10"/>
      <c r="I17" s="10"/>
      <c r="J17" s="9" t="n">
        <f aca="false">IFERROR(SUMIFS(SalesOrderLines!$I$5:$I$504,SalesOrderLines!$B$5:$B$504,A17),"")</f>
        <v>0</v>
      </c>
      <c r="K17" s="9" t="n">
        <f aca="false">IFERROR(SUMIFS(SalesOrderLines!$J$5:$J$504,SalesOrderLines!$B$5:$B$504,A17),"")</f>
        <v>0</v>
      </c>
      <c r="L17" s="9" t="n">
        <f aca="false">IFERROR(J17+K17,"")</f>
        <v>0</v>
      </c>
      <c r="M17" s="9" t="n">
        <f aca="false">IFERROR(SUMIFS(Payments!$E$5:$E$504,Payments!$D$5:$D$504,A17,Payments!$C$5:$C$504,"In"),"")</f>
        <v>0</v>
      </c>
      <c r="N17" s="9" t="n">
        <f aca="false">IFERROR(L17-M17,"")</f>
        <v>0</v>
      </c>
    </row>
    <row r="18" customFormat="false" ht="15" hidden="false" customHeight="false" outlineLevel="0" collapsed="false">
      <c r="A18" s="10"/>
      <c r="B18" s="12"/>
      <c r="C18" s="10"/>
      <c r="D18" s="14" t="str">
        <f aca="false">IFERROR(IF(C18="","",INDEX(Customers!$B$5:$B$504,MATCH(C18,Customers!$A$5:$A$504,0))),"")</f>
        <v/>
      </c>
      <c r="E18" s="10" t="s">
        <v>24</v>
      </c>
      <c r="F18" s="12"/>
      <c r="G18" s="12"/>
      <c r="H18" s="10"/>
      <c r="I18" s="10"/>
      <c r="J18" s="9" t="n">
        <f aca="false">IFERROR(SUMIFS(SalesOrderLines!$I$5:$I$504,SalesOrderLines!$B$5:$B$504,A18),"")</f>
        <v>0</v>
      </c>
      <c r="K18" s="9" t="n">
        <f aca="false">IFERROR(SUMIFS(SalesOrderLines!$J$5:$J$504,SalesOrderLines!$B$5:$B$504,A18),"")</f>
        <v>0</v>
      </c>
      <c r="L18" s="9" t="n">
        <f aca="false">IFERROR(J18+K18,"")</f>
        <v>0</v>
      </c>
      <c r="M18" s="9" t="n">
        <f aca="false">IFERROR(SUMIFS(Payments!$E$5:$E$504,Payments!$D$5:$D$504,A18,Payments!$C$5:$C$504,"In"),"")</f>
        <v>0</v>
      </c>
      <c r="N18" s="9" t="n">
        <f aca="false">IFERROR(L18-M18,"")</f>
        <v>0</v>
      </c>
    </row>
    <row r="19" customFormat="false" ht="15" hidden="false" customHeight="false" outlineLevel="0" collapsed="false">
      <c r="A19" s="10"/>
      <c r="B19" s="12"/>
      <c r="C19" s="10"/>
      <c r="D19" s="14" t="str">
        <f aca="false">IFERROR(IF(C19="","",INDEX(Customers!$B$5:$B$504,MATCH(C19,Customers!$A$5:$A$504,0))),"")</f>
        <v/>
      </c>
      <c r="E19" s="10" t="s">
        <v>24</v>
      </c>
      <c r="F19" s="12"/>
      <c r="G19" s="12"/>
      <c r="H19" s="10"/>
      <c r="I19" s="10"/>
      <c r="J19" s="9" t="n">
        <f aca="false">IFERROR(SUMIFS(SalesOrderLines!$I$5:$I$504,SalesOrderLines!$B$5:$B$504,A19),"")</f>
        <v>0</v>
      </c>
      <c r="K19" s="9" t="n">
        <f aca="false">IFERROR(SUMIFS(SalesOrderLines!$J$5:$J$504,SalesOrderLines!$B$5:$B$504,A19),"")</f>
        <v>0</v>
      </c>
      <c r="L19" s="9" t="n">
        <f aca="false">IFERROR(J19+K19,"")</f>
        <v>0</v>
      </c>
      <c r="M19" s="9" t="n">
        <f aca="false">IFERROR(SUMIFS(Payments!$E$5:$E$504,Payments!$D$5:$D$504,A19,Payments!$C$5:$C$504,"In"),"")</f>
        <v>0</v>
      </c>
      <c r="N19" s="9" t="n">
        <f aca="false">IFERROR(L19-M19,"")</f>
        <v>0</v>
      </c>
    </row>
    <row r="20" customFormat="false" ht="15" hidden="false" customHeight="false" outlineLevel="0" collapsed="false">
      <c r="A20" s="10"/>
      <c r="B20" s="12"/>
      <c r="C20" s="10"/>
      <c r="D20" s="14" t="str">
        <f aca="false">IFERROR(IF(C20="","",INDEX(Customers!$B$5:$B$504,MATCH(C20,Customers!$A$5:$A$504,0))),"")</f>
        <v/>
      </c>
      <c r="E20" s="10" t="s">
        <v>24</v>
      </c>
      <c r="F20" s="12"/>
      <c r="G20" s="12"/>
      <c r="H20" s="10"/>
      <c r="I20" s="10"/>
      <c r="J20" s="9" t="n">
        <f aca="false">IFERROR(SUMIFS(SalesOrderLines!$I$5:$I$504,SalesOrderLines!$B$5:$B$504,A20),"")</f>
        <v>0</v>
      </c>
      <c r="K20" s="9" t="n">
        <f aca="false">IFERROR(SUMIFS(SalesOrderLines!$J$5:$J$504,SalesOrderLines!$B$5:$B$504,A20),"")</f>
        <v>0</v>
      </c>
      <c r="L20" s="9" t="n">
        <f aca="false">IFERROR(J20+K20,"")</f>
        <v>0</v>
      </c>
      <c r="M20" s="9" t="n">
        <f aca="false">IFERROR(SUMIFS(Payments!$E$5:$E$504,Payments!$D$5:$D$504,A20,Payments!$C$5:$C$504,"In"),"")</f>
        <v>0</v>
      </c>
      <c r="N20" s="9" t="n">
        <f aca="false">IFERROR(L20-M20,"")</f>
        <v>0</v>
      </c>
    </row>
    <row r="21" customFormat="false" ht="15" hidden="false" customHeight="false" outlineLevel="0" collapsed="false">
      <c r="A21" s="10"/>
      <c r="B21" s="12"/>
      <c r="C21" s="10"/>
      <c r="D21" s="14" t="str">
        <f aca="false">IFERROR(IF(C21="","",INDEX(Customers!$B$5:$B$504,MATCH(C21,Customers!$A$5:$A$504,0))),"")</f>
        <v/>
      </c>
      <c r="E21" s="10" t="s">
        <v>24</v>
      </c>
      <c r="F21" s="12"/>
      <c r="G21" s="12"/>
      <c r="H21" s="10"/>
      <c r="I21" s="10"/>
      <c r="J21" s="9" t="n">
        <f aca="false">IFERROR(SUMIFS(SalesOrderLines!$I$5:$I$504,SalesOrderLines!$B$5:$B$504,A21),"")</f>
        <v>0</v>
      </c>
      <c r="K21" s="9" t="n">
        <f aca="false">IFERROR(SUMIFS(SalesOrderLines!$J$5:$J$504,SalesOrderLines!$B$5:$B$504,A21),"")</f>
        <v>0</v>
      </c>
      <c r="L21" s="9" t="n">
        <f aca="false">IFERROR(J21+K21,"")</f>
        <v>0</v>
      </c>
      <c r="M21" s="9" t="n">
        <f aca="false">IFERROR(SUMIFS(Payments!$E$5:$E$504,Payments!$D$5:$D$504,A21,Payments!$C$5:$C$504,"In"),"")</f>
        <v>0</v>
      </c>
      <c r="N21" s="9" t="n">
        <f aca="false">IFERROR(L21-M21,"")</f>
        <v>0</v>
      </c>
    </row>
    <row r="22" customFormat="false" ht="15" hidden="false" customHeight="false" outlineLevel="0" collapsed="false">
      <c r="A22" s="10"/>
      <c r="B22" s="12"/>
      <c r="C22" s="10"/>
      <c r="D22" s="14" t="str">
        <f aca="false">IFERROR(IF(C22="","",INDEX(Customers!$B$5:$B$504,MATCH(C22,Customers!$A$5:$A$504,0))),"")</f>
        <v/>
      </c>
      <c r="E22" s="10" t="s">
        <v>24</v>
      </c>
      <c r="F22" s="12"/>
      <c r="G22" s="12"/>
      <c r="H22" s="10"/>
      <c r="I22" s="10"/>
      <c r="J22" s="9" t="n">
        <f aca="false">IFERROR(SUMIFS(SalesOrderLines!$I$5:$I$504,SalesOrderLines!$B$5:$B$504,A22),"")</f>
        <v>0</v>
      </c>
      <c r="K22" s="9" t="n">
        <f aca="false">IFERROR(SUMIFS(SalesOrderLines!$J$5:$J$504,SalesOrderLines!$B$5:$B$504,A22),"")</f>
        <v>0</v>
      </c>
      <c r="L22" s="9" t="n">
        <f aca="false">IFERROR(J22+K22,"")</f>
        <v>0</v>
      </c>
      <c r="M22" s="9" t="n">
        <f aca="false">IFERROR(SUMIFS(Payments!$E$5:$E$504,Payments!$D$5:$D$504,A22,Payments!$C$5:$C$504,"In"),"")</f>
        <v>0</v>
      </c>
      <c r="N22" s="9" t="n">
        <f aca="false">IFERROR(L22-M22,"")</f>
        <v>0</v>
      </c>
    </row>
    <row r="23" customFormat="false" ht="15" hidden="false" customHeight="false" outlineLevel="0" collapsed="false">
      <c r="A23" s="10"/>
      <c r="B23" s="12"/>
      <c r="C23" s="10"/>
      <c r="D23" s="14" t="str">
        <f aca="false">IFERROR(IF(C23="","",INDEX(Customers!$B$5:$B$504,MATCH(C23,Customers!$A$5:$A$504,0))),"")</f>
        <v/>
      </c>
      <c r="E23" s="10" t="s">
        <v>24</v>
      </c>
      <c r="F23" s="12"/>
      <c r="G23" s="12"/>
      <c r="H23" s="10"/>
      <c r="I23" s="10"/>
      <c r="J23" s="9" t="n">
        <f aca="false">IFERROR(SUMIFS(SalesOrderLines!$I$5:$I$504,SalesOrderLines!$B$5:$B$504,A23),"")</f>
        <v>0</v>
      </c>
      <c r="K23" s="9" t="n">
        <f aca="false">IFERROR(SUMIFS(SalesOrderLines!$J$5:$J$504,SalesOrderLines!$B$5:$B$504,A23),"")</f>
        <v>0</v>
      </c>
      <c r="L23" s="9" t="n">
        <f aca="false">IFERROR(J23+K23,"")</f>
        <v>0</v>
      </c>
      <c r="M23" s="9" t="n">
        <f aca="false">IFERROR(SUMIFS(Payments!$E$5:$E$504,Payments!$D$5:$D$504,A23,Payments!$C$5:$C$504,"In"),"")</f>
        <v>0</v>
      </c>
      <c r="N23" s="9" t="n">
        <f aca="false">IFERROR(L23-M23,"")</f>
        <v>0</v>
      </c>
    </row>
    <row r="24" customFormat="false" ht="15" hidden="false" customHeight="false" outlineLevel="0" collapsed="false">
      <c r="A24" s="10"/>
      <c r="B24" s="12"/>
      <c r="C24" s="10"/>
      <c r="D24" s="14" t="str">
        <f aca="false">IFERROR(IF(C24="","",INDEX(Customers!$B$5:$B$504,MATCH(C24,Customers!$A$5:$A$504,0))),"")</f>
        <v/>
      </c>
      <c r="E24" s="10" t="s">
        <v>24</v>
      </c>
      <c r="F24" s="12"/>
      <c r="G24" s="12"/>
      <c r="H24" s="10"/>
      <c r="I24" s="10"/>
      <c r="J24" s="9" t="n">
        <f aca="false">IFERROR(SUMIFS(SalesOrderLines!$I$5:$I$504,SalesOrderLines!$B$5:$B$504,A24),"")</f>
        <v>0</v>
      </c>
      <c r="K24" s="9" t="n">
        <f aca="false">IFERROR(SUMIFS(SalesOrderLines!$J$5:$J$504,SalesOrderLines!$B$5:$B$504,A24),"")</f>
        <v>0</v>
      </c>
      <c r="L24" s="9" t="n">
        <f aca="false">IFERROR(J24+K24,"")</f>
        <v>0</v>
      </c>
      <c r="M24" s="9" t="n">
        <f aca="false">IFERROR(SUMIFS(Payments!$E$5:$E$504,Payments!$D$5:$D$504,A24,Payments!$C$5:$C$504,"In"),"")</f>
        <v>0</v>
      </c>
      <c r="N24" s="9" t="n">
        <f aca="false">IFERROR(L24-M24,"")</f>
        <v>0</v>
      </c>
    </row>
    <row r="25" customFormat="false" ht="15" hidden="false" customHeight="false" outlineLevel="0" collapsed="false">
      <c r="A25" s="10"/>
      <c r="B25" s="12"/>
      <c r="C25" s="10"/>
      <c r="D25" s="14" t="str">
        <f aca="false">IFERROR(IF(C25="","",INDEX(Customers!$B$5:$B$504,MATCH(C25,Customers!$A$5:$A$504,0))),"")</f>
        <v/>
      </c>
      <c r="E25" s="10" t="s">
        <v>24</v>
      </c>
      <c r="F25" s="12"/>
      <c r="G25" s="12"/>
      <c r="H25" s="10"/>
      <c r="I25" s="10"/>
      <c r="J25" s="9" t="n">
        <f aca="false">IFERROR(SUMIFS(SalesOrderLines!$I$5:$I$504,SalesOrderLines!$B$5:$B$504,A25),"")</f>
        <v>0</v>
      </c>
      <c r="K25" s="9" t="n">
        <f aca="false">IFERROR(SUMIFS(SalesOrderLines!$J$5:$J$504,SalesOrderLines!$B$5:$B$504,A25),"")</f>
        <v>0</v>
      </c>
      <c r="L25" s="9" t="n">
        <f aca="false">IFERROR(J25+K25,"")</f>
        <v>0</v>
      </c>
      <c r="M25" s="9" t="n">
        <f aca="false">IFERROR(SUMIFS(Payments!$E$5:$E$504,Payments!$D$5:$D$504,A25,Payments!$C$5:$C$504,"In"),"")</f>
        <v>0</v>
      </c>
      <c r="N25" s="9" t="n">
        <f aca="false">IFERROR(L25-M25,"")</f>
        <v>0</v>
      </c>
    </row>
    <row r="26" customFormat="false" ht="15" hidden="false" customHeight="false" outlineLevel="0" collapsed="false">
      <c r="A26" s="10"/>
      <c r="B26" s="12"/>
      <c r="C26" s="10"/>
      <c r="D26" s="14" t="str">
        <f aca="false">IFERROR(IF(C26="","",INDEX(Customers!$B$5:$B$504,MATCH(C26,Customers!$A$5:$A$504,0))),"")</f>
        <v/>
      </c>
      <c r="E26" s="10" t="s">
        <v>24</v>
      </c>
      <c r="F26" s="12"/>
      <c r="G26" s="12"/>
      <c r="H26" s="10"/>
      <c r="I26" s="10"/>
      <c r="J26" s="9" t="n">
        <f aca="false">IFERROR(SUMIFS(SalesOrderLines!$I$5:$I$504,SalesOrderLines!$B$5:$B$504,A26),"")</f>
        <v>0</v>
      </c>
      <c r="K26" s="9" t="n">
        <f aca="false">IFERROR(SUMIFS(SalesOrderLines!$J$5:$J$504,SalesOrderLines!$B$5:$B$504,A26),"")</f>
        <v>0</v>
      </c>
      <c r="L26" s="9" t="n">
        <f aca="false">IFERROR(J26+K26,"")</f>
        <v>0</v>
      </c>
      <c r="M26" s="9" t="n">
        <f aca="false">IFERROR(SUMIFS(Payments!$E$5:$E$504,Payments!$D$5:$D$504,A26,Payments!$C$5:$C$504,"In"),"")</f>
        <v>0</v>
      </c>
      <c r="N26" s="9" t="n">
        <f aca="false">IFERROR(L26-M26,"")</f>
        <v>0</v>
      </c>
    </row>
    <row r="27" customFormat="false" ht="15" hidden="false" customHeight="false" outlineLevel="0" collapsed="false">
      <c r="A27" s="10"/>
      <c r="B27" s="12"/>
      <c r="C27" s="10"/>
      <c r="D27" s="14" t="str">
        <f aca="false">IFERROR(IF(C27="","",INDEX(Customers!$B$5:$B$504,MATCH(C27,Customers!$A$5:$A$504,0))),"")</f>
        <v/>
      </c>
      <c r="E27" s="10" t="s">
        <v>24</v>
      </c>
      <c r="F27" s="12"/>
      <c r="G27" s="12"/>
      <c r="H27" s="10"/>
      <c r="I27" s="10"/>
      <c r="J27" s="9" t="n">
        <f aca="false">IFERROR(SUMIFS(SalesOrderLines!$I$5:$I$504,SalesOrderLines!$B$5:$B$504,A27),"")</f>
        <v>0</v>
      </c>
      <c r="K27" s="9" t="n">
        <f aca="false">IFERROR(SUMIFS(SalesOrderLines!$J$5:$J$504,SalesOrderLines!$B$5:$B$504,A27),"")</f>
        <v>0</v>
      </c>
      <c r="L27" s="9" t="n">
        <f aca="false">IFERROR(J27+K27,"")</f>
        <v>0</v>
      </c>
      <c r="M27" s="9" t="n">
        <f aca="false">IFERROR(SUMIFS(Payments!$E$5:$E$504,Payments!$D$5:$D$504,A27,Payments!$C$5:$C$504,"In"),"")</f>
        <v>0</v>
      </c>
      <c r="N27" s="9" t="n">
        <f aca="false">IFERROR(L27-M27,"")</f>
        <v>0</v>
      </c>
    </row>
    <row r="28" customFormat="false" ht="15" hidden="false" customHeight="false" outlineLevel="0" collapsed="false">
      <c r="A28" s="10"/>
      <c r="B28" s="12"/>
      <c r="C28" s="10"/>
      <c r="D28" s="14" t="str">
        <f aca="false">IFERROR(IF(C28="","",INDEX(Customers!$B$5:$B$504,MATCH(C28,Customers!$A$5:$A$504,0))),"")</f>
        <v/>
      </c>
      <c r="E28" s="10" t="s">
        <v>24</v>
      </c>
      <c r="F28" s="12"/>
      <c r="G28" s="12"/>
      <c r="H28" s="10"/>
      <c r="I28" s="10"/>
      <c r="J28" s="9" t="n">
        <f aca="false">IFERROR(SUMIFS(SalesOrderLines!$I$5:$I$504,SalesOrderLines!$B$5:$B$504,A28),"")</f>
        <v>0</v>
      </c>
      <c r="K28" s="9" t="n">
        <f aca="false">IFERROR(SUMIFS(SalesOrderLines!$J$5:$J$504,SalesOrderLines!$B$5:$B$504,A28),"")</f>
        <v>0</v>
      </c>
      <c r="L28" s="9" t="n">
        <f aca="false">IFERROR(J28+K28,"")</f>
        <v>0</v>
      </c>
      <c r="M28" s="9" t="n">
        <f aca="false">IFERROR(SUMIFS(Payments!$E$5:$E$504,Payments!$D$5:$D$504,A28,Payments!$C$5:$C$504,"In"),"")</f>
        <v>0</v>
      </c>
      <c r="N28" s="9" t="n">
        <f aca="false">IFERROR(L28-M28,"")</f>
        <v>0</v>
      </c>
    </row>
    <row r="29" customFormat="false" ht="15" hidden="false" customHeight="false" outlineLevel="0" collapsed="false">
      <c r="A29" s="10"/>
      <c r="B29" s="12"/>
      <c r="C29" s="10"/>
      <c r="D29" s="14" t="str">
        <f aca="false">IFERROR(IF(C29="","",INDEX(Customers!$B$5:$B$504,MATCH(C29,Customers!$A$5:$A$504,0))),"")</f>
        <v/>
      </c>
      <c r="E29" s="10" t="s">
        <v>24</v>
      </c>
      <c r="F29" s="12"/>
      <c r="G29" s="12"/>
      <c r="H29" s="10"/>
      <c r="I29" s="10"/>
      <c r="J29" s="9" t="n">
        <f aca="false">IFERROR(SUMIFS(SalesOrderLines!$I$5:$I$504,SalesOrderLines!$B$5:$B$504,A29),"")</f>
        <v>0</v>
      </c>
      <c r="K29" s="9" t="n">
        <f aca="false">IFERROR(SUMIFS(SalesOrderLines!$J$5:$J$504,SalesOrderLines!$B$5:$B$504,A29),"")</f>
        <v>0</v>
      </c>
      <c r="L29" s="9" t="n">
        <f aca="false">IFERROR(J29+K29,"")</f>
        <v>0</v>
      </c>
      <c r="M29" s="9" t="n">
        <f aca="false">IFERROR(SUMIFS(Payments!$E$5:$E$504,Payments!$D$5:$D$504,A29,Payments!$C$5:$C$504,"In"),"")</f>
        <v>0</v>
      </c>
      <c r="N29" s="9" t="n">
        <f aca="false">IFERROR(L29-M29,"")</f>
        <v>0</v>
      </c>
    </row>
    <row r="30" customFormat="false" ht="15" hidden="false" customHeight="false" outlineLevel="0" collapsed="false">
      <c r="A30" s="10"/>
      <c r="B30" s="12"/>
      <c r="C30" s="10"/>
      <c r="D30" s="14" t="str">
        <f aca="false">IFERROR(IF(C30="","",INDEX(Customers!$B$5:$B$504,MATCH(C30,Customers!$A$5:$A$504,0))),"")</f>
        <v/>
      </c>
      <c r="E30" s="10" t="s">
        <v>24</v>
      </c>
      <c r="F30" s="12"/>
      <c r="G30" s="12"/>
      <c r="H30" s="10"/>
      <c r="I30" s="10"/>
      <c r="J30" s="9" t="n">
        <f aca="false">IFERROR(SUMIFS(SalesOrderLines!$I$5:$I$504,SalesOrderLines!$B$5:$B$504,A30),"")</f>
        <v>0</v>
      </c>
      <c r="K30" s="9" t="n">
        <f aca="false">IFERROR(SUMIFS(SalesOrderLines!$J$5:$J$504,SalesOrderLines!$B$5:$B$504,A30),"")</f>
        <v>0</v>
      </c>
      <c r="L30" s="9" t="n">
        <f aca="false">IFERROR(J30+K30,"")</f>
        <v>0</v>
      </c>
      <c r="M30" s="9" t="n">
        <f aca="false">IFERROR(SUMIFS(Payments!$E$5:$E$504,Payments!$D$5:$D$504,A30,Payments!$C$5:$C$504,"In"),"")</f>
        <v>0</v>
      </c>
      <c r="N30" s="9" t="n">
        <f aca="false">IFERROR(L30-M30,"")</f>
        <v>0</v>
      </c>
    </row>
    <row r="31" customFormat="false" ht="15" hidden="false" customHeight="false" outlineLevel="0" collapsed="false">
      <c r="A31" s="10"/>
      <c r="B31" s="12"/>
      <c r="C31" s="10"/>
      <c r="D31" s="14" t="str">
        <f aca="false">IFERROR(IF(C31="","",INDEX(Customers!$B$5:$B$504,MATCH(C31,Customers!$A$5:$A$504,0))),"")</f>
        <v/>
      </c>
      <c r="E31" s="10" t="s">
        <v>24</v>
      </c>
      <c r="F31" s="12"/>
      <c r="G31" s="12"/>
      <c r="H31" s="10"/>
      <c r="I31" s="10"/>
      <c r="J31" s="9" t="n">
        <f aca="false">IFERROR(SUMIFS(SalesOrderLines!$I$5:$I$504,SalesOrderLines!$B$5:$B$504,A31),"")</f>
        <v>0</v>
      </c>
      <c r="K31" s="9" t="n">
        <f aca="false">IFERROR(SUMIFS(SalesOrderLines!$J$5:$J$504,SalesOrderLines!$B$5:$B$504,A31),"")</f>
        <v>0</v>
      </c>
      <c r="L31" s="9" t="n">
        <f aca="false">IFERROR(J31+K31,"")</f>
        <v>0</v>
      </c>
      <c r="M31" s="9" t="n">
        <f aca="false">IFERROR(SUMIFS(Payments!$E$5:$E$504,Payments!$D$5:$D$504,A31,Payments!$C$5:$C$504,"In"),"")</f>
        <v>0</v>
      </c>
      <c r="N31" s="9" t="n">
        <f aca="false">IFERROR(L31-M31,"")</f>
        <v>0</v>
      </c>
    </row>
    <row r="32" customFormat="false" ht="15" hidden="false" customHeight="false" outlineLevel="0" collapsed="false">
      <c r="A32" s="10"/>
      <c r="B32" s="12"/>
      <c r="C32" s="10"/>
      <c r="D32" s="14" t="str">
        <f aca="false">IFERROR(IF(C32="","",INDEX(Customers!$B$5:$B$504,MATCH(C32,Customers!$A$5:$A$504,0))),"")</f>
        <v/>
      </c>
      <c r="E32" s="10" t="s">
        <v>24</v>
      </c>
      <c r="F32" s="12"/>
      <c r="G32" s="12"/>
      <c r="H32" s="10"/>
      <c r="I32" s="10"/>
      <c r="J32" s="9" t="n">
        <f aca="false">IFERROR(SUMIFS(SalesOrderLines!$I$5:$I$504,SalesOrderLines!$B$5:$B$504,A32),"")</f>
        <v>0</v>
      </c>
      <c r="K32" s="9" t="n">
        <f aca="false">IFERROR(SUMIFS(SalesOrderLines!$J$5:$J$504,SalesOrderLines!$B$5:$B$504,A32),"")</f>
        <v>0</v>
      </c>
      <c r="L32" s="9" t="n">
        <f aca="false">IFERROR(J32+K32,"")</f>
        <v>0</v>
      </c>
      <c r="M32" s="9" t="n">
        <f aca="false">IFERROR(SUMIFS(Payments!$E$5:$E$504,Payments!$D$5:$D$504,A32,Payments!$C$5:$C$504,"In"),"")</f>
        <v>0</v>
      </c>
      <c r="N32" s="9" t="n">
        <f aca="false">IFERROR(L32-M32,"")</f>
        <v>0</v>
      </c>
    </row>
    <row r="33" customFormat="false" ht="15" hidden="false" customHeight="false" outlineLevel="0" collapsed="false">
      <c r="A33" s="10"/>
      <c r="B33" s="12"/>
      <c r="C33" s="10"/>
      <c r="D33" s="14" t="str">
        <f aca="false">IFERROR(IF(C33="","",INDEX(Customers!$B$5:$B$504,MATCH(C33,Customers!$A$5:$A$504,0))),"")</f>
        <v/>
      </c>
      <c r="E33" s="10" t="s">
        <v>24</v>
      </c>
      <c r="F33" s="12"/>
      <c r="G33" s="12"/>
      <c r="H33" s="10"/>
      <c r="I33" s="10"/>
      <c r="J33" s="9" t="n">
        <f aca="false">IFERROR(SUMIFS(SalesOrderLines!$I$5:$I$504,SalesOrderLines!$B$5:$B$504,A33),"")</f>
        <v>0</v>
      </c>
      <c r="K33" s="9" t="n">
        <f aca="false">IFERROR(SUMIFS(SalesOrderLines!$J$5:$J$504,SalesOrderLines!$B$5:$B$504,A33),"")</f>
        <v>0</v>
      </c>
      <c r="L33" s="9" t="n">
        <f aca="false">IFERROR(J33+K33,"")</f>
        <v>0</v>
      </c>
      <c r="M33" s="9" t="n">
        <f aca="false">IFERROR(SUMIFS(Payments!$E$5:$E$504,Payments!$D$5:$D$504,A33,Payments!$C$5:$C$504,"In"),"")</f>
        <v>0</v>
      </c>
      <c r="N33" s="9" t="n">
        <f aca="false">IFERROR(L33-M33,"")</f>
        <v>0</v>
      </c>
    </row>
    <row r="34" customFormat="false" ht="15" hidden="false" customHeight="false" outlineLevel="0" collapsed="false">
      <c r="A34" s="10"/>
      <c r="B34" s="12"/>
      <c r="C34" s="10"/>
      <c r="D34" s="14" t="str">
        <f aca="false">IFERROR(IF(C34="","",INDEX(Customers!$B$5:$B$504,MATCH(C34,Customers!$A$5:$A$504,0))),"")</f>
        <v/>
      </c>
      <c r="E34" s="10" t="s">
        <v>24</v>
      </c>
      <c r="F34" s="12"/>
      <c r="G34" s="12"/>
      <c r="H34" s="10"/>
      <c r="I34" s="10"/>
      <c r="J34" s="9" t="n">
        <f aca="false">IFERROR(SUMIFS(SalesOrderLines!$I$5:$I$504,SalesOrderLines!$B$5:$B$504,A34),"")</f>
        <v>0</v>
      </c>
      <c r="K34" s="9" t="n">
        <f aca="false">IFERROR(SUMIFS(SalesOrderLines!$J$5:$J$504,SalesOrderLines!$B$5:$B$504,A34),"")</f>
        <v>0</v>
      </c>
      <c r="L34" s="9" t="n">
        <f aca="false">IFERROR(J34+K34,"")</f>
        <v>0</v>
      </c>
      <c r="M34" s="9" t="n">
        <f aca="false">IFERROR(SUMIFS(Payments!$E$5:$E$504,Payments!$D$5:$D$504,A34,Payments!$C$5:$C$504,"In"),"")</f>
        <v>0</v>
      </c>
      <c r="N34" s="9" t="n">
        <f aca="false">IFERROR(L34-M34,"")</f>
        <v>0</v>
      </c>
    </row>
    <row r="35" customFormat="false" ht="15" hidden="false" customHeight="false" outlineLevel="0" collapsed="false">
      <c r="A35" s="10"/>
      <c r="B35" s="12"/>
      <c r="C35" s="10"/>
      <c r="D35" s="14" t="str">
        <f aca="false">IFERROR(IF(C35="","",INDEX(Customers!$B$5:$B$504,MATCH(C35,Customers!$A$5:$A$504,0))),"")</f>
        <v/>
      </c>
      <c r="E35" s="10" t="s">
        <v>24</v>
      </c>
      <c r="F35" s="12"/>
      <c r="G35" s="12"/>
      <c r="H35" s="10"/>
      <c r="I35" s="10"/>
      <c r="J35" s="9" t="n">
        <f aca="false">IFERROR(SUMIFS(SalesOrderLines!$I$5:$I$504,SalesOrderLines!$B$5:$B$504,A35),"")</f>
        <v>0</v>
      </c>
      <c r="K35" s="9" t="n">
        <f aca="false">IFERROR(SUMIFS(SalesOrderLines!$J$5:$J$504,SalesOrderLines!$B$5:$B$504,A35),"")</f>
        <v>0</v>
      </c>
      <c r="L35" s="9" t="n">
        <f aca="false">IFERROR(J35+K35,"")</f>
        <v>0</v>
      </c>
      <c r="M35" s="9" t="n">
        <f aca="false">IFERROR(SUMIFS(Payments!$E$5:$E$504,Payments!$D$5:$D$504,A35,Payments!$C$5:$C$504,"In"),"")</f>
        <v>0</v>
      </c>
      <c r="N35" s="9" t="n">
        <f aca="false">IFERROR(L35-M35,"")</f>
        <v>0</v>
      </c>
    </row>
    <row r="36" customFormat="false" ht="15" hidden="false" customHeight="false" outlineLevel="0" collapsed="false">
      <c r="A36" s="10"/>
      <c r="B36" s="12"/>
      <c r="C36" s="10"/>
      <c r="D36" s="14" t="str">
        <f aca="false">IFERROR(IF(C36="","",INDEX(Customers!$B$5:$B$504,MATCH(C36,Customers!$A$5:$A$504,0))),"")</f>
        <v/>
      </c>
      <c r="E36" s="10" t="s">
        <v>24</v>
      </c>
      <c r="F36" s="12"/>
      <c r="G36" s="12"/>
      <c r="H36" s="10"/>
      <c r="I36" s="10"/>
      <c r="J36" s="9" t="n">
        <f aca="false">IFERROR(SUMIFS(SalesOrderLines!$I$5:$I$504,SalesOrderLines!$B$5:$B$504,A36),"")</f>
        <v>0</v>
      </c>
      <c r="K36" s="9" t="n">
        <f aca="false">IFERROR(SUMIFS(SalesOrderLines!$J$5:$J$504,SalesOrderLines!$B$5:$B$504,A36),"")</f>
        <v>0</v>
      </c>
      <c r="L36" s="9" t="n">
        <f aca="false">IFERROR(J36+K36,"")</f>
        <v>0</v>
      </c>
      <c r="M36" s="9" t="n">
        <f aca="false">IFERROR(SUMIFS(Payments!$E$5:$E$504,Payments!$D$5:$D$504,A36,Payments!$C$5:$C$504,"In"),"")</f>
        <v>0</v>
      </c>
      <c r="N36" s="9" t="n">
        <f aca="false">IFERROR(L36-M36,"")</f>
        <v>0</v>
      </c>
    </row>
    <row r="37" customFormat="false" ht="15" hidden="false" customHeight="false" outlineLevel="0" collapsed="false">
      <c r="A37" s="10"/>
      <c r="B37" s="12"/>
      <c r="C37" s="10"/>
      <c r="D37" s="14" t="str">
        <f aca="false">IFERROR(IF(C37="","",INDEX(Customers!$B$5:$B$504,MATCH(C37,Customers!$A$5:$A$504,0))),"")</f>
        <v/>
      </c>
      <c r="E37" s="10" t="s">
        <v>24</v>
      </c>
      <c r="F37" s="12"/>
      <c r="G37" s="12"/>
      <c r="H37" s="10"/>
      <c r="I37" s="10"/>
      <c r="J37" s="9" t="n">
        <f aca="false">IFERROR(SUMIFS(SalesOrderLines!$I$5:$I$504,SalesOrderLines!$B$5:$B$504,A37),"")</f>
        <v>0</v>
      </c>
      <c r="K37" s="9" t="n">
        <f aca="false">IFERROR(SUMIFS(SalesOrderLines!$J$5:$J$504,SalesOrderLines!$B$5:$B$504,A37),"")</f>
        <v>0</v>
      </c>
      <c r="L37" s="9" t="n">
        <f aca="false">IFERROR(J37+K37,"")</f>
        <v>0</v>
      </c>
      <c r="M37" s="9" t="n">
        <f aca="false">IFERROR(SUMIFS(Payments!$E$5:$E$504,Payments!$D$5:$D$504,A37,Payments!$C$5:$C$504,"In"),"")</f>
        <v>0</v>
      </c>
      <c r="N37" s="9" t="n">
        <f aca="false">IFERROR(L37-M37,"")</f>
        <v>0</v>
      </c>
    </row>
    <row r="38" customFormat="false" ht="15" hidden="false" customHeight="false" outlineLevel="0" collapsed="false">
      <c r="A38" s="10"/>
      <c r="B38" s="12"/>
      <c r="C38" s="10"/>
      <c r="D38" s="14" t="str">
        <f aca="false">IFERROR(IF(C38="","",INDEX(Customers!$B$5:$B$504,MATCH(C38,Customers!$A$5:$A$504,0))),"")</f>
        <v/>
      </c>
      <c r="E38" s="10" t="s">
        <v>24</v>
      </c>
      <c r="F38" s="12"/>
      <c r="G38" s="12"/>
      <c r="H38" s="10"/>
      <c r="I38" s="10"/>
      <c r="J38" s="9" t="n">
        <f aca="false">IFERROR(SUMIFS(SalesOrderLines!$I$5:$I$504,SalesOrderLines!$B$5:$B$504,A38),"")</f>
        <v>0</v>
      </c>
      <c r="K38" s="9" t="n">
        <f aca="false">IFERROR(SUMIFS(SalesOrderLines!$J$5:$J$504,SalesOrderLines!$B$5:$B$504,A38),"")</f>
        <v>0</v>
      </c>
      <c r="L38" s="9" t="n">
        <f aca="false">IFERROR(J38+K38,"")</f>
        <v>0</v>
      </c>
      <c r="M38" s="9" t="n">
        <f aca="false">IFERROR(SUMIFS(Payments!$E$5:$E$504,Payments!$D$5:$D$504,A38,Payments!$C$5:$C$504,"In"),"")</f>
        <v>0</v>
      </c>
      <c r="N38" s="9" t="n">
        <f aca="false">IFERROR(L38-M38,"")</f>
        <v>0</v>
      </c>
    </row>
    <row r="39" customFormat="false" ht="15" hidden="false" customHeight="false" outlineLevel="0" collapsed="false">
      <c r="A39" s="10"/>
      <c r="B39" s="12"/>
      <c r="C39" s="10"/>
      <c r="D39" s="14" t="str">
        <f aca="false">IFERROR(IF(C39="","",INDEX(Customers!$B$5:$B$504,MATCH(C39,Customers!$A$5:$A$504,0))),"")</f>
        <v/>
      </c>
      <c r="E39" s="10" t="s">
        <v>24</v>
      </c>
      <c r="F39" s="12"/>
      <c r="G39" s="12"/>
      <c r="H39" s="10"/>
      <c r="I39" s="10"/>
      <c r="J39" s="9" t="n">
        <f aca="false">IFERROR(SUMIFS(SalesOrderLines!$I$5:$I$504,SalesOrderLines!$B$5:$B$504,A39),"")</f>
        <v>0</v>
      </c>
      <c r="K39" s="9" t="n">
        <f aca="false">IFERROR(SUMIFS(SalesOrderLines!$J$5:$J$504,SalesOrderLines!$B$5:$B$504,A39),"")</f>
        <v>0</v>
      </c>
      <c r="L39" s="9" t="n">
        <f aca="false">IFERROR(J39+K39,"")</f>
        <v>0</v>
      </c>
      <c r="M39" s="9" t="n">
        <f aca="false">IFERROR(SUMIFS(Payments!$E$5:$E$504,Payments!$D$5:$D$504,A39,Payments!$C$5:$C$504,"In"),"")</f>
        <v>0</v>
      </c>
      <c r="N39" s="9" t="n">
        <f aca="false">IFERROR(L39-M39,"")</f>
        <v>0</v>
      </c>
    </row>
    <row r="40" customFormat="false" ht="15" hidden="false" customHeight="false" outlineLevel="0" collapsed="false">
      <c r="A40" s="10"/>
      <c r="B40" s="12"/>
      <c r="C40" s="10"/>
      <c r="D40" s="14" t="str">
        <f aca="false">IFERROR(IF(C40="","",INDEX(Customers!$B$5:$B$504,MATCH(C40,Customers!$A$5:$A$504,0))),"")</f>
        <v/>
      </c>
      <c r="E40" s="10" t="s">
        <v>24</v>
      </c>
      <c r="F40" s="12"/>
      <c r="G40" s="12"/>
      <c r="H40" s="10"/>
      <c r="I40" s="10"/>
      <c r="J40" s="9" t="n">
        <f aca="false">IFERROR(SUMIFS(SalesOrderLines!$I$5:$I$504,SalesOrderLines!$B$5:$B$504,A40),"")</f>
        <v>0</v>
      </c>
      <c r="K40" s="9" t="n">
        <f aca="false">IFERROR(SUMIFS(SalesOrderLines!$J$5:$J$504,SalesOrderLines!$B$5:$B$504,A40),"")</f>
        <v>0</v>
      </c>
      <c r="L40" s="9" t="n">
        <f aca="false">IFERROR(J40+K40,"")</f>
        <v>0</v>
      </c>
      <c r="M40" s="9" t="n">
        <f aca="false">IFERROR(SUMIFS(Payments!$E$5:$E$504,Payments!$D$5:$D$504,A40,Payments!$C$5:$C$504,"In"),"")</f>
        <v>0</v>
      </c>
      <c r="N40" s="9" t="n">
        <f aca="false">IFERROR(L40-M40,"")</f>
        <v>0</v>
      </c>
    </row>
    <row r="41" customFormat="false" ht="15" hidden="false" customHeight="false" outlineLevel="0" collapsed="false">
      <c r="A41" s="10"/>
      <c r="B41" s="12"/>
      <c r="C41" s="10"/>
      <c r="D41" s="14" t="str">
        <f aca="false">IFERROR(IF(C41="","",INDEX(Customers!$B$5:$B$504,MATCH(C41,Customers!$A$5:$A$504,0))),"")</f>
        <v/>
      </c>
      <c r="E41" s="10" t="s">
        <v>24</v>
      </c>
      <c r="F41" s="12"/>
      <c r="G41" s="12"/>
      <c r="H41" s="10"/>
      <c r="I41" s="10"/>
      <c r="J41" s="9" t="n">
        <f aca="false">IFERROR(SUMIFS(SalesOrderLines!$I$5:$I$504,SalesOrderLines!$B$5:$B$504,A41),"")</f>
        <v>0</v>
      </c>
      <c r="K41" s="9" t="n">
        <f aca="false">IFERROR(SUMIFS(SalesOrderLines!$J$5:$J$504,SalesOrderLines!$B$5:$B$504,A41),"")</f>
        <v>0</v>
      </c>
      <c r="L41" s="9" t="n">
        <f aca="false">IFERROR(J41+K41,"")</f>
        <v>0</v>
      </c>
      <c r="M41" s="9" t="n">
        <f aca="false">IFERROR(SUMIFS(Payments!$E$5:$E$504,Payments!$D$5:$D$504,A41,Payments!$C$5:$C$504,"In"),"")</f>
        <v>0</v>
      </c>
      <c r="N41" s="9" t="n">
        <f aca="false">IFERROR(L41-M41,"")</f>
        <v>0</v>
      </c>
    </row>
    <row r="42" customFormat="false" ht="15" hidden="false" customHeight="false" outlineLevel="0" collapsed="false">
      <c r="A42" s="10"/>
      <c r="B42" s="12"/>
      <c r="C42" s="10"/>
      <c r="D42" s="14" t="str">
        <f aca="false">IFERROR(IF(C42="","",INDEX(Customers!$B$5:$B$504,MATCH(C42,Customers!$A$5:$A$504,0))),"")</f>
        <v/>
      </c>
      <c r="E42" s="10" t="s">
        <v>24</v>
      </c>
      <c r="F42" s="12"/>
      <c r="G42" s="12"/>
      <c r="H42" s="10"/>
      <c r="I42" s="10"/>
      <c r="J42" s="9" t="n">
        <f aca="false">IFERROR(SUMIFS(SalesOrderLines!$I$5:$I$504,SalesOrderLines!$B$5:$B$504,A42),"")</f>
        <v>0</v>
      </c>
      <c r="K42" s="9" t="n">
        <f aca="false">IFERROR(SUMIFS(SalesOrderLines!$J$5:$J$504,SalesOrderLines!$B$5:$B$504,A42),"")</f>
        <v>0</v>
      </c>
      <c r="L42" s="9" t="n">
        <f aca="false">IFERROR(J42+K42,"")</f>
        <v>0</v>
      </c>
      <c r="M42" s="9" t="n">
        <f aca="false">IFERROR(SUMIFS(Payments!$E$5:$E$504,Payments!$D$5:$D$504,A42,Payments!$C$5:$C$504,"In"),"")</f>
        <v>0</v>
      </c>
      <c r="N42" s="9" t="n">
        <f aca="false">IFERROR(L42-M42,"")</f>
        <v>0</v>
      </c>
    </row>
    <row r="43" customFormat="false" ht="15" hidden="false" customHeight="false" outlineLevel="0" collapsed="false">
      <c r="A43" s="10"/>
      <c r="B43" s="12"/>
      <c r="C43" s="10"/>
      <c r="D43" s="14" t="str">
        <f aca="false">IFERROR(IF(C43="","",INDEX(Customers!$B$5:$B$504,MATCH(C43,Customers!$A$5:$A$504,0))),"")</f>
        <v/>
      </c>
      <c r="E43" s="10" t="s">
        <v>24</v>
      </c>
      <c r="F43" s="12"/>
      <c r="G43" s="12"/>
      <c r="H43" s="10"/>
      <c r="I43" s="10"/>
      <c r="J43" s="9" t="n">
        <f aca="false">IFERROR(SUMIFS(SalesOrderLines!$I$5:$I$504,SalesOrderLines!$B$5:$B$504,A43),"")</f>
        <v>0</v>
      </c>
      <c r="K43" s="9" t="n">
        <f aca="false">IFERROR(SUMIFS(SalesOrderLines!$J$5:$J$504,SalesOrderLines!$B$5:$B$504,A43),"")</f>
        <v>0</v>
      </c>
      <c r="L43" s="9" t="n">
        <f aca="false">IFERROR(J43+K43,"")</f>
        <v>0</v>
      </c>
      <c r="M43" s="9" t="n">
        <f aca="false">IFERROR(SUMIFS(Payments!$E$5:$E$504,Payments!$D$5:$D$504,A43,Payments!$C$5:$C$504,"In"),"")</f>
        <v>0</v>
      </c>
      <c r="N43" s="9" t="n">
        <f aca="false">IFERROR(L43-M43,"")</f>
        <v>0</v>
      </c>
    </row>
    <row r="44" customFormat="false" ht="15" hidden="false" customHeight="false" outlineLevel="0" collapsed="false">
      <c r="A44" s="10"/>
      <c r="B44" s="12"/>
      <c r="C44" s="10"/>
      <c r="D44" s="14" t="str">
        <f aca="false">IFERROR(IF(C44="","",INDEX(Customers!$B$5:$B$504,MATCH(C44,Customers!$A$5:$A$504,0))),"")</f>
        <v/>
      </c>
      <c r="E44" s="10" t="s">
        <v>24</v>
      </c>
      <c r="F44" s="12"/>
      <c r="G44" s="12"/>
      <c r="H44" s="10"/>
      <c r="I44" s="10"/>
      <c r="J44" s="9" t="n">
        <f aca="false">IFERROR(SUMIFS(SalesOrderLines!$I$5:$I$504,SalesOrderLines!$B$5:$B$504,A44),"")</f>
        <v>0</v>
      </c>
      <c r="K44" s="9" t="n">
        <f aca="false">IFERROR(SUMIFS(SalesOrderLines!$J$5:$J$504,SalesOrderLines!$B$5:$B$504,A44),"")</f>
        <v>0</v>
      </c>
      <c r="L44" s="9" t="n">
        <f aca="false">IFERROR(J44+K44,"")</f>
        <v>0</v>
      </c>
      <c r="M44" s="9" t="n">
        <f aca="false">IFERROR(SUMIFS(Payments!$E$5:$E$504,Payments!$D$5:$D$504,A44,Payments!$C$5:$C$504,"In"),"")</f>
        <v>0</v>
      </c>
      <c r="N44" s="9" t="n">
        <f aca="false">IFERROR(L44-M44,"")</f>
        <v>0</v>
      </c>
    </row>
    <row r="45" customFormat="false" ht="15" hidden="false" customHeight="false" outlineLevel="0" collapsed="false">
      <c r="A45" s="10"/>
      <c r="B45" s="12"/>
      <c r="C45" s="10"/>
      <c r="D45" s="14" t="str">
        <f aca="false">IFERROR(IF(C45="","",INDEX(Customers!$B$5:$B$504,MATCH(C45,Customers!$A$5:$A$504,0))),"")</f>
        <v/>
      </c>
      <c r="E45" s="10" t="s">
        <v>24</v>
      </c>
      <c r="F45" s="12"/>
      <c r="G45" s="12"/>
      <c r="H45" s="10"/>
      <c r="I45" s="10"/>
      <c r="J45" s="9" t="n">
        <f aca="false">IFERROR(SUMIFS(SalesOrderLines!$I$5:$I$504,SalesOrderLines!$B$5:$B$504,A45),"")</f>
        <v>0</v>
      </c>
      <c r="K45" s="9" t="n">
        <f aca="false">IFERROR(SUMIFS(SalesOrderLines!$J$5:$J$504,SalesOrderLines!$B$5:$B$504,A45),"")</f>
        <v>0</v>
      </c>
      <c r="L45" s="9" t="n">
        <f aca="false">IFERROR(J45+K45,"")</f>
        <v>0</v>
      </c>
      <c r="M45" s="9" t="n">
        <f aca="false">IFERROR(SUMIFS(Payments!$E$5:$E$504,Payments!$D$5:$D$504,A45,Payments!$C$5:$C$504,"In"),"")</f>
        <v>0</v>
      </c>
      <c r="N45" s="9" t="n">
        <f aca="false">IFERROR(L45-M45,"")</f>
        <v>0</v>
      </c>
    </row>
    <row r="46" customFormat="false" ht="15" hidden="false" customHeight="false" outlineLevel="0" collapsed="false">
      <c r="A46" s="10"/>
      <c r="B46" s="12"/>
      <c r="C46" s="10"/>
      <c r="D46" s="14" t="str">
        <f aca="false">IFERROR(IF(C46="","",INDEX(Customers!$B$5:$B$504,MATCH(C46,Customers!$A$5:$A$504,0))),"")</f>
        <v/>
      </c>
      <c r="E46" s="10" t="s">
        <v>24</v>
      </c>
      <c r="F46" s="12"/>
      <c r="G46" s="12"/>
      <c r="H46" s="10"/>
      <c r="I46" s="10"/>
      <c r="J46" s="9" t="n">
        <f aca="false">IFERROR(SUMIFS(SalesOrderLines!$I$5:$I$504,SalesOrderLines!$B$5:$B$504,A46),"")</f>
        <v>0</v>
      </c>
      <c r="K46" s="9" t="n">
        <f aca="false">IFERROR(SUMIFS(SalesOrderLines!$J$5:$J$504,SalesOrderLines!$B$5:$B$504,A46),"")</f>
        <v>0</v>
      </c>
      <c r="L46" s="9" t="n">
        <f aca="false">IFERROR(J46+K46,"")</f>
        <v>0</v>
      </c>
      <c r="M46" s="9" t="n">
        <f aca="false">IFERROR(SUMIFS(Payments!$E$5:$E$504,Payments!$D$5:$D$504,A46,Payments!$C$5:$C$504,"In"),"")</f>
        <v>0</v>
      </c>
      <c r="N46" s="9" t="n">
        <f aca="false">IFERROR(L46-M46,"")</f>
        <v>0</v>
      </c>
    </row>
    <row r="47" customFormat="false" ht="15" hidden="false" customHeight="false" outlineLevel="0" collapsed="false">
      <c r="A47" s="10"/>
      <c r="B47" s="12"/>
      <c r="C47" s="10"/>
      <c r="D47" s="14" t="str">
        <f aca="false">IFERROR(IF(C47="","",INDEX(Customers!$B$5:$B$504,MATCH(C47,Customers!$A$5:$A$504,0))),"")</f>
        <v/>
      </c>
      <c r="E47" s="10" t="s">
        <v>24</v>
      </c>
      <c r="F47" s="12"/>
      <c r="G47" s="12"/>
      <c r="H47" s="10"/>
      <c r="I47" s="10"/>
      <c r="J47" s="9" t="n">
        <f aca="false">IFERROR(SUMIFS(SalesOrderLines!$I$5:$I$504,SalesOrderLines!$B$5:$B$504,A47),"")</f>
        <v>0</v>
      </c>
      <c r="K47" s="9" t="n">
        <f aca="false">IFERROR(SUMIFS(SalesOrderLines!$J$5:$J$504,SalesOrderLines!$B$5:$B$504,A47),"")</f>
        <v>0</v>
      </c>
      <c r="L47" s="9" t="n">
        <f aca="false">IFERROR(J47+K47,"")</f>
        <v>0</v>
      </c>
      <c r="M47" s="9" t="n">
        <f aca="false">IFERROR(SUMIFS(Payments!$E$5:$E$504,Payments!$D$5:$D$504,A47,Payments!$C$5:$C$504,"In"),"")</f>
        <v>0</v>
      </c>
      <c r="N47" s="9" t="n">
        <f aca="false">IFERROR(L47-M47,"")</f>
        <v>0</v>
      </c>
    </row>
    <row r="48" customFormat="false" ht="15" hidden="false" customHeight="false" outlineLevel="0" collapsed="false">
      <c r="A48" s="10"/>
      <c r="B48" s="12"/>
      <c r="C48" s="10"/>
      <c r="D48" s="14" t="str">
        <f aca="false">IFERROR(IF(C48="","",INDEX(Customers!$B$5:$B$504,MATCH(C48,Customers!$A$5:$A$504,0))),"")</f>
        <v/>
      </c>
      <c r="E48" s="10" t="s">
        <v>24</v>
      </c>
      <c r="F48" s="12"/>
      <c r="G48" s="12"/>
      <c r="H48" s="10"/>
      <c r="I48" s="10"/>
      <c r="J48" s="9" t="n">
        <f aca="false">IFERROR(SUMIFS(SalesOrderLines!$I$5:$I$504,SalesOrderLines!$B$5:$B$504,A48),"")</f>
        <v>0</v>
      </c>
      <c r="K48" s="9" t="n">
        <f aca="false">IFERROR(SUMIFS(SalesOrderLines!$J$5:$J$504,SalesOrderLines!$B$5:$B$504,A48),"")</f>
        <v>0</v>
      </c>
      <c r="L48" s="9" t="n">
        <f aca="false">IFERROR(J48+K48,"")</f>
        <v>0</v>
      </c>
      <c r="M48" s="9" t="n">
        <f aca="false">IFERROR(SUMIFS(Payments!$E$5:$E$504,Payments!$D$5:$D$504,A48,Payments!$C$5:$C$504,"In"),"")</f>
        <v>0</v>
      </c>
      <c r="N48" s="9" t="n">
        <f aca="false">IFERROR(L48-M48,"")</f>
        <v>0</v>
      </c>
    </row>
    <row r="49" customFormat="false" ht="15" hidden="false" customHeight="false" outlineLevel="0" collapsed="false">
      <c r="A49" s="10"/>
      <c r="B49" s="12"/>
      <c r="C49" s="10"/>
      <c r="D49" s="14" t="str">
        <f aca="false">IFERROR(IF(C49="","",INDEX(Customers!$B$5:$B$504,MATCH(C49,Customers!$A$5:$A$504,0))),"")</f>
        <v/>
      </c>
      <c r="E49" s="10" t="s">
        <v>24</v>
      </c>
      <c r="F49" s="12"/>
      <c r="G49" s="12"/>
      <c r="H49" s="10"/>
      <c r="I49" s="10"/>
      <c r="J49" s="9" t="n">
        <f aca="false">IFERROR(SUMIFS(SalesOrderLines!$I$5:$I$504,SalesOrderLines!$B$5:$B$504,A49),"")</f>
        <v>0</v>
      </c>
      <c r="K49" s="9" t="n">
        <f aca="false">IFERROR(SUMIFS(SalesOrderLines!$J$5:$J$504,SalesOrderLines!$B$5:$B$504,A49),"")</f>
        <v>0</v>
      </c>
      <c r="L49" s="9" t="n">
        <f aca="false">IFERROR(J49+K49,"")</f>
        <v>0</v>
      </c>
      <c r="M49" s="9" t="n">
        <f aca="false">IFERROR(SUMIFS(Payments!$E$5:$E$504,Payments!$D$5:$D$504,A49,Payments!$C$5:$C$504,"In"),"")</f>
        <v>0</v>
      </c>
      <c r="N49" s="9" t="n">
        <f aca="false">IFERROR(L49-M49,"")</f>
        <v>0</v>
      </c>
    </row>
    <row r="50" customFormat="false" ht="15" hidden="false" customHeight="false" outlineLevel="0" collapsed="false">
      <c r="A50" s="10"/>
      <c r="B50" s="12"/>
      <c r="C50" s="10"/>
      <c r="D50" s="14" t="str">
        <f aca="false">IFERROR(IF(C50="","",INDEX(Customers!$B$5:$B$504,MATCH(C50,Customers!$A$5:$A$504,0))),"")</f>
        <v/>
      </c>
      <c r="E50" s="10" t="s">
        <v>24</v>
      </c>
      <c r="F50" s="12"/>
      <c r="G50" s="12"/>
      <c r="H50" s="10"/>
      <c r="I50" s="10"/>
      <c r="J50" s="9" t="n">
        <f aca="false">IFERROR(SUMIFS(SalesOrderLines!$I$5:$I$504,SalesOrderLines!$B$5:$B$504,A50),"")</f>
        <v>0</v>
      </c>
      <c r="K50" s="9" t="n">
        <f aca="false">IFERROR(SUMIFS(SalesOrderLines!$J$5:$J$504,SalesOrderLines!$B$5:$B$504,A50),"")</f>
        <v>0</v>
      </c>
      <c r="L50" s="9" t="n">
        <f aca="false">IFERROR(J50+K50,"")</f>
        <v>0</v>
      </c>
      <c r="M50" s="9" t="n">
        <f aca="false">IFERROR(SUMIFS(Payments!$E$5:$E$504,Payments!$D$5:$D$504,A50,Payments!$C$5:$C$504,"In"),"")</f>
        <v>0</v>
      </c>
      <c r="N50" s="9" t="n">
        <f aca="false">IFERROR(L50-M50,"")</f>
        <v>0</v>
      </c>
    </row>
    <row r="51" customFormat="false" ht="15" hidden="false" customHeight="false" outlineLevel="0" collapsed="false">
      <c r="A51" s="10"/>
      <c r="B51" s="12"/>
      <c r="C51" s="10"/>
      <c r="D51" s="14" t="str">
        <f aca="false">IFERROR(IF(C51="","",INDEX(Customers!$B$5:$B$504,MATCH(C51,Customers!$A$5:$A$504,0))),"")</f>
        <v/>
      </c>
      <c r="E51" s="10" t="s">
        <v>24</v>
      </c>
      <c r="F51" s="12"/>
      <c r="G51" s="12"/>
      <c r="H51" s="10"/>
      <c r="I51" s="10"/>
      <c r="J51" s="9" t="n">
        <f aca="false">IFERROR(SUMIFS(SalesOrderLines!$I$5:$I$504,SalesOrderLines!$B$5:$B$504,A51),"")</f>
        <v>0</v>
      </c>
      <c r="K51" s="9" t="n">
        <f aca="false">IFERROR(SUMIFS(SalesOrderLines!$J$5:$J$504,SalesOrderLines!$B$5:$B$504,A51),"")</f>
        <v>0</v>
      </c>
      <c r="L51" s="9" t="n">
        <f aca="false">IFERROR(J51+K51,"")</f>
        <v>0</v>
      </c>
      <c r="M51" s="9" t="n">
        <f aca="false">IFERROR(SUMIFS(Payments!$E$5:$E$504,Payments!$D$5:$D$504,A51,Payments!$C$5:$C$504,"In"),"")</f>
        <v>0</v>
      </c>
      <c r="N51" s="9" t="n">
        <f aca="false">IFERROR(L51-M51,"")</f>
        <v>0</v>
      </c>
    </row>
    <row r="52" customFormat="false" ht="15" hidden="false" customHeight="false" outlineLevel="0" collapsed="false">
      <c r="A52" s="10"/>
      <c r="B52" s="12"/>
      <c r="C52" s="10"/>
      <c r="D52" s="14" t="str">
        <f aca="false">IFERROR(IF(C52="","",INDEX(Customers!$B$5:$B$504,MATCH(C52,Customers!$A$5:$A$504,0))),"")</f>
        <v/>
      </c>
      <c r="E52" s="10" t="s">
        <v>24</v>
      </c>
      <c r="F52" s="12"/>
      <c r="G52" s="12"/>
      <c r="H52" s="10"/>
      <c r="I52" s="10"/>
      <c r="J52" s="9" t="n">
        <f aca="false">IFERROR(SUMIFS(SalesOrderLines!$I$5:$I$504,SalesOrderLines!$B$5:$B$504,A52),"")</f>
        <v>0</v>
      </c>
      <c r="K52" s="9" t="n">
        <f aca="false">IFERROR(SUMIFS(SalesOrderLines!$J$5:$J$504,SalesOrderLines!$B$5:$B$504,A52),"")</f>
        <v>0</v>
      </c>
      <c r="L52" s="9" t="n">
        <f aca="false">IFERROR(J52+K52,"")</f>
        <v>0</v>
      </c>
      <c r="M52" s="9" t="n">
        <f aca="false">IFERROR(SUMIFS(Payments!$E$5:$E$504,Payments!$D$5:$D$504,A52,Payments!$C$5:$C$504,"In"),"")</f>
        <v>0</v>
      </c>
      <c r="N52" s="9" t="n">
        <f aca="false">IFERROR(L52-M52,"")</f>
        <v>0</v>
      </c>
    </row>
    <row r="53" customFormat="false" ht="15" hidden="false" customHeight="false" outlineLevel="0" collapsed="false">
      <c r="A53" s="10"/>
      <c r="B53" s="12"/>
      <c r="C53" s="10"/>
      <c r="D53" s="14" t="str">
        <f aca="false">IFERROR(IF(C53="","",INDEX(Customers!$B$5:$B$504,MATCH(C53,Customers!$A$5:$A$504,0))),"")</f>
        <v/>
      </c>
      <c r="E53" s="10" t="s">
        <v>24</v>
      </c>
      <c r="F53" s="12"/>
      <c r="G53" s="12"/>
      <c r="H53" s="10"/>
      <c r="I53" s="10"/>
      <c r="J53" s="9" t="n">
        <f aca="false">IFERROR(SUMIFS(SalesOrderLines!$I$5:$I$504,SalesOrderLines!$B$5:$B$504,A53),"")</f>
        <v>0</v>
      </c>
      <c r="K53" s="9" t="n">
        <f aca="false">IFERROR(SUMIFS(SalesOrderLines!$J$5:$J$504,SalesOrderLines!$B$5:$B$504,A53),"")</f>
        <v>0</v>
      </c>
      <c r="L53" s="9" t="n">
        <f aca="false">IFERROR(J53+K53,"")</f>
        <v>0</v>
      </c>
      <c r="M53" s="9" t="n">
        <f aca="false">IFERROR(SUMIFS(Payments!$E$5:$E$504,Payments!$D$5:$D$504,A53,Payments!$C$5:$C$504,"In"),"")</f>
        <v>0</v>
      </c>
      <c r="N53" s="9" t="n">
        <f aca="false">IFERROR(L53-M53,"")</f>
        <v>0</v>
      </c>
    </row>
    <row r="54" customFormat="false" ht="15" hidden="false" customHeight="false" outlineLevel="0" collapsed="false">
      <c r="A54" s="10"/>
      <c r="B54" s="12"/>
      <c r="C54" s="10"/>
      <c r="D54" s="14" t="str">
        <f aca="false">IFERROR(IF(C54="","",INDEX(Customers!$B$5:$B$504,MATCH(C54,Customers!$A$5:$A$504,0))),"")</f>
        <v/>
      </c>
      <c r="E54" s="10" t="s">
        <v>24</v>
      </c>
      <c r="F54" s="12"/>
      <c r="G54" s="12"/>
      <c r="H54" s="10"/>
      <c r="I54" s="10"/>
      <c r="J54" s="9" t="n">
        <f aca="false">IFERROR(SUMIFS(SalesOrderLines!$I$5:$I$504,SalesOrderLines!$B$5:$B$504,A54),"")</f>
        <v>0</v>
      </c>
      <c r="K54" s="9" t="n">
        <f aca="false">IFERROR(SUMIFS(SalesOrderLines!$J$5:$J$504,SalesOrderLines!$B$5:$B$504,A54),"")</f>
        <v>0</v>
      </c>
      <c r="L54" s="9" t="n">
        <f aca="false">IFERROR(J54+K54,"")</f>
        <v>0</v>
      </c>
      <c r="M54" s="9" t="n">
        <f aca="false">IFERROR(SUMIFS(Payments!$E$5:$E$504,Payments!$D$5:$D$504,A54,Payments!$C$5:$C$504,"In"),"")</f>
        <v>0</v>
      </c>
      <c r="N54" s="9" t="n">
        <f aca="false">IFERROR(L54-M54,"")</f>
        <v>0</v>
      </c>
    </row>
    <row r="55" customFormat="false" ht="15" hidden="false" customHeight="false" outlineLevel="0" collapsed="false">
      <c r="A55" s="10"/>
      <c r="B55" s="12"/>
      <c r="C55" s="10"/>
      <c r="D55" s="14" t="str">
        <f aca="false">IFERROR(IF(C55="","",INDEX(Customers!$B$5:$B$504,MATCH(C55,Customers!$A$5:$A$504,0))),"")</f>
        <v/>
      </c>
      <c r="E55" s="10" t="s">
        <v>24</v>
      </c>
      <c r="F55" s="12"/>
      <c r="G55" s="12"/>
      <c r="H55" s="10"/>
      <c r="I55" s="10"/>
      <c r="J55" s="9" t="n">
        <f aca="false">IFERROR(SUMIFS(SalesOrderLines!$I$5:$I$504,SalesOrderLines!$B$5:$B$504,A55),"")</f>
        <v>0</v>
      </c>
      <c r="K55" s="9" t="n">
        <f aca="false">IFERROR(SUMIFS(SalesOrderLines!$J$5:$J$504,SalesOrderLines!$B$5:$B$504,A55),"")</f>
        <v>0</v>
      </c>
      <c r="L55" s="9" t="n">
        <f aca="false">IFERROR(J55+K55,"")</f>
        <v>0</v>
      </c>
      <c r="M55" s="9" t="n">
        <f aca="false">IFERROR(SUMIFS(Payments!$E$5:$E$504,Payments!$D$5:$D$504,A55,Payments!$C$5:$C$504,"In"),"")</f>
        <v>0</v>
      </c>
      <c r="N55" s="9" t="n">
        <f aca="false">IFERROR(L55-M55,"")</f>
        <v>0</v>
      </c>
    </row>
    <row r="56" customFormat="false" ht="15" hidden="false" customHeight="false" outlineLevel="0" collapsed="false">
      <c r="A56" s="10"/>
      <c r="B56" s="12"/>
      <c r="C56" s="10"/>
      <c r="D56" s="14" t="str">
        <f aca="false">IFERROR(IF(C56="","",INDEX(Customers!$B$5:$B$504,MATCH(C56,Customers!$A$5:$A$504,0))),"")</f>
        <v/>
      </c>
      <c r="E56" s="10" t="s">
        <v>24</v>
      </c>
      <c r="F56" s="12"/>
      <c r="G56" s="12"/>
      <c r="H56" s="10"/>
      <c r="I56" s="10"/>
      <c r="J56" s="9" t="n">
        <f aca="false">IFERROR(SUMIFS(SalesOrderLines!$I$5:$I$504,SalesOrderLines!$B$5:$B$504,A56),"")</f>
        <v>0</v>
      </c>
      <c r="K56" s="9" t="n">
        <f aca="false">IFERROR(SUMIFS(SalesOrderLines!$J$5:$J$504,SalesOrderLines!$B$5:$B$504,A56),"")</f>
        <v>0</v>
      </c>
      <c r="L56" s="9" t="n">
        <f aca="false">IFERROR(J56+K56,"")</f>
        <v>0</v>
      </c>
      <c r="M56" s="9" t="n">
        <f aca="false">IFERROR(SUMIFS(Payments!$E$5:$E$504,Payments!$D$5:$D$504,A56,Payments!$C$5:$C$504,"In"),"")</f>
        <v>0</v>
      </c>
      <c r="N56" s="9" t="n">
        <f aca="false">IFERROR(L56-M56,"")</f>
        <v>0</v>
      </c>
    </row>
    <row r="57" customFormat="false" ht="15" hidden="false" customHeight="false" outlineLevel="0" collapsed="false">
      <c r="A57" s="10"/>
      <c r="B57" s="12"/>
      <c r="C57" s="10"/>
      <c r="D57" s="14" t="str">
        <f aca="false">IFERROR(IF(C57="","",INDEX(Customers!$B$5:$B$504,MATCH(C57,Customers!$A$5:$A$504,0))),"")</f>
        <v/>
      </c>
      <c r="E57" s="10" t="s">
        <v>24</v>
      </c>
      <c r="F57" s="12"/>
      <c r="G57" s="12"/>
      <c r="H57" s="10"/>
      <c r="I57" s="10"/>
      <c r="J57" s="9" t="n">
        <f aca="false">IFERROR(SUMIFS(SalesOrderLines!$I$5:$I$504,SalesOrderLines!$B$5:$B$504,A57),"")</f>
        <v>0</v>
      </c>
      <c r="K57" s="9" t="n">
        <f aca="false">IFERROR(SUMIFS(SalesOrderLines!$J$5:$J$504,SalesOrderLines!$B$5:$B$504,A57),"")</f>
        <v>0</v>
      </c>
      <c r="L57" s="9" t="n">
        <f aca="false">IFERROR(J57+K57,"")</f>
        <v>0</v>
      </c>
      <c r="M57" s="9" t="n">
        <f aca="false">IFERROR(SUMIFS(Payments!$E$5:$E$504,Payments!$D$5:$D$504,A57,Payments!$C$5:$C$504,"In"),"")</f>
        <v>0</v>
      </c>
      <c r="N57" s="9" t="n">
        <f aca="false">IFERROR(L57-M57,"")</f>
        <v>0</v>
      </c>
    </row>
    <row r="58" customFormat="false" ht="15" hidden="false" customHeight="false" outlineLevel="0" collapsed="false">
      <c r="A58" s="10"/>
      <c r="B58" s="12"/>
      <c r="C58" s="10"/>
      <c r="D58" s="14" t="str">
        <f aca="false">IFERROR(IF(C58="","",INDEX(Customers!$B$5:$B$504,MATCH(C58,Customers!$A$5:$A$504,0))),"")</f>
        <v/>
      </c>
      <c r="E58" s="10" t="s">
        <v>24</v>
      </c>
      <c r="F58" s="12"/>
      <c r="G58" s="12"/>
      <c r="H58" s="10"/>
      <c r="I58" s="10"/>
      <c r="J58" s="9" t="n">
        <f aca="false">IFERROR(SUMIFS(SalesOrderLines!$I$5:$I$504,SalesOrderLines!$B$5:$B$504,A58),"")</f>
        <v>0</v>
      </c>
      <c r="K58" s="9" t="n">
        <f aca="false">IFERROR(SUMIFS(SalesOrderLines!$J$5:$J$504,SalesOrderLines!$B$5:$B$504,A58),"")</f>
        <v>0</v>
      </c>
      <c r="L58" s="9" t="n">
        <f aca="false">IFERROR(J58+K58,"")</f>
        <v>0</v>
      </c>
      <c r="M58" s="9" t="n">
        <f aca="false">IFERROR(SUMIFS(Payments!$E$5:$E$504,Payments!$D$5:$D$504,A58,Payments!$C$5:$C$504,"In"),"")</f>
        <v>0</v>
      </c>
      <c r="N58" s="9" t="n">
        <f aca="false">IFERROR(L58-M58,"")</f>
        <v>0</v>
      </c>
    </row>
    <row r="59" customFormat="false" ht="15" hidden="false" customHeight="false" outlineLevel="0" collapsed="false">
      <c r="A59" s="10"/>
      <c r="B59" s="12"/>
      <c r="C59" s="10"/>
      <c r="D59" s="14" t="str">
        <f aca="false">IFERROR(IF(C59="","",INDEX(Customers!$B$5:$B$504,MATCH(C59,Customers!$A$5:$A$504,0))),"")</f>
        <v/>
      </c>
      <c r="E59" s="10" t="s">
        <v>24</v>
      </c>
      <c r="F59" s="12"/>
      <c r="G59" s="12"/>
      <c r="H59" s="10"/>
      <c r="I59" s="10"/>
      <c r="J59" s="9" t="n">
        <f aca="false">IFERROR(SUMIFS(SalesOrderLines!$I$5:$I$504,SalesOrderLines!$B$5:$B$504,A59),"")</f>
        <v>0</v>
      </c>
      <c r="K59" s="9" t="n">
        <f aca="false">IFERROR(SUMIFS(SalesOrderLines!$J$5:$J$504,SalesOrderLines!$B$5:$B$504,A59),"")</f>
        <v>0</v>
      </c>
      <c r="L59" s="9" t="n">
        <f aca="false">IFERROR(J59+K59,"")</f>
        <v>0</v>
      </c>
      <c r="M59" s="9" t="n">
        <f aca="false">IFERROR(SUMIFS(Payments!$E$5:$E$504,Payments!$D$5:$D$504,A59,Payments!$C$5:$C$504,"In"),"")</f>
        <v>0</v>
      </c>
      <c r="N59" s="9" t="n">
        <f aca="false">IFERROR(L59-M59,"")</f>
        <v>0</v>
      </c>
    </row>
    <row r="60" customFormat="false" ht="15" hidden="false" customHeight="false" outlineLevel="0" collapsed="false">
      <c r="A60" s="10"/>
      <c r="B60" s="12"/>
      <c r="C60" s="10"/>
      <c r="D60" s="14" t="str">
        <f aca="false">IFERROR(IF(C60="","",INDEX(Customers!$B$5:$B$504,MATCH(C60,Customers!$A$5:$A$504,0))),"")</f>
        <v/>
      </c>
      <c r="E60" s="10" t="s">
        <v>24</v>
      </c>
      <c r="F60" s="12"/>
      <c r="G60" s="12"/>
      <c r="H60" s="10"/>
      <c r="I60" s="10"/>
      <c r="J60" s="9" t="n">
        <f aca="false">IFERROR(SUMIFS(SalesOrderLines!$I$5:$I$504,SalesOrderLines!$B$5:$B$504,A60),"")</f>
        <v>0</v>
      </c>
      <c r="K60" s="9" t="n">
        <f aca="false">IFERROR(SUMIFS(SalesOrderLines!$J$5:$J$504,SalesOrderLines!$B$5:$B$504,A60),"")</f>
        <v>0</v>
      </c>
      <c r="L60" s="9" t="n">
        <f aca="false">IFERROR(J60+K60,"")</f>
        <v>0</v>
      </c>
      <c r="M60" s="9" t="n">
        <f aca="false">IFERROR(SUMIFS(Payments!$E$5:$E$504,Payments!$D$5:$D$504,A60,Payments!$C$5:$C$504,"In"),"")</f>
        <v>0</v>
      </c>
      <c r="N60" s="9" t="n">
        <f aca="false">IFERROR(L60-M60,"")</f>
        <v>0</v>
      </c>
    </row>
    <row r="61" customFormat="false" ht="15" hidden="false" customHeight="false" outlineLevel="0" collapsed="false">
      <c r="A61" s="10"/>
      <c r="B61" s="12"/>
      <c r="C61" s="10"/>
      <c r="D61" s="14" t="str">
        <f aca="false">IFERROR(IF(C61="","",INDEX(Customers!$B$5:$B$504,MATCH(C61,Customers!$A$5:$A$504,0))),"")</f>
        <v/>
      </c>
      <c r="E61" s="10" t="s">
        <v>24</v>
      </c>
      <c r="F61" s="12"/>
      <c r="G61" s="12"/>
      <c r="H61" s="10"/>
      <c r="I61" s="10"/>
      <c r="J61" s="9" t="n">
        <f aca="false">IFERROR(SUMIFS(SalesOrderLines!$I$5:$I$504,SalesOrderLines!$B$5:$B$504,A61),"")</f>
        <v>0</v>
      </c>
      <c r="K61" s="9" t="n">
        <f aca="false">IFERROR(SUMIFS(SalesOrderLines!$J$5:$J$504,SalesOrderLines!$B$5:$B$504,A61),"")</f>
        <v>0</v>
      </c>
      <c r="L61" s="9" t="n">
        <f aca="false">IFERROR(J61+K61,"")</f>
        <v>0</v>
      </c>
      <c r="M61" s="9" t="n">
        <f aca="false">IFERROR(SUMIFS(Payments!$E$5:$E$504,Payments!$D$5:$D$504,A61,Payments!$C$5:$C$504,"In"),"")</f>
        <v>0</v>
      </c>
      <c r="N61" s="9" t="n">
        <f aca="false">IFERROR(L61-M61,"")</f>
        <v>0</v>
      </c>
    </row>
    <row r="62" customFormat="false" ht="15" hidden="false" customHeight="false" outlineLevel="0" collapsed="false">
      <c r="A62" s="10"/>
      <c r="B62" s="12"/>
      <c r="C62" s="10"/>
      <c r="D62" s="14" t="str">
        <f aca="false">IFERROR(IF(C62="","",INDEX(Customers!$B$5:$B$504,MATCH(C62,Customers!$A$5:$A$504,0))),"")</f>
        <v/>
      </c>
      <c r="E62" s="10" t="s">
        <v>24</v>
      </c>
      <c r="F62" s="12"/>
      <c r="G62" s="12"/>
      <c r="H62" s="10"/>
      <c r="I62" s="10"/>
      <c r="J62" s="9" t="n">
        <f aca="false">IFERROR(SUMIFS(SalesOrderLines!$I$5:$I$504,SalesOrderLines!$B$5:$B$504,A62),"")</f>
        <v>0</v>
      </c>
      <c r="K62" s="9" t="n">
        <f aca="false">IFERROR(SUMIFS(SalesOrderLines!$J$5:$J$504,SalesOrderLines!$B$5:$B$504,A62),"")</f>
        <v>0</v>
      </c>
      <c r="L62" s="9" t="n">
        <f aca="false">IFERROR(J62+K62,"")</f>
        <v>0</v>
      </c>
      <c r="M62" s="9" t="n">
        <f aca="false">IFERROR(SUMIFS(Payments!$E$5:$E$504,Payments!$D$5:$D$504,A62,Payments!$C$5:$C$504,"In"),"")</f>
        <v>0</v>
      </c>
      <c r="N62" s="9" t="n">
        <f aca="false">IFERROR(L62-M62,"")</f>
        <v>0</v>
      </c>
    </row>
    <row r="63" customFormat="false" ht="15" hidden="false" customHeight="false" outlineLevel="0" collapsed="false">
      <c r="A63" s="10"/>
      <c r="B63" s="12"/>
      <c r="C63" s="10"/>
      <c r="D63" s="14" t="str">
        <f aca="false">IFERROR(IF(C63="","",INDEX(Customers!$B$5:$B$504,MATCH(C63,Customers!$A$5:$A$504,0))),"")</f>
        <v/>
      </c>
      <c r="E63" s="10" t="s">
        <v>24</v>
      </c>
      <c r="F63" s="12"/>
      <c r="G63" s="12"/>
      <c r="H63" s="10"/>
      <c r="I63" s="10"/>
      <c r="J63" s="9" t="n">
        <f aca="false">IFERROR(SUMIFS(SalesOrderLines!$I$5:$I$504,SalesOrderLines!$B$5:$B$504,A63),"")</f>
        <v>0</v>
      </c>
      <c r="K63" s="9" t="n">
        <f aca="false">IFERROR(SUMIFS(SalesOrderLines!$J$5:$J$504,SalesOrderLines!$B$5:$B$504,A63),"")</f>
        <v>0</v>
      </c>
      <c r="L63" s="9" t="n">
        <f aca="false">IFERROR(J63+K63,"")</f>
        <v>0</v>
      </c>
      <c r="M63" s="9" t="n">
        <f aca="false">IFERROR(SUMIFS(Payments!$E$5:$E$504,Payments!$D$5:$D$504,A63,Payments!$C$5:$C$504,"In"),"")</f>
        <v>0</v>
      </c>
      <c r="N63" s="9" t="n">
        <f aca="false">IFERROR(L63-M63,"")</f>
        <v>0</v>
      </c>
    </row>
    <row r="64" customFormat="false" ht="15" hidden="false" customHeight="false" outlineLevel="0" collapsed="false">
      <c r="A64" s="10"/>
      <c r="B64" s="12"/>
      <c r="C64" s="10"/>
      <c r="D64" s="14" t="str">
        <f aca="false">IFERROR(IF(C64="","",INDEX(Customers!$B$5:$B$504,MATCH(C64,Customers!$A$5:$A$504,0))),"")</f>
        <v/>
      </c>
      <c r="E64" s="10" t="s">
        <v>24</v>
      </c>
      <c r="F64" s="12"/>
      <c r="G64" s="12"/>
      <c r="H64" s="10"/>
      <c r="I64" s="10"/>
      <c r="J64" s="9" t="n">
        <f aca="false">IFERROR(SUMIFS(SalesOrderLines!$I$5:$I$504,SalesOrderLines!$B$5:$B$504,A64),"")</f>
        <v>0</v>
      </c>
      <c r="K64" s="9" t="n">
        <f aca="false">IFERROR(SUMIFS(SalesOrderLines!$J$5:$J$504,SalesOrderLines!$B$5:$B$504,A64),"")</f>
        <v>0</v>
      </c>
      <c r="L64" s="9" t="n">
        <f aca="false">IFERROR(J64+K64,"")</f>
        <v>0</v>
      </c>
      <c r="M64" s="9" t="n">
        <f aca="false">IFERROR(SUMIFS(Payments!$E$5:$E$504,Payments!$D$5:$D$504,A64,Payments!$C$5:$C$504,"In"),"")</f>
        <v>0</v>
      </c>
      <c r="N64" s="9" t="n">
        <f aca="false">IFERROR(L64-M64,"")</f>
        <v>0</v>
      </c>
    </row>
    <row r="65" customFormat="false" ht="15" hidden="false" customHeight="false" outlineLevel="0" collapsed="false">
      <c r="A65" s="10"/>
      <c r="B65" s="12"/>
      <c r="C65" s="10"/>
      <c r="D65" s="14" t="str">
        <f aca="false">IFERROR(IF(C65="","",INDEX(Customers!$B$5:$B$504,MATCH(C65,Customers!$A$5:$A$504,0))),"")</f>
        <v/>
      </c>
      <c r="E65" s="10" t="s">
        <v>24</v>
      </c>
      <c r="F65" s="12"/>
      <c r="G65" s="12"/>
      <c r="H65" s="10"/>
      <c r="I65" s="10"/>
      <c r="J65" s="9" t="n">
        <f aca="false">IFERROR(SUMIFS(SalesOrderLines!$I$5:$I$504,SalesOrderLines!$B$5:$B$504,A65),"")</f>
        <v>0</v>
      </c>
      <c r="K65" s="9" t="n">
        <f aca="false">IFERROR(SUMIFS(SalesOrderLines!$J$5:$J$504,SalesOrderLines!$B$5:$B$504,A65),"")</f>
        <v>0</v>
      </c>
      <c r="L65" s="9" t="n">
        <f aca="false">IFERROR(J65+K65,"")</f>
        <v>0</v>
      </c>
      <c r="M65" s="9" t="n">
        <f aca="false">IFERROR(SUMIFS(Payments!$E$5:$E$504,Payments!$D$5:$D$504,A65,Payments!$C$5:$C$504,"In"),"")</f>
        <v>0</v>
      </c>
      <c r="N65" s="9" t="n">
        <f aca="false">IFERROR(L65-M65,"")</f>
        <v>0</v>
      </c>
    </row>
    <row r="66" customFormat="false" ht="15" hidden="false" customHeight="false" outlineLevel="0" collapsed="false">
      <c r="A66" s="10"/>
      <c r="B66" s="12"/>
      <c r="C66" s="10"/>
      <c r="D66" s="14" t="str">
        <f aca="false">IFERROR(IF(C66="","",INDEX(Customers!$B$5:$B$504,MATCH(C66,Customers!$A$5:$A$504,0))),"")</f>
        <v/>
      </c>
      <c r="E66" s="10" t="s">
        <v>24</v>
      </c>
      <c r="F66" s="12"/>
      <c r="G66" s="12"/>
      <c r="H66" s="10"/>
      <c r="I66" s="10"/>
      <c r="J66" s="9" t="n">
        <f aca="false">IFERROR(SUMIFS(SalesOrderLines!$I$5:$I$504,SalesOrderLines!$B$5:$B$504,A66),"")</f>
        <v>0</v>
      </c>
      <c r="K66" s="9" t="n">
        <f aca="false">IFERROR(SUMIFS(SalesOrderLines!$J$5:$J$504,SalesOrderLines!$B$5:$B$504,A66),"")</f>
        <v>0</v>
      </c>
      <c r="L66" s="9" t="n">
        <f aca="false">IFERROR(J66+K66,"")</f>
        <v>0</v>
      </c>
      <c r="M66" s="9" t="n">
        <f aca="false">IFERROR(SUMIFS(Payments!$E$5:$E$504,Payments!$D$5:$D$504,A66,Payments!$C$5:$C$504,"In"),"")</f>
        <v>0</v>
      </c>
      <c r="N66" s="9" t="n">
        <f aca="false">IFERROR(L66-M66,"")</f>
        <v>0</v>
      </c>
    </row>
    <row r="67" customFormat="false" ht="15" hidden="false" customHeight="false" outlineLevel="0" collapsed="false">
      <c r="A67" s="10"/>
      <c r="B67" s="12"/>
      <c r="C67" s="10"/>
      <c r="D67" s="14" t="str">
        <f aca="false">IFERROR(IF(C67="","",INDEX(Customers!$B$5:$B$504,MATCH(C67,Customers!$A$5:$A$504,0))),"")</f>
        <v/>
      </c>
      <c r="E67" s="10" t="s">
        <v>24</v>
      </c>
      <c r="F67" s="12"/>
      <c r="G67" s="12"/>
      <c r="H67" s="10"/>
      <c r="I67" s="10"/>
      <c r="J67" s="9" t="n">
        <f aca="false">IFERROR(SUMIFS(SalesOrderLines!$I$5:$I$504,SalesOrderLines!$B$5:$B$504,A67),"")</f>
        <v>0</v>
      </c>
      <c r="K67" s="9" t="n">
        <f aca="false">IFERROR(SUMIFS(SalesOrderLines!$J$5:$J$504,SalesOrderLines!$B$5:$B$504,A67),"")</f>
        <v>0</v>
      </c>
      <c r="L67" s="9" t="n">
        <f aca="false">IFERROR(J67+K67,"")</f>
        <v>0</v>
      </c>
      <c r="M67" s="9" t="n">
        <f aca="false">IFERROR(SUMIFS(Payments!$E$5:$E$504,Payments!$D$5:$D$504,A67,Payments!$C$5:$C$504,"In"),"")</f>
        <v>0</v>
      </c>
      <c r="N67" s="9" t="n">
        <f aca="false">IFERROR(L67-M67,"")</f>
        <v>0</v>
      </c>
    </row>
    <row r="68" customFormat="false" ht="15" hidden="false" customHeight="false" outlineLevel="0" collapsed="false">
      <c r="A68" s="10"/>
      <c r="B68" s="12"/>
      <c r="C68" s="10"/>
      <c r="D68" s="14" t="str">
        <f aca="false">IFERROR(IF(C68="","",INDEX(Customers!$B$5:$B$504,MATCH(C68,Customers!$A$5:$A$504,0))),"")</f>
        <v/>
      </c>
      <c r="E68" s="10" t="s">
        <v>24</v>
      </c>
      <c r="F68" s="12"/>
      <c r="G68" s="12"/>
      <c r="H68" s="10"/>
      <c r="I68" s="10"/>
      <c r="J68" s="9" t="n">
        <f aca="false">IFERROR(SUMIFS(SalesOrderLines!$I$5:$I$504,SalesOrderLines!$B$5:$B$504,A68),"")</f>
        <v>0</v>
      </c>
      <c r="K68" s="9" t="n">
        <f aca="false">IFERROR(SUMIFS(SalesOrderLines!$J$5:$J$504,SalesOrderLines!$B$5:$B$504,A68),"")</f>
        <v>0</v>
      </c>
      <c r="L68" s="9" t="n">
        <f aca="false">IFERROR(J68+K68,"")</f>
        <v>0</v>
      </c>
      <c r="M68" s="9" t="n">
        <f aca="false">IFERROR(SUMIFS(Payments!$E$5:$E$504,Payments!$D$5:$D$504,A68,Payments!$C$5:$C$504,"In"),"")</f>
        <v>0</v>
      </c>
      <c r="N68" s="9" t="n">
        <f aca="false">IFERROR(L68-M68,"")</f>
        <v>0</v>
      </c>
    </row>
    <row r="69" customFormat="false" ht="15" hidden="false" customHeight="false" outlineLevel="0" collapsed="false">
      <c r="A69" s="10"/>
      <c r="B69" s="12"/>
      <c r="C69" s="10"/>
      <c r="D69" s="14" t="str">
        <f aca="false">IFERROR(IF(C69="","",INDEX(Customers!$B$5:$B$504,MATCH(C69,Customers!$A$5:$A$504,0))),"")</f>
        <v/>
      </c>
      <c r="E69" s="10" t="s">
        <v>24</v>
      </c>
      <c r="F69" s="12"/>
      <c r="G69" s="12"/>
      <c r="H69" s="10"/>
      <c r="I69" s="10"/>
      <c r="J69" s="9" t="n">
        <f aca="false">IFERROR(SUMIFS(SalesOrderLines!$I$5:$I$504,SalesOrderLines!$B$5:$B$504,A69),"")</f>
        <v>0</v>
      </c>
      <c r="K69" s="9" t="n">
        <f aca="false">IFERROR(SUMIFS(SalesOrderLines!$J$5:$J$504,SalesOrderLines!$B$5:$B$504,A69),"")</f>
        <v>0</v>
      </c>
      <c r="L69" s="9" t="n">
        <f aca="false">IFERROR(J69+K69,"")</f>
        <v>0</v>
      </c>
      <c r="M69" s="9" t="n">
        <f aca="false">IFERROR(SUMIFS(Payments!$E$5:$E$504,Payments!$D$5:$D$504,A69,Payments!$C$5:$C$504,"In"),"")</f>
        <v>0</v>
      </c>
      <c r="N69" s="9" t="n">
        <f aca="false">IFERROR(L69-M69,"")</f>
        <v>0</v>
      </c>
    </row>
    <row r="70" customFormat="false" ht="15" hidden="false" customHeight="false" outlineLevel="0" collapsed="false">
      <c r="A70" s="10"/>
      <c r="B70" s="12"/>
      <c r="C70" s="10"/>
      <c r="D70" s="14" t="str">
        <f aca="false">IFERROR(IF(C70="","",INDEX(Customers!$B$5:$B$504,MATCH(C70,Customers!$A$5:$A$504,0))),"")</f>
        <v/>
      </c>
      <c r="E70" s="10" t="s">
        <v>24</v>
      </c>
      <c r="F70" s="12"/>
      <c r="G70" s="12"/>
      <c r="H70" s="10"/>
      <c r="I70" s="10"/>
      <c r="J70" s="9" t="n">
        <f aca="false">IFERROR(SUMIFS(SalesOrderLines!$I$5:$I$504,SalesOrderLines!$B$5:$B$504,A70),"")</f>
        <v>0</v>
      </c>
      <c r="K70" s="9" t="n">
        <f aca="false">IFERROR(SUMIFS(SalesOrderLines!$J$5:$J$504,SalesOrderLines!$B$5:$B$504,A70),"")</f>
        <v>0</v>
      </c>
      <c r="L70" s="9" t="n">
        <f aca="false">IFERROR(J70+K70,"")</f>
        <v>0</v>
      </c>
      <c r="M70" s="9" t="n">
        <f aca="false">IFERROR(SUMIFS(Payments!$E$5:$E$504,Payments!$D$5:$D$504,A70,Payments!$C$5:$C$504,"In"),"")</f>
        <v>0</v>
      </c>
      <c r="N70" s="9" t="n">
        <f aca="false">IFERROR(L70-M70,"")</f>
        <v>0</v>
      </c>
    </row>
    <row r="71" customFormat="false" ht="15" hidden="false" customHeight="false" outlineLevel="0" collapsed="false">
      <c r="A71" s="10"/>
      <c r="B71" s="12"/>
      <c r="C71" s="10"/>
      <c r="D71" s="14" t="str">
        <f aca="false">IFERROR(IF(C71="","",INDEX(Customers!$B$5:$B$504,MATCH(C71,Customers!$A$5:$A$504,0))),"")</f>
        <v/>
      </c>
      <c r="E71" s="10" t="s">
        <v>24</v>
      </c>
      <c r="F71" s="12"/>
      <c r="G71" s="12"/>
      <c r="H71" s="10"/>
      <c r="I71" s="10"/>
      <c r="J71" s="9" t="n">
        <f aca="false">IFERROR(SUMIFS(SalesOrderLines!$I$5:$I$504,SalesOrderLines!$B$5:$B$504,A71),"")</f>
        <v>0</v>
      </c>
      <c r="K71" s="9" t="n">
        <f aca="false">IFERROR(SUMIFS(SalesOrderLines!$J$5:$J$504,SalesOrderLines!$B$5:$B$504,A71),"")</f>
        <v>0</v>
      </c>
      <c r="L71" s="9" t="n">
        <f aca="false">IFERROR(J71+K71,"")</f>
        <v>0</v>
      </c>
      <c r="M71" s="9" t="n">
        <f aca="false">IFERROR(SUMIFS(Payments!$E$5:$E$504,Payments!$D$5:$D$504,A71,Payments!$C$5:$C$504,"In"),"")</f>
        <v>0</v>
      </c>
      <c r="N71" s="9" t="n">
        <f aca="false">IFERROR(L71-M71,"")</f>
        <v>0</v>
      </c>
    </row>
    <row r="72" customFormat="false" ht="15" hidden="false" customHeight="false" outlineLevel="0" collapsed="false">
      <c r="A72" s="10"/>
      <c r="B72" s="12"/>
      <c r="C72" s="10"/>
      <c r="D72" s="14" t="str">
        <f aca="false">IFERROR(IF(C72="","",INDEX(Customers!$B$5:$B$504,MATCH(C72,Customers!$A$5:$A$504,0))),"")</f>
        <v/>
      </c>
      <c r="E72" s="10" t="s">
        <v>24</v>
      </c>
      <c r="F72" s="12"/>
      <c r="G72" s="12"/>
      <c r="H72" s="10"/>
      <c r="I72" s="10"/>
      <c r="J72" s="9" t="n">
        <f aca="false">IFERROR(SUMIFS(SalesOrderLines!$I$5:$I$504,SalesOrderLines!$B$5:$B$504,A72),"")</f>
        <v>0</v>
      </c>
      <c r="K72" s="9" t="n">
        <f aca="false">IFERROR(SUMIFS(SalesOrderLines!$J$5:$J$504,SalesOrderLines!$B$5:$B$504,A72),"")</f>
        <v>0</v>
      </c>
      <c r="L72" s="9" t="n">
        <f aca="false">IFERROR(J72+K72,"")</f>
        <v>0</v>
      </c>
      <c r="M72" s="9" t="n">
        <f aca="false">IFERROR(SUMIFS(Payments!$E$5:$E$504,Payments!$D$5:$D$504,A72,Payments!$C$5:$C$504,"In"),"")</f>
        <v>0</v>
      </c>
      <c r="N72" s="9" t="n">
        <f aca="false">IFERROR(L72-M72,"")</f>
        <v>0</v>
      </c>
    </row>
    <row r="73" customFormat="false" ht="15" hidden="false" customHeight="false" outlineLevel="0" collapsed="false">
      <c r="A73" s="10"/>
      <c r="B73" s="12"/>
      <c r="C73" s="10"/>
      <c r="D73" s="14" t="str">
        <f aca="false">IFERROR(IF(C73="","",INDEX(Customers!$B$5:$B$504,MATCH(C73,Customers!$A$5:$A$504,0))),"")</f>
        <v/>
      </c>
      <c r="E73" s="10" t="s">
        <v>24</v>
      </c>
      <c r="F73" s="12"/>
      <c r="G73" s="12"/>
      <c r="H73" s="10"/>
      <c r="I73" s="10"/>
      <c r="J73" s="9" t="n">
        <f aca="false">IFERROR(SUMIFS(SalesOrderLines!$I$5:$I$504,SalesOrderLines!$B$5:$B$504,A73),"")</f>
        <v>0</v>
      </c>
      <c r="K73" s="9" t="n">
        <f aca="false">IFERROR(SUMIFS(SalesOrderLines!$J$5:$J$504,SalesOrderLines!$B$5:$B$504,A73),"")</f>
        <v>0</v>
      </c>
      <c r="L73" s="9" t="n">
        <f aca="false">IFERROR(J73+K73,"")</f>
        <v>0</v>
      </c>
      <c r="M73" s="9" t="n">
        <f aca="false">IFERROR(SUMIFS(Payments!$E$5:$E$504,Payments!$D$5:$D$504,A73,Payments!$C$5:$C$504,"In"),"")</f>
        <v>0</v>
      </c>
      <c r="N73" s="9" t="n">
        <f aca="false">IFERROR(L73-M73,"")</f>
        <v>0</v>
      </c>
    </row>
    <row r="74" customFormat="false" ht="15" hidden="false" customHeight="false" outlineLevel="0" collapsed="false">
      <c r="A74" s="10"/>
      <c r="B74" s="12"/>
      <c r="C74" s="10"/>
      <c r="D74" s="14" t="str">
        <f aca="false">IFERROR(IF(C74="","",INDEX(Customers!$B$5:$B$504,MATCH(C74,Customers!$A$5:$A$504,0))),"")</f>
        <v/>
      </c>
      <c r="E74" s="10" t="s">
        <v>24</v>
      </c>
      <c r="F74" s="12"/>
      <c r="G74" s="12"/>
      <c r="H74" s="10"/>
      <c r="I74" s="10"/>
      <c r="J74" s="9" t="n">
        <f aca="false">IFERROR(SUMIFS(SalesOrderLines!$I$5:$I$504,SalesOrderLines!$B$5:$B$504,A74),"")</f>
        <v>0</v>
      </c>
      <c r="K74" s="9" t="n">
        <f aca="false">IFERROR(SUMIFS(SalesOrderLines!$J$5:$J$504,SalesOrderLines!$B$5:$B$504,A74),"")</f>
        <v>0</v>
      </c>
      <c r="L74" s="9" t="n">
        <f aca="false">IFERROR(J74+K74,"")</f>
        <v>0</v>
      </c>
      <c r="M74" s="9" t="n">
        <f aca="false">IFERROR(SUMIFS(Payments!$E$5:$E$504,Payments!$D$5:$D$504,A74,Payments!$C$5:$C$504,"In"),"")</f>
        <v>0</v>
      </c>
      <c r="N74" s="9" t="n">
        <f aca="false">IFERROR(L74-M74,"")</f>
        <v>0</v>
      </c>
    </row>
    <row r="75" customFormat="false" ht="15" hidden="false" customHeight="false" outlineLevel="0" collapsed="false">
      <c r="A75" s="10"/>
      <c r="B75" s="12"/>
      <c r="C75" s="10"/>
      <c r="D75" s="14" t="str">
        <f aca="false">IFERROR(IF(C75="","",INDEX(Customers!$B$5:$B$504,MATCH(C75,Customers!$A$5:$A$504,0))),"")</f>
        <v/>
      </c>
      <c r="E75" s="10" t="s">
        <v>24</v>
      </c>
      <c r="F75" s="12"/>
      <c r="G75" s="12"/>
      <c r="H75" s="10"/>
      <c r="I75" s="10"/>
      <c r="J75" s="9" t="n">
        <f aca="false">IFERROR(SUMIFS(SalesOrderLines!$I$5:$I$504,SalesOrderLines!$B$5:$B$504,A75),"")</f>
        <v>0</v>
      </c>
      <c r="K75" s="9" t="n">
        <f aca="false">IFERROR(SUMIFS(SalesOrderLines!$J$5:$J$504,SalesOrderLines!$B$5:$B$504,A75),"")</f>
        <v>0</v>
      </c>
      <c r="L75" s="9" t="n">
        <f aca="false">IFERROR(J75+K75,"")</f>
        <v>0</v>
      </c>
      <c r="M75" s="9" t="n">
        <f aca="false">IFERROR(SUMIFS(Payments!$E$5:$E$504,Payments!$D$5:$D$504,A75,Payments!$C$5:$C$504,"In"),"")</f>
        <v>0</v>
      </c>
      <c r="N75" s="9" t="n">
        <f aca="false">IFERROR(L75-M75,"")</f>
        <v>0</v>
      </c>
    </row>
    <row r="76" customFormat="false" ht="15" hidden="false" customHeight="false" outlineLevel="0" collapsed="false">
      <c r="A76" s="10"/>
      <c r="B76" s="12"/>
      <c r="C76" s="10"/>
      <c r="D76" s="14" t="str">
        <f aca="false">IFERROR(IF(C76="","",INDEX(Customers!$B$5:$B$504,MATCH(C76,Customers!$A$5:$A$504,0))),"")</f>
        <v/>
      </c>
      <c r="E76" s="10" t="s">
        <v>24</v>
      </c>
      <c r="F76" s="12"/>
      <c r="G76" s="12"/>
      <c r="H76" s="10"/>
      <c r="I76" s="10"/>
      <c r="J76" s="9" t="n">
        <f aca="false">IFERROR(SUMIFS(SalesOrderLines!$I$5:$I$504,SalesOrderLines!$B$5:$B$504,A76),"")</f>
        <v>0</v>
      </c>
      <c r="K76" s="9" t="n">
        <f aca="false">IFERROR(SUMIFS(SalesOrderLines!$J$5:$J$504,SalesOrderLines!$B$5:$B$504,A76),"")</f>
        <v>0</v>
      </c>
      <c r="L76" s="9" t="n">
        <f aca="false">IFERROR(J76+K76,"")</f>
        <v>0</v>
      </c>
      <c r="M76" s="9" t="n">
        <f aca="false">IFERROR(SUMIFS(Payments!$E$5:$E$504,Payments!$D$5:$D$504,A76,Payments!$C$5:$C$504,"In"),"")</f>
        <v>0</v>
      </c>
      <c r="N76" s="9" t="n">
        <f aca="false">IFERROR(L76-M76,"")</f>
        <v>0</v>
      </c>
    </row>
    <row r="77" customFormat="false" ht="15" hidden="false" customHeight="false" outlineLevel="0" collapsed="false">
      <c r="A77" s="10"/>
      <c r="B77" s="12"/>
      <c r="C77" s="10"/>
      <c r="D77" s="14" t="str">
        <f aca="false">IFERROR(IF(C77="","",INDEX(Customers!$B$5:$B$504,MATCH(C77,Customers!$A$5:$A$504,0))),"")</f>
        <v/>
      </c>
      <c r="E77" s="10" t="s">
        <v>24</v>
      </c>
      <c r="F77" s="12"/>
      <c r="G77" s="12"/>
      <c r="H77" s="10"/>
      <c r="I77" s="10"/>
      <c r="J77" s="9" t="n">
        <f aca="false">IFERROR(SUMIFS(SalesOrderLines!$I$5:$I$504,SalesOrderLines!$B$5:$B$504,A77),"")</f>
        <v>0</v>
      </c>
      <c r="K77" s="9" t="n">
        <f aca="false">IFERROR(SUMIFS(SalesOrderLines!$J$5:$J$504,SalesOrderLines!$B$5:$B$504,A77),"")</f>
        <v>0</v>
      </c>
      <c r="L77" s="9" t="n">
        <f aca="false">IFERROR(J77+K77,"")</f>
        <v>0</v>
      </c>
      <c r="M77" s="9" t="n">
        <f aca="false">IFERROR(SUMIFS(Payments!$E$5:$E$504,Payments!$D$5:$D$504,A77,Payments!$C$5:$C$504,"In"),"")</f>
        <v>0</v>
      </c>
      <c r="N77" s="9" t="n">
        <f aca="false">IFERROR(L77-M77,"")</f>
        <v>0</v>
      </c>
    </row>
    <row r="78" customFormat="false" ht="15" hidden="false" customHeight="false" outlineLevel="0" collapsed="false">
      <c r="A78" s="10"/>
      <c r="B78" s="12"/>
      <c r="C78" s="10"/>
      <c r="D78" s="14" t="str">
        <f aca="false">IFERROR(IF(C78="","",INDEX(Customers!$B$5:$B$504,MATCH(C78,Customers!$A$5:$A$504,0))),"")</f>
        <v/>
      </c>
      <c r="E78" s="10" t="s">
        <v>24</v>
      </c>
      <c r="F78" s="12"/>
      <c r="G78" s="12"/>
      <c r="H78" s="10"/>
      <c r="I78" s="10"/>
      <c r="J78" s="9" t="n">
        <f aca="false">IFERROR(SUMIFS(SalesOrderLines!$I$5:$I$504,SalesOrderLines!$B$5:$B$504,A78),"")</f>
        <v>0</v>
      </c>
      <c r="K78" s="9" t="n">
        <f aca="false">IFERROR(SUMIFS(SalesOrderLines!$J$5:$J$504,SalesOrderLines!$B$5:$B$504,A78),"")</f>
        <v>0</v>
      </c>
      <c r="L78" s="9" t="n">
        <f aca="false">IFERROR(J78+K78,"")</f>
        <v>0</v>
      </c>
      <c r="M78" s="9" t="n">
        <f aca="false">IFERROR(SUMIFS(Payments!$E$5:$E$504,Payments!$D$5:$D$504,A78,Payments!$C$5:$C$504,"In"),"")</f>
        <v>0</v>
      </c>
      <c r="N78" s="9" t="n">
        <f aca="false">IFERROR(L78-M78,"")</f>
        <v>0</v>
      </c>
    </row>
    <row r="79" customFormat="false" ht="15" hidden="false" customHeight="false" outlineLevel="0" collapsed="false">
      <c r="A79" s="10"/>
      <c r="B79" s="12"/>
      <c r="C79" s="10"/>
      <c r="D79" s="14" t="str">
        <f aca="false">IFERROR(IF(C79="","",INDEX(Customers!$B$5:$B$504,MATCH(C79,Customers!$A$5:$A$504,0))),"")</f>
        <v/>
      </c>
      <c r="E79" s="10" t="s">
        <v>24</v>
      </c>
      <c r="F79" s="12"/>
      <c r="G79" s="12"/>
      <c r="H79" s="10"/>
      <c r="I79" s="10"/>
      <c r="J79" s="9" t="n">
        <f aca="false">IFERROR(SUMIFS(SalesOrderLines!$I$5:$I$504,SalesOrderLines!$B$5:$B$504,A79),"")</f>
        <v>0</v>
      </c>
      <c r="K79" s="9" t="n">
        <f aca="false">IFERROR(SUMIFS(SalesOrderLines!$J$5:$J$504,SalesOrderLines!$B$5:$B$504,A79),"")</f>
        <v>0</v>
      </c>
      <c r="L79" s="9" t="n">
        <f aca="false">IFERROR(J79+K79,"")</f>
        <v>0</v>
      </c>
      <c r="M79" s="9" t="n">
        <f aca="false">IFERROR(SUMIFS(Payments!$E$5:$E$504,Payments!$D$5:$D$504,A79,Payments!$C$5:$C$504,"In"),"")</f>
        <v>0</v>
      </c>
      <c r="N79" s="9" t="n">
        <f aca="false">IFERROR(L79-M79,"")</f>
        <v>0</v>
      </c>
    </row>
    <row r="80" customFormat="false" ht="15" hidden="false" customHeight="false" outlineLevel="0" collapsed="false">
      <c r="A80" s="10"/>
      <c r="B80" s="12"/>
      <c r="C80" s="10"/>
      <c r="D80" s="14" t="str">
        <f aca="false">IFERROR(IF(C80="","",INDEX(Customers!$B$5:$B$504,MATCH(C80,Customers!$A$5:$A$504,0))),"")</f>
        <v/>
      </c>
      <c r="E80" s="10" t="s">
        <v>24</v>
      </c>
      <c r="F80" s="12"/>
      <c r="G80" s="12"/>
      <c r="H80" s="10"/>
      <c r="I80" s="10"/>
      <c r="J80" s="9" t="n">
        <f aca="false">IFERROR(SUMIFS(SalesOrderLines!$I$5:$I$504,SalesOrderLines!$B$5:$B$504,A80),"")</f>
        <v>0</v>
      </c>
      <c r="K80" s="9" t="n">
        <f aca="false">IFERROR(SUMIFS(SalesOrderLines!$J$5:$J$504,SalesOrderLines!$B$5:$B$504,A80),"")</f>
        <v>0</v>
      </c>
      <c r="L80" s="9" t="n">
        <f aca="false">IFERROR(J80+K80,"")</f>
        <v>0</v>
      </c>
      <c r="M80" s="9" t="n">
        <f aca="false">IFERROR(SUMIFS(Payments!$E$5:$E$504,Payments!$D$5:$D$504,A80,Payments!$C$5:$C$504,"In"),"")</f>
        <v>0</v>
      </c>
      <c r="N80" s="9" t="n">
        <f aca="false">IFERROR(L80-M80,"")</f>
        <v>0</v>
      </c>
    </row>
    <row r="81" customFormat="false" ht="15" hidden="false" customHeight="false" outlineLevel="0" collapsed="false">
      <c r="A81" s="10"/>
      <c r="B81" s="12"/>
      <c r="C81" s="10"/>
      <c r="D81" s="14" t="str">
        <f aca="false">IFERROR(IF(C81="","",INDEX(Customers!$B$5:$B$504,MATCH(C81,Customers!$A$5:$A$504,0))),"")</f>
        <v/>
      </c>
      <c r="E81" s="10" t="s">
        <v>24</v>
      </c>
      <c r="F81" s="12"/>
      <c r="G81" s="12"/>
      <c r="H81" s="10"/>
      <c r="I81" s="10"/>
      <c r="J81" s="9" t="n">
        <f aca="false">IFERROR(SUMIFS(SalesOrderLines!$I$5:$I$504,SalesOrderLines!$B$5:$B$504,A81),"")</f>
        <v>0</v>
      </c>
      <c r="K81" s="9" t="n">
        <f aca="false">IFERROR(SUMIFS(SalesOrderLines!$J$5:$J$504,SalesOrderLines!$B$5:$B$504,A81),"")</f>
        <v>0</v>
      </c>
      <c r="L81" s="9" t="n">
        <f aca="false">IFERROR(J81+K81,"")</f>
        <v>0</v>
      </c>
      <c r="M81" s="9" t="n">
        <f aca="false">IFERROR(SUMIFS(Payments!$E$5:$E$504,Payments!$D$5:$D$504,A81,Payments!$C$5:$C$504,"In"),"")</f>
        <v>0</v>
      </c>
      <c r="N81" s="9" t="n">
        <f aca="false">IFERROR(L81-M81,"")</f>
        <v>0</v>
      </c>
    </row>
    <row r="82" customFormat="false" ht="15" hidden="false" customHeight="false" outlineLevel="0" collapsed="false">
      <c r="A82" s="10"/>
      <c r="B82" s="12"/>
      <c r="C82" s="10"/>
      <c r="D82" s="14" t="str">
        <f aca="false">IFERROR(IF(C82="","",INDEX(Customers!$B$5:$B$504,MATCH(C82,Customers!$A$5:$A$504,0))),"")</f>
        <v/>
      </c>
      <c r="E82" s="10" t="s">
        <v>24</v>
      </c>
      <c r="F82" s="12"/>
      <c r="G82" s="12"/>
      <c r="H82" s="10"/>
      <c r="I82" s="10"/>
      <c r="J82" s="9" t="n">
        <f aca="false">IFERROR(SUMIFS(SalesOrderLines!$I$5:$I$504,SalesOrderLines!$B$5:$B$504,A82),"")</f>
        <v>0</v>
      </c>
      <c r="K82" s="9" t="n">
        <f aca="false">IFERROR(SUMIFS(SalesOrderLines!$J$5:$J$504,SalesOrderLines!$B$5:$B$504,A82),"")</f>
        <v>0</v>
      </c>
      <c r="L82" s="9" t="n">
        <f aca="false">IFERROR(J82+K82,"")</f>
        <v>0</v>
      </c>
      <c r="M82" s="9" t="n">
        <f aca="false">IFERROR(SUMIFS(Payments!$E$5:$E$504,Payments!$D$5:$D$504,A82,Payments!$C$5:$C$504,"In"),"")</f>
        <v>0</v>
      </c>
      <c r="N82" s="9" t="n">
        <f aca="false">IFERROR(L82-M82,"")</f>
        <v>0</v>
      </c>
    </row>
    <row r="83" customFormat="false" ht="15" hidden="false" customHeight="false" outlineLevel="0" collapsed="false">
      <c r="A83" s="10"/>
      <c r="B83" s="12"/>
      <c r="C83" s="10"/>
      <c r="D83" s="14" t="str">
        <f aca="false">IFERROR(IF(C83="","",INDEX(Customers!$B$5:$B$504,MATCH(C83,Customers!$A$5:$A$504,0))),"")</f>
        <v/>
      </c>
      <c r="E83" s="10" t="s">
        <v>24</v>
      </c>
      <c r="F83" s="12"/>
      <c r="G83" s="12"/>
      <c r="H83" s="10"/>
      <c r="I83" s="10"/>
      <c r="J83" s="9" t="n">
        <f aca="false">IFERROR(SUMIFS(SalesOrderLines!$I$5:$I$504,SalesOrderLines!$B$5:$B$504,A83),"")</f>
        <v>0</v>
      </c>
      <c r="K83" s="9" t="n">
        <f aca="false">IFERROR(SUMIFS(SalesOrderLines!$J$5:$J$504,SalesOrderLines!$B$5:$B$504,A83),"")</f>
        <v>0</v>
      </c>
      <c r="L83" s="9" t="n">
        <f aca="false">IFERROR(J83+K83,"")</f>
        <v>0</v>
      </c>
      <c r="M83" s="9" t="n">
        <f aca="false">IFERROR(SUMIFS(Payments!$E$5:$E$504,Payments!$D$5:$D$504,A83,Payments!$C$5:$C$504,"In"),"")</f>
        <v>0</v>
      </c>
      <c r="N83" s="9" t="n">
        <f aca="false">IFERROR(L83-M83,"")</f>
        <v>0</v>
      </c>
    </row>
    <row r="84" customFormat="false" ht="15" hidden="false" customHeight="false" outlineLevel="0" collapsed="false">
      <c r="A84" s="10"/>
      <c r="B84" s="12"/>
      <c r="C84" s="10"/>
      <c r="D84" s="14" t="str">
        <f aca="false">IFERROR(IF(C84="","",INDEX(Customers!$B$5:$B$504,MATCH(C84,Customers!$A$5:$A$504,0))),"")</f>
        <v/>
      </c>
      <c r="E84" s="10" t="s">
        <v>24</v>
      </c>
      <c r="F84" s="12"/>
      <c r="G84" s="12"/>
      <c r="H84" s="10"/>
      <c r="I84" s="10"/>
      <c r="J84" s="9" t="n">
        <f aca="false">IFERROR(SUMIFS(SalesOrderLines!$I$5:$I$504,SalesOrderLines!$B$5:$B$504,A84),"")</f>
        <v>0</v>
      </c>
      <c r="K84" s="9" t="n">
        <f aca="false">IFERROR(SUMIFS(SalesOrderLines!$J$5:$J$504,SalesOrderLines!$B$5:$B$504,A84),"")</f>
        <v>0</v>
      </c>
      <c r="L84" s="9" t="n">
        <f aca="false">IFERROR(J84+K84,"")</f>
        <v>0</v>
      </c>
      <c r="M84" s="9" t="n">
        <f aca="false">IFERROR(SUMIFS(Payments!$E$5:$E$504,Payments!$D$5:$D$504,A84,Payments!$C$5:$C$504,"In"),"")</f>
        <v>0</v>
      </c>
      <c r="N84" s="9" t="n">
        <f aca="false">IFERROR(L84-M84,"")</f>
        <v>0</v>
      </c>
    </row>
    <row r="85" customFormat="false" ht="15" hidden="false" customHeight="false" outlineLevel="0" collapsed="false">
      <c r="A85" s="10"/>
      <c r="B85" s="12"/>
      <c r="C85" s="10"/>
      <c r="D85" s="14" t="str">
        <f aca="false">IFERROR(IF(C85="","",INDEX(Customers!$B$5:$B$504,MATCH(C85,Customers!$A$5:$A$504,0))),"")</f>
        <v/>
      </c>
      <c r="E85" s="10" t="s">
        <v>24</v>
      </c>
      <c r="F85" s="12"/>
      <c r="G85" s="12"/>
      <c r="H85" s="10"/>
      <c r="I85" s="10"/>
      <c r="J85" s="9" t="n">
        <f aca="false">IFERROR(SUMIFS(SalesOrderLines!$I$5:$I$504,SalesOrderLines!$B$5:$B$504,A85),"")</f>
        <v>0</v>
      </c>
      <c r="K85" s="9" t="n">
        <f aca="false">IFERROR(SUMIFS(SalesOrderLines!$J$5:$J$504,SalesOrderLines!$B$5:$B$504,A85),"")</f>
        <v>0</v>
      </c>
      <c r="L85" s="9" t="n">
        <f aca="false">IFERROR(J85+K85,"")</f>
        <v>0</v>
      </c>
      <c r="M85" s="9" t="n">
        <f aca="false">IFERROR(SUMIFS(Payments!$E$5:$E$504,Payments!$D$5:$D$504,A85,Payments!$C$5:$C$504,"In"),"")</f>
        <v>0</v>
      </c>
      <c r="N85" s="9" t="n">
        <f aca="false">IFERROR(L85-M85,"")</f>
        <v>0</v>
      </c>
    </row>
    <row r="86" customFormat="false" ht="15" hidden="false" customHeight="false" outlineLevel="0" collapsed="false">
      <c r="A86" s="10"/>
      <c r="B86" s="12"/>
      <c r="C86" s="10"/>
      <c r="D86" s="14" t="str">
        <f aca="false">IFERROR(IF(C86="","",INDEX(Customers!$B$5:$B$504,MATCH(C86,Customers!$A$5:$A$504,0))),"")</f>
        <v/>
      </c>
      <c r="E86" s="10" t="s">
        <v>24</v>
      </c>
      <c r="F86" s="12"/>
      <c r="G86" s="12"/>
      <c r="H86" s="10"/>
      <c r="I86" s="10"/>
      <c r="J86" s="9" t="n">
        <f aca="false">IFERROR(SUMIFS(SalesOrderLines!$I$5:$I$504,SalesOrderLines!$B$5:$B$504,A86),"")</f>
        <v>0</v>
      </c>
      <c r="K86" s="9" t="n">
        <f aca="false">IFERROR(SUMIFS(SalesOrderLines!$J$5:$J$504,SalesOrderLines!$B$5:$B$504,A86),"")</f>
        <v>0</v>
      </c>
      <c r="L86" s="9" t="n">
        <f aca="false">IFERROR(J86+K86,"")</f>
        <v>0</v>
      </c>
      <c r="M86" s="9" t="n">
        <f aca="false">IFERROR(SUMIFS(Payments!$E$5:$E$504,Payments!$D$5:$D$504,A86,Payments!$C$5:$C$504,"In"),"")</f>
        <v>0</v>
      </c>
      <c r="N86" s="9" t="n">
        <f aca="false">IFERROR(L86-M86,"")</f>
        <v>0</v>
      </c>
    </row>
    <row r="87" customFormat="false" ht="15" hidden="false" customHeight="false" outlineLevel="0" collapsed="false">
      <c r="A87" s="10"/>
      <c r="B87" s="12"/>
      <c r="C87" s="10"/>
      <c r="D87" s="14" t="str">
        <f aca="false">IFERROR(IF(C87="","",INDEX(Customers!$B$5:$B$504,MATCH(C87,Customers!$A$5:$A$504,0))),"")</f>
        <v/>
      </c>
      <c r="E87" s="10" t="s">
        <v>24</v>
      </c>
      <c r="F87" s="12"/>
      <c r="G87" s="12"/>
      <c r="H87" s="10"/>
      <c r="I87" s="10"/>
      <c r="J87" s="9" t="n">
        <f aca="false">IFERROR(SUMIFS(SalesOrderLines!$I$5:$I$504,SalesOrderLines!$B$5:$B$504,A87),"")</f>
        <v>0</v>
      </c>
      <c r="K87" s="9" t="n">
        <f aca="false">IFERROR(SUMIFS(SalesOrderLines!$J$5:$J$504,SalesOrderLines!$B$5:$B$504,A87),"")</f>
        <v>0</v>
      </c>
      <c r="L87" s="9" t="n">
        <f aca="false">IFERROR(J87+K87,"")</f>
        <v>0</v>
      </c>
      <c r="M87" s="9" t="n">
        <f aca="false">IFERROR(SUMIFS(Payments!$E$5:$E$504,Payments!$D$5:$D$504,A87,Payments!$C$5:$C$504,"In"),"")</f>
        <v>0</v>
      </c>
      <c r="N87" s="9" t="n">
        <f aca="false">IFERROR(L87-M87,"")</f>
        <v>0</v>
      </c>
    </row>
    <row r="88" customFormat="false" ht="15" hidden="false" customHeight="false" outlineLevel="0" collapsed="false">
      <c r="A88" s="10"/>
      <c r="B88" s="12"/>
      <c r="C88" s="10"/>
      <c r="D88" s="14" t="str">
        <f aca="false">IFERROR(IF(C88="","",INDEX(Customers!$B$5:$B$504,MATCH(C88,Customers!$A$5:$A$504,0))),"")</f>
        <v/>
      </c>
      <c r="E88" s="10" t="s">
        <v>24</v>
      </c>
      <c r="F88" s="12"/>
      <c r="G88" s="12"/>
      <c r="H88" s="10"/>
      <c r="I88" s="10"/>
      <c r="J88" s="9" t="n">
        <f aca="false">IFERROR(SUMIFS(SalesOrderLines!$I$5:$I$504,SalesOrderLines!$B$5:$B$504,A88),"")</f>
        <v>0</v>
      </c>
      <c r="K88" s="9" t="n">
        <f aca="false">IFERROR(SUMIFS(SalesOrderLines!$J$5:$J$504,SalesOrderLines!$B$5:$B$504,A88),"")</f>
        <v>0</v>
      </c>
      <c r="L88" s="9" t="n">
        <f aca="false">IFERROR(J88+K88,"")</f>
        <v>0</v>
      </c>
      <c r="M88" s="9" t="n">
        <f aca="false">IFERROR(SUMIFS(Payments!$E$5:$E$504,Payments!$D$5:$D$504,A88,Payments!$C$5:$C$504,"In"),"")</f>
        <v>0</v>
      </c>
      <c r="N88" s="9" t="n">
        <f aca="false">IFERROR(L88-M88,"")</f>
        <v>0</v>
      </c>
    </row>
    <row r="89" customFormat="false" ht="15" hidden="false" customHeight="false" outlineLevel="0" collapsed="false">
      <c r="A89" s="10"/>
      <c r="B89" s="12"/>
      <c r="C89" s="10"/>
      <c r="D89" s="14" t="str">
        <f aca="false">IFERROR(IF(C89="","",INDEX(Customers!$B$5:$B$504,MATCH(C89,Customers!$A$5:$A$504,0))),"")</f>
        <v/>
      </c>
      <c r="E89" s="10" t="s">
        <v>24</v>
      </c>
      <c r="F89" s="12"/>
      <c r="G89" s="12"/>
      <c r="H89" s="10"/>
      <c r="I89" s="10"/>
      <c r="J89" s="9" t="n">
        <f aca="false">IFERROR(SUMIFS(SalesOrderLines!$I$5:$I$504,SalesOrderLines!$B$5:$B$504,A89),"")</f>
        <v>0</v>
      </c>
      <c r="K89" s="9" t="n">
        <f aca="false">IFERROR(SUMIFS(SalesOrderLines!$J$5:$J$504,SalesOrderLines!$B$5:$B$504,A89),"")</f>
        <v>0</v>
      </c>
      <c r="L89" s="9" t="n">
        <f aca="false">IFERROR(J89+K89,"")</f>
        <v>0</v>
      </c>
      <c r="M89" s="9" t="n">
        <f aca="false">IFERROR(SUMIFS(Payments!$E$5:$E$504,Payments!$D$5:$D$504,A89,Payments!$C$5:$C$504,"In"),"")</f>
        <v>0</v>
      </c>
      <c r="N89" s="9" t="n">
        <f aca="false">IFERROR(L89-M89,"")</f>
        <v>0</v>
      </c>
    </row>
    <row r="90" customFormat="false" ht="15" hidden="false" customHeight="false" outlineLevel="0" collapsed="false">
      <c r="A90" s="10"/>
      <c r="B90" s="12"/>
      <c r="C90" s="10"/>
      <c r="D90" s="14" t="str">
        <f aca="false">IFERROR(IF(C90="","",INDEX(Customers!$B$5:$B$504,MATCH(C90,Customers!$A$5:$A$504,0))),"")</f>
        <v/>
      </c>
      <c r="E90" s="10" t="s">
        <v>24</v>
      </c>
      <c r="F90" s="12"/>
      <c r="G90" s="12"/>
      <c r="H90" s="10"/>
      <c r="I90" s="10"/>
      <c r="J90" s="9" t="n">
        <f aca="false">IFERROR(SUMIFS(SalesOrderLines!$I$5:$I$504,SalesOrderLines!$B$5:$B$504,A90),"")</f>
        <v>0</v>
      </c>
      <c r="K90" s="9" t="n">
        <f aca="false">IFERROR(SUMIFS(SalesOrderLines!$J$5:$J$504,SalesOrderLines!$B$5:$B$504,A90),"")</f>
        <v>0</v>
      </c>
      <c r="L90" s="9" t="n">
        <f aca="false">IFERROR(J90+K90,"")</f>
        <v>0</v>
      </c>
      <c r="M90" s="9" t="n">
        <f aca="false">IFERROR(SUMIFS(Payments!$E$5:$E$504,Payments!$D$5:$D$504,A90,Payments!$C$5:$C$504,"In"),"")</f>
        <v>0</v>
      </c>
      <c r="N90" s="9" t="n">
        <f aca="false">IFERROR(L90-M90,"")</f>
        <v>0</v>
      </c>
    </row>
    <row r="91" customFormat="false" ht="15" hidden="false" customHeight="false" outlineLevel="0" collapsed="false">
      <c r="A91" s="10"/>
      <c r="B91" s="12"/>
      <c r="C91" s="10"/>
      <c r="D91" s="14" t="str">
        <f aca="false">IFERROR(IF(C91="","",INDEX(Customers!$B$5:$B$504,MATCH(C91,Customers!$A$5:$A$504,0))),"")</f>
        <v/>
      </c>
      <c r="E91" s="10" t="s">
        <v>24</v>
      </c>
      <c r="F91" s="12"/>
      <c r="G91" s="12"/>
      <c r="H91" s="10"/>
      <c r="I91" s="10"/>
      <c r="J91" s="9" t="n">
        <f aca="false">IFERROR(SUMIFS(SalesOrderLines!$I$5:$I$504,SalesOrderLines!$B$5:$B$504,A91),"")</f>
        <v>0</v>
      </c>
      <c r="K91" s="9" t="n">
        <f aca="false">IFERROR(SUMIFS(SalesOrderLines!$J$5:$J$504,SalesOrderLines!$B$5:$B$504,A91),"")</f>
        <v>0</v>
      </c>
      <c r="L91" s="9" t="n">
        <f aca="false">IFERROR(J91+K91,"")</f>
        <v>0</v>
      </c>
      <c r="M91" s="9" t="n">
        <f aca="false">IFERROR(SUMIFS(Payments!$E$5:$E$504,Payments!$D$5:$D$504,A91,Payments!$C$5:$C$504,"In"),"")</f>
        <v>0</v>
      </c>
      <c r="N91" s="9" t="n">
        <f aca="false">IFERROR(L91-M91,"")</f>
        <v>0</v>
      </c>
    </row>
    <row r="92" customFormat="false" ht="15" hidden="false" customHeight="false" outlineLevel="0" collapsed="false">
      <c r="A92" s="10"/>
      <c r="B92" s="12"/>
      <c r="C92" s="10"/>
      <c r="D92" s="14" t="str">
        <f aca="false">IFERROR(IF(C92="","",INDEX(Customers!$B$5:$B$504,MATCH(C92,Customers!$A$5:$A$504,0))),"")</f>
        <v/>
      </c>
      <c r="E92" s="10" t="s">
        <v>24</v>
      </c>
      <c r="F92" s="12"/>
      <c r="G92" s="12"/>
      <c r="H92" s="10"/>
      <c r="I92" s="10"/>
      <c r="J92" s="9" t="n">
        <f aca="false">IFERROR(SUMIFS(SalesOrderLines!$I$5:$I$504,SalesOrderLines!$B$5:$B$504,A92),"")</f>
        <v>0</v>
      </c>
      <c r="K92" s="9" t="n">
        <f aca="false">IFERROR(SUMIFS(SalesOrderLines!$J$5:$J$504,SalesOrderLines!$B$5:$B$504,A92),"")</f>
        <v>0</v>
      </c>
      <c r="L92" s="9" t="n">
        <f aca="false">IFERROR(J92+K92,"")</f>
        <v>0</v>
      </c>
      <c r="M92" s="9" t="n">
        <f aca="false">IFERROR(SUMIFS(Payments!$E$5:$E$504,Payments!$D$5:$D$504,A92,Payments!$C$5:$C$504,"In"),"")</f>
        <v>0</v>
      </c>
      <c r="N92" s="9" t="n">
        <f aca="false">IFERROR(L92-M92,"")</f>
        <v>0</v>
      </c>
    </row>
    <row r="93" customFormat="false" ht="15" hidden="false" customHeight="false" outlineLevel="0" collapsed="false">
      <c r="A93" s="10"/>
      <c r="B93" s="12"/>
      <c r="C93" s="10"/>
      <c r="D93" s="14" t="str">
        <f aca="false">IFERROR(IF(C93="","",INDEX(Customers!$B$5:$B$504,MATCH(C93,Customers!$A$5:$A$504,0))),"")</f>
        <v/>
      </c>
      <c r="E93" s="10" t="s">
        <v>24</v>
      </c>
      <c r="F93" s="12"/>
      <c r="G93" s="12"/>
      <c r="H93" s="10"/>
      <c r="I93" s="10"/>
      <c r="J93" s="9" t="n">
        <f aca="false">IFERROR(SUMIFS(SalesOrderLines!$I$5:$I$504,SalesOrderLines!$B$5:$B$504,A93),"")</f>
        <v>0</v>
      </c>
      <c r="K93" s="9" t="n">
        <f aca="false">IFERROR(SUMIFS(SalesOrderLines!$J$5:$J$504,SalesOrderLines!$B$5:$B$504,A93),"")</f>
        <v>0</v>
      </c>
      <c r="L93" s="9" t="n">
        <f aca="false">IFERROR(J93+K93,"")</f>
        <v>0</v>
      </c>
      <c r="M93" s="9" t="n">
        <f aca="false">IFERROR(SUMIFS(Payments!$E$5:$E$504,Payments!$D$5:$D$504,A93,Payments!$C$5:$C$504,"In"),"")</f>
        <v>0</v>
      </c>
      <c r="N93" s="9" t="n">
        <f aca="false">IFERROR(L93-M93,"")</f>
        <v>0</v>
      </c>
    </row>
    <row r="94" customFormat="false" ht="15" hidden="false" customHeight="false" outlineLevel="0" collapsed="false">
      <c r="A94" s="10"/>
      <c r="B94" s="12"/>
      <c r="C94" s="10"/>
      <c r="D94" s="14" t="str">
        <f aca="false">IFERROR(IF(C94="","",INDEX(Customers!$B$5:$B$504,MATCH(C94,Customers!$A$5:$A$504,0))),"")</f>
        <v/>
      </c>
      <c r="E94" s="10" t="s">
        <v>24</v>
      </c>
      <c r="F94" s="12"/>
      <c r="G94" s="12"/>
      <c r="H94" s="10"/>
      <c r="I94" s="10"/>
      <c r="J94" s="9" t="n">
        <f aca="false">IFERROR(SUMIFS(SalesOrderLines!$I$5:$I$504,SalesOrderLines!$B$5:$B$504,A94),"")</f>
        <v>0</v>
      </c>
      <c r="K94" s="9" t="n">
        <f aca="false">IFERROR(SUMIFS(SalesOrderLines!$J$5:$J$504,SalesOrderLines!$B$5:$B$504,A94),"")</f>
        <v>0</v>
      </c>
      <c r="L94" s="9" t="n">
        <f aca="false">IFERROR(J94+K94,"")</f>
        <v>0</v>
      </c>
      <c r="M94" s="9" t="n">
        <f aca="false">IFERROR(SUMIFS(Payments!$E$5:$E$504,Payments!$D$5:$D$504,A94,Payments!$C$5:$C$504,"In"),"")</f>
        <v>0</v>
      </c>
      <c r="N94" s="9" t="n">
        <f aca="false">IFERROR(L94-M94,"")</f>
        <v>0</v>
      </c>
    </row>
    <row r="95" customFormat="false" ht="15" hidden="false" customHeight="false" outlineLevel="0" collapsed="false">
      <c r="A95" s="10"/>
      <c r="B95" s="12"/>
      <c r="C95" s="10"/>
      <c r="D95" s="14" t="str">
        <f aca="false">IFERROR(IF(C95="","",INDEX(Customers!$B$5:$B$504,MATCH(C95,Customers!$A$5:$A$504,0))),"")</f>
        <v/>
      </c>
      <c r="E95" s="10" t="s">
        <v>24</v>
      </c>
      <c r="F95" s="12"/>
      <c r="G95" s="12"/>
      <c r="H95" s="10"/>
      <c r="I95" s="10"/>
      <c r="J95" s="9" t="n">
        <f aca="false">IFERROR(SUMIFS(SalesOrderLines!$I$5:$I$504,SalesOrderLines!$B$5:$B$504,A95),"")</f>
        <v>0</v>
      </c>
      <c r="K95" s="9" t="n">
        <f aca="false">IFERROR(SUMIFS(SalesOrderLines!$J$5:$J$504,SalesOrderLines!$B$5:$B$504,A95),"")</f>
        <v>0</v>
      </c>
      <c r="L95" s="9" t="n">
        <f aca="false">IFERROR(J95+K95,"")</f>
        <v>0</v>
      </c>
      <c r="M95" s="9" t="n">
        <f aca="false">IFERROR(SUMIFS(Payments!$E$5:$E$504,Payments!$D$5:$D$504,A95,Payments!$C$5:$C$504,"In"),"")</f>
        <v>0</v>
      </c>
      <c r="N95" s="9" t="n">
        <f aca="false">IFERROR(L95-M95,"")</f>
        <v>0</v>
      </c>
    </row>
    <row r="96" customFormat="false" ht="15" hidden="false" customHeight="false" outlineLevel="0" collapsed="false">
      <c r="A96" s="10"/>
      <c r="B96" s="12"/>
      <c r="C96" s="10"/>
      <c r="D96" s="14" t="str">
        <f aca="false">IFERROR(IF(C96="","",INDEX(Customers!$B$5:$B$504,MATCH(C96,Customers!$A$5:$A$504,0))),"")</f>
        <v/>
      </c>
      <c r="E96" s="10" t="s">
        <v>24</v>
      </c>
      <c r="F96" s="12"/>
      <c r="G96" s="12"/>
      <c r="H96" s="10"/>
      <c r="I96" s="10"/>
      <c r="J96" s="9" t="n">
        <f aca="false">IFERROR(SUMIFS(SalesOrderLines!$I$5:$I$504,SalesOrderLines!$B$5:$B$504,A96),"")</f>
        <v>0</v>
      </c>
      <c r="K96" s="9" t="n">
        <f aca="false">IFERROR(SUMIFS(SalesOrderLines!$J$5:$J$504,SalesOrderLines!$B$5:$B$504,A96),"")</f>
        <v>0</v>
      </c>
      <c r="L96" s="9" t="n">
        <f aca="false">IFERROR(J96+K96,"")</f>
        <v>0</v>
      </c>
      <c r="M96" s="9" t="n">
        <f aca="false">IFERROR(SUMIFS(Payments!$E$5:$E$504,Payments!$D$5:$D$504,A96,Payments!$C$5:$C$504,"In"),"")</f>
        <v>0</v>
      </c>
      <c r="N96" s="9" t="n">
        <f aca="false">IFERROR(L96-M96,"")</f>
        <v>0</v>
      </c>
    </row>
    <row r="97" customFormat="false" ht="15" hidden="false" customHeight="false" outlineLevel="0" collapsed="false">
      <c r="A97" s="10"/>
      <c r="B97" s="12"/>
      <c r="C97" s="10"/>
      <c r="D97" s="14" t="str">
        <f aca="false">IFERROR(IF(C97="","",INDEX(Customers!$B$5:$B$504,MATCH(C97,Customers!$A$5:$A$504,0))),"")</f>
        <v/>
      </c>
      <c r="E97" s="10" t="s">
        <v>24</v>
      </c>
      <c r="F97" s="12"/>
      <c r="G97" s="12"/>
      <c r="H97" s="10"/>
      <c r="I97" s="10"/>
      <c r="J97" s="9" t="n">
        <f aca="false">IFERROR(SUMIFS(SalesOrderLines!$I$5:$I$504,SalesOrderLines!$B$5:$B$504,A97),"")</f>
        <v>0</v>
      </c>
      <c r="K97" s="9" t="n">
        <f aca="false">IFERROR(SUMIFS(SalesOrderLines!$J$5:$J$504,SalesOrderLines!$B$5:$B$504,A97),"")</f>
        <v>0</v>
      </c>
      <c r="L97" s="9" t="n">
        <f aca="false">IFERROR(J97+K97,"")</f>
        <v>0</v>
      </c>
      <c r="M97" s="9" t="n">
        <f aca="false">IFERROR(SUMIFS(Payments!$E$5:$E$504,Payments!$D$5:$D$504,A97,Payments!$C$5:$C$504,"In"),"")</f>
        <v>0</v>
      </c>
      <c r="N97" s="9" t="n">
        <f aca="false">IFERROR(L97-M97,"")</f>
        <v>0</v>
      </c>
    </row>
    <row r="98" customFormat="false" ht="15" hidden="false" customHeight="false" outlineLevel="0" collapsed="false">
      <c r="A98" s="10"/>
      <c r="B98" s="12"/>
      <c r="C98" s="10"/>
      <c r="D98" s="14" t="str">
        <f aca="false">IFERROR(IF(C98="","",INDEX(Customers!$B$5:$B$504,MATCH(C98,Customers!$A$5:$A$504,0))),"")</f>
        <v/>
      </c>
      <c r="E98" s="10" t="s">
        <v>24</v>
      </c>
      <c r="F98" s="12"/>
      <c r="G98" s="12"/>
      <c r="H98" s="10"/>
      <c r="I98" s="10"/>
      <c r="J98" s="9" t="n">
        <f aca="false">IFERROR(SUMIFS(SalesOrderLines!$I$5:$I$504,SalesOrderLines!$B$5:$B$504,A98),"")</f>
        <v>0</v>
      </c>
      <c r="K98" s="9" t="n">
        <f aca="false">IFERROR(SUMIFS(SalesOrderLines!$J$5:$J$504,SalesOrderLines!$B$5:$B$504,A98),"")</f>
        <v>0</v>
      </c>
      <c r="L98" s="9" t="n">
        <f aca="false">IFERROR(J98+K98,"")</f>
        <v>0</v>
      </c>
      <c r="M98" s="9" t="n">
        <f aca="false">IFERROR(SUMIFS(Payments!$E$5:$E$504,Payments!$D$5:$D$504,A98,Payments!$C$5:$C$504,"In"),"")</f>
        <v>0</v>
      </c>
      <c r="N98" s="9" t="n">
        <f aca="false">IFERROR(L98-M98,"")</f>
        <v>0</v>
      </c>
    </row>
    <row r="99" customFormat="false" ht="15" hidden="false" customHeight="false" outlineLevel="0" collapsed="false">
      <c r="A99" s="10"/>
      <c r="B99" s="12"/>
      <c r="C99" s="10"/>
      <c r="D99" s="14" t="str">
        <f aca="false">IFERROR(IF(C99="","",INDEX(Customers!$B$5:$B$504,MATCH(C99,Customers!$A$5:$A$504,0))),"")</f>
        <v/>
      </c>
      <c r="E99" s="10" t="s">
        <v>24</v>
      </c>
      <c r="F99" s="12"/>
      <c r="G99" s="12"/>
      <c r="H99" s="10"/>
      <c r="I99" s="10"/>
      <c r="J99" s="9" t="n">
        <f aca="false">IFERROR(SUMIFS(SalesOrderLines!$I$5:$I$504,SalesOrderLines!$B$5:$B$504,A99),"")</f>
        <v>0</v>
      </c>
      <c r="K99" s="9" t="n">
        <f aca="false">IFERROR(SUMIFS(SalesOrderLines!$J$5:$J$504,SalesOrderLines!$B$5:$B$504,A99),"")</f>
        <v>0</v>
      </c>
      <c r="L99" s="9" t="n">
        <f aca="false">IFERROR(J99+K99,"")</f>
        <v>0</v>
      </c>
      <c r="M99" s="9" t="n">
        <f aca="false">IFERROR(SUMIFS(Payments!$E$5:$E$504,Payments!$D$5:$D$504,A99,Payments!$C$5:$C$504,"In"),"")</f>
        <v>0</v>
      </c>
      <c r="N99" s="9" t="n">
        <f aca="false">IFERROR(L99-M99,"")</f>
        <v>0</v>
      </c>
    </row>
    <row r="100" customFormat="false" ht="15" hidden="false" customHeight="false" outlineLevel="0" collapsed="false">
      <c r="A100" s="10"/>
      <c r="B100" s="12"/>
      <c r="C100" s="10"/>
      <c r="D100" s="14" t="str">
        <f aca="false">IFERROR(IF(C100="","",INDEX(Customers!$B$5:$B$504,MATCH(C100,Customers!$A$5:$A$504,0))),"")</f>
        <v/>
      </c>
      <c r="E100" s="10" t="s">
        <v>24</v>
      </c>
      <c r="F100" s="12"/>
      <c r="G100" s="12"/>
      <c r="H100" s="10"/>
      <c r="I100" s="10"/>
      <c r="J100" s="9" t="n">
        <f aca="false">IFERROR(SUMIFS(SalesOrderLines!$I$5:$I$504,SalesOrderLines!$B$5:$B$504,A100),"")</f>
        <v>0</v>
      </c>
      <c r="K100" s="9" t="n">
        <f aca="false">IFERROR(SUMIFS(SalesOrderLines!$J$5:$J$504,SalesOrderLines!$B$5:$B$504,A100),"")</f>
        <v>0</v>
      </c>
      <c r="L100" s="9" t="n">
        <f aca="false">IFERROR(J100+K100,"")</f>
        <v>0</v>
      </c>
      <c r="M100" s="9" t="n">
        <f aca="false">IFERROR(SUMIFS(Payments!$E$5:$E$504,Payments!$D$5:$D$504,A100,Payments!$C$5:$C$504,"In"),"")</f>
        <v>0</v>
      </c>
      <c r="N100" s="9" t="n">
        <f aca="false">IFERROR(L100-M100,"")</f>
        <v>0</v>
      </c>
    </row>
    <row r="101" customFormat="false" ht="15" hidden="false" customHeight="false" outlineLevel="0" collapsed="false">
      <c r="A101" s="10"/>
      <c r="B101" s="12"/>
      <c r="C101" s="10"/>
      <c r="D101" s="14" t="str">
        <f aca="false">IFERROR(IF(C101="","",INDEX(Customers!$B$5:$B$504,MATCH(C101,Customers!$A$5:$A$504,0))),"")</f>
        <v/>
      </c>
      <c r="E101" s="10" t="s">
        <v>24</v>
      </c>
      <c r="F101" s="12"/>
      <c r="G101" s="12"/>
      <c r="H101" s="10"/>
      <c r="I101" s="10"/>
      <c r="J101" s="9" t="n">
        <f aca="false">IFERROR(SUMIFS(SalesOrderLines!$I$5:$I$504,SalesOrderLines!$B$5:$B$504,A101),"")</f>
        <v>0</v>
      </c>
      <c r="K101" s="9" t="n">
        <f aca="false">IFERROR(SUMIFS(SalesOrderLines!$J$5:$J$504,SalesOrderLines!$B$5:$B$504,A101),"")</f>
        <v>0</v>
      </c>
      <c r="L101" s="9" t="n">
        <f aca="false">IFERROR(J101+K101,"")</f>
        <v>0</v>
      </c>
      <c r="M101" s="9" t="n">
        <f aca="false">IFERROR(SUMIFS(Payments!$E$5:$E$504,Payments!$D$5:$D$504,A101,Payments!$C$5:$C$504,"In"),"")</f>
        <v>0</v>
      </c>
      <c r="N101" s="9" t="n">
        <f aca="false">IFERROR(L101-M101,"")</f>
        <v>0</v>
      </c>
    </row>
    <row r="102" customFormat="false" ht="15" hidden="false" customHeight="false" outlineLevel="0" collapsed="false">
      <c r="A102" s="10"/>
      <c r="B102" s="12"/>
      <c r="C102" s="10"/>
      <c r="D102" s="14" t="str">
        <f aca="false">IFERROR(IF(C102="","",INDEX(Customers!$B$5:$B$504,MATCH(C102,Customers!$A$5:$A$504,0))),"")</f>
        <v/>
      </c>
      <c r="E102" s="10" t="s">
        <v>24</v>
      </c>
      <c r="F102" s="12"/>
      <c r="G102" s="12"/>
      <c r="H102" s="10"/>
      <c r="I102" s="10"/>
      <c r="J102" s="9" t="n">
        <f aca="false">IFERROR(SUMIFS(SalesOrderLines!$I$5:$I$504,SalesOrderLines!$B$5:$B$504,A102),"")</f>
        <v>0</v>
      </c>
      <c r="K102" s="9" t="n">
        <f aca="false">IFERROR(SUMIFS(SalesOrderLines!$J$5:$J$504,SalesOrderLines!$B$5:$B$504,A102),"")</f>
        <v>0</v>
      </c>
      <c r="L102" s="9" t="n">
        <f aca="false">IFERROR(J102+K102,"")</f>
        <v>0</v>
      </c>
      <c r="M102" s="9" t="n">
        <f aca="false">IFERROR(SUMIFS(Payments!$E$5:$E$504,Payments!$D$5:$D$504,A102,Payments!$C$5:$C$504,"In"),"")</f>
        <v>0</v>
      </c>
      <c r="N102" s="9" t="n">
        <f aca="false">IFERROR(L102-M102,"")</f>
        <v>0</v>
      </c>
    </row>
    <row r="103" customFormat="false" ht="15" hidden="false" customHeight="false" outlineLevel="0" collapsed="false">
      <c r="A103" s="10"/>
      <c r="B103" s="12"/>
      <c r="C103" s="10"/>
      <c r="D103" s="14" t="str">
        <f aca="false">IFERROR(IF(C103="","",INDEX(Customers!$B$5:$B$504,MATCH(C103,Customers!$A$5:$A$504,0))),"")</f>
        <v/>
      </c>
      <c r="E103" s="10" t="s">
        <v>24</v>
      </c>
      <c r="F103" s="12"/>
      <c r="G103" s="12"/>
      <c r="H103" s="10"/>
      <c r="I103" s="10"/>
      <c r="J103" s="9" t="n">
        <f aca="false">IFERROR(SUMIFS(SalesOrderLines!$I$5:$I$504,SalesOrderLines!$B$5:$B$504,A103),"")</f>
        <v>0</v>
      </c>
      <c r="K103" s="9" t="n">
        <f aca="false">IFERROR(SUMIFS(SalesOrderLines!$J$5:$J$504,SalesOrderLines!$B$5:$B$504,A103),"")</f>
        <v>0</v>
      </c>
      <c r="L103" s="9" t="n">
        <f aca="false">IFERROR(J103+K103,"")</f>
        <v>0</v>
      </c>
      <c r="M103" s="9" t="n">
        <f aca="false">IFERROR(SUMIFS(Payments!$E$5:$E$504,Payments!$D$5:$D$504,A103,Payments!$C$5:$C$504,"In"),"")</f>
        <v>0</v>
      </c>
      <c r="N103" s="9" t="n">
        <f aca="false">IFERROR(L103-M103,"")</f>
        <v>0</v>
      </c>
    </row>
    <row r="104" customFormat="false" ht="15" hidden="false" customHeight="false" outlineLevel="0" collapsed="false">
      <c r="A104" s="10"/>
      <c r="B104" s="12"/>
      <c r="C104" s="10"/>
      <c r="D104" s="14" t="str">
        <f aca="false">IFERROR(IF(C104="","",INDEX(Customers!$B$5:$B$504,MATCH(C104,Customers!$A$5:$A$504,0))),"")</f>
        <v/>
      </c>
      <c r="E104" s="10" t="s">
        <v>24</v>
      </c>
      <c r="F104" s="12"/>
      <c r="G104" s="12"/>
      <c r="H104" s="10"/>
      <c r="I104" s="10"/>
      <c r="J104" s="9" t="n">
        <f aca="false">IFERROR(SUMIFS(SalesOrderLines!$I$5:$I$504,SalesOrderLines!$B$5:$B$504,A104),"")</f>
        <v>0</v>
      </c>
      <c r="K104" s="9" t="n">
        <f aca="false">IFERROR(SUMIFS(SalesOrderLines!$J$5:$J$504,SalesOrderLines!$B$5:$B$504,A104),"")</f>
        <v>0</v>
      </c>
      <c r="L104" s="9" t="n">
        <f aca="false">IFERROR(J104+K104,"")</f>
        <v>0</v>
      </c>
      <c r="M104" s="9" t="n">
        <f aca="false">IFERROR(SUMIFS(Payments!$E$5:$E$504,Payments!$D$5:$D$504,A104,Payments!$C$5:$C$504,"In"),"")</f>
        <v>0</v>
      </c>
      <c r="N104" s="9" t="n">
        <f aca="false">IFERROR(L104-M104,"")</f>
        <v>0</v>
      </c>
    </row>
    <row r="105" customFormat="false" ht="15" hidden="false" customHeight="false" outlineLevel="0" collapsed="false">
      <c r="A105" s="10"/>
      <c r="B105" s="12"/>
      <c r="C105" s="10"/>
      <c r="D105" s="14" t="str">
        <f aca="false">IFERROR(IF(C105="","",INDEX(Customers!$B$5:$B$504,MATCH(C105,Customers!$A$5:$A$504,0))),"")</f>
        <v/>
      </c>
      <c r="E105" s="10" t="s">
        <v>24</v>
      </c>
      <c r="F105" s="12"/>
      <c r="G105" s="12"/>
      <c r="H105" s="10"/>
      <c r="I105" s="10"/>
      <c r="J105" s="9" t="n">
        <f aca="false">IFERROR(SUMIFS(SalesOrderLines!$I$5:$I$504,SalesOrderLines!$B$5:$B$504,A105),"")</f>
        <v>0</v>
      </c>
      <c r="K105" s="9" t="n">
        <f aca="false">IFERROR(SUMIFS(SalesOrderLines!$J$5:$J$504,SalesOrderLines!$B$5:$B$504,A105),"")</f>
        <v>0</v>
      </c>
      <c r="L105" s="9" t="n">
        <f aca="false">IFERROR(J105+K105,"")</f>
        <v>0</v>
      </c>
      <c r="M105" s="9" t="n">
        <f aca="false">IFERROR(SUMIFS(Payments!$E$5:$E$504,Payments!$D$5:$D$504,A105,Payments!$C$5:$C$504,"In"),"")</f>
        <v>0</v>
      </c>
      <c r="N105" s="9" t="n">
        <f aca="false">IFERROR(L105-M105,"")</f>
        <v>0</v>
      </c>
    </row>
    <row r="106" customFormat="false" ht="15" hidden="false" customHeight="false" outlineLevel="0" collapsed="false">
      <c r="A106" s="10"/>
      <c r="B106" s="12"/>
      <c r="C106" s="10"/>
      <c r="D106" s="14" t="str">
        <f aca="false">IFERROR(IF(C106="","",INDEX(Customers!$B$5:$B$504,MATCH(C106,Customers!$A$5:$A$504,0))),"")</f>
        <v/>
      </c>
      <c r="E106" s="10" t="s">
        <v>24</v>
      </c>
      <c r="F106" s="12"/>
      <c r="G106" s="12"/>
      <c r="H106" s="10"/>
      <c r="I106" s="10"/>
      <c r="J106" s="9" t="n">
        <f aca="false">IFERROR(SUMIFS(SalesOrderLines!$I$5:$I$504,SalesOrderLines!$B$5:$B$504,A106),"")</f>
        <v>0</v>
      </c>
      <c r="K106" s="9" t="n">
        <f aca="false">IFERROR(SUMIFS(SalesOrderLines!$J$5:$J$504,SalesOrderLines!$B$5:$B$504,A106),"")</f>
        <v>0</v>
      </c>
      <c r="L106" s="9" t="n">
        <f aca="false">IFERROR(J106+K106,"")</f>
        <v>0</v>
      </c>
      <c r="M106" s="9" t="n">
        <f aca="false">IFERROR(SUMIFS(Payments!$E$5:$E$504,Payments!$D$5:$D$504,A106,Payments!$C$5:$C$504,"In"),"")</f>
        <v>0</v>
      </c>
      <c r="N106" s="9" t="n">
        <f aca="false">IFERROR(L106-M106,"")</f>
        <v>0</v>
      </c>
    </row>
    <row r="107" customFormat="false" ht="15" hidden="false" customHeight="false" outlineLevel="0" collapsed="false">
      <c r="A107" s="10"/>
      <c r="B107" s="12"/>
      <c r="C107" s="10"/>
      <c r="D107" s="14" t="str">
        <f aca="false">IFERROR(IF(C107="","",INDEX(Customers!$B$5:$B$504,MATCH(C107,Customers!$A$5:$A$504,0))),"")</f>
        <v/>
      </c>
      <c r="E107" s="10" t="s">
        <v>24</v>
      </c>
      <c r="F107" s="12"/>
      <c r="G107" s="12"/>
      <c r="H107" s="10"/>
      <c r="I107" s="10"/>
      <c r="J107" s="9" t="n">
        <f aca="false">IFERROR(SUMIFS(SalesOrderLines!$I$5:$I$504,SalesOrderLines!$B$5:$B$504,A107),"")</f>
        <v>0</v>
      </c>
      <c r="K107" s="9" t="n">
        <f aca="false">IFERROR(SUMIFS(SalesOrderLines!$J$5:$J$504,SalesOrderLines!$B$5:$B$504,A107),"")</f>
        <v>0</v>
      </c>
      <c r="L107" s="9" t="n">
        <f aca="false">IFERROR(J107+K107,"")</f>
        <v>0</v>
      </c>
      <c r="M107" s="9" t="n">
        <f aca="false">IFERROR(SUMIFS(Payments!$E$5:$E$504,Payments!$D$5:$D$504,A107,Payments!$C$5:$C$504,"In"),"")</f>
        <v>0</v>
      </c>
      <c r="N107" s="9" t="n">
        <f aca="false">IFERROR(L107-M107,"")</f>
        <v>0</v>
      </c>
    </row>
    <row r="108" customFormat="false" ht="15" hidden="false" customHeight="false" outlineLevel="0" collapsed="false">
      <c r="A108" s="10"/>
      <c r="B108" s="12"/>
      <c r="C108" s="10"/>
      <c r="D108" s="14" t="str">
        <f aca="false">IFERROR(IF(C108="","",INDEX(Customers!$B$5:$B$504,MATCH(C108,Customers!$A$5:$A$504,0))),"")</f>
        <v/>
      </c>
      <c r="E108" s="10" t="s">
        <v>24</v>
      </c>
      <c r="F108" s="12"/>
      <c r="G108" s="12"/>
      <c r="H108" s="10"/>
      <c r="I108" s="10"/>
      <c r="J108" s="9" t="n">
        <f aca="false">IFERROR(SUMIFS(SalesOrderLines!$I$5:$I$504,SalesOrderLines!$B$5:$B$504,A108),"")</f>
        <v>0</v>
      </c>
      <c r="K108" s="9" t="n">
        <f aca="false">IFERROR(SUMIFS(SalesOrderLines!$J$5:$J$504,SalesOrderLines!$B$5:$B$504,A108),"")</f>
        <v>0</v>
      </c>
      <c r="L108" s="9" t="n">
        <f aca="false">IFERROR(J108+K108,"")</f>
        <v>0</v>
      </c>
      <c r="M108" s="9" t="n">
        <f aca="false">IFERROR(SUMIFS(Payments!$E$5:$E$504,Payments!$D$5:$D$504,A108,Payments!$C$5:$C$504,"In"),"")</f>
        <v>0</v>
      </c>
      <c r="N108" s="9" t="n">
        <f aca="false">IFERROR(L108-M108,"")</f>
        <v>0</v>
      </c>
    </row>
    <row r="109" customFormat="false" ht="15" hidden="false" customHeight="false" outlineLevel="0" collapsed="false">
      <c r="A109" s="10"/>
      <c r="B109" s="12"/>
      <c r="C109" s="10"/>
      <c r="D109" s="14" t="str">
        <f aca="false">IFERROR(IF(C109="","",INDEX(Customers!$B$5:$B$504,MATCH(C109,Customers!$A$5:$A$504,0))),"")</f>
        <v/>
      </c>
      <c r="E109" s="10" t="s">
        <v>24</v>
      </c>
      <c r="F109" s="12"/>
      <c r="G109" s="12"/>
      <c r="H109" s="10"/>
      <c r="I109" s="10"/>
      <c r="J109" s="9" t="n">
        <f aca="false">IFERROR(SUMIFS(SalesOrderLines!$I$5:$I$504,SalesOrderLines!$B$5:$B$504,A109),"")</f>
        <v>0</v>
      </c>
      <c r="K109" s="9" t="n">
        <f aca="false">IFERROR(SUMIFS(SalesOrderLines!$J$5:$J$504,SalesOrderLines!$B$5:$B$504,A109),"")</f>
        <v>0</v>
      </c>
      <c r="L109" s="9" t="n">
        <f aca="false">IFERROR(J109+K109,"")</f>
        <v>0</v>
      </c>
      <c r="M109" s="9" t="n">
        <f aca="false">IFERROR(SUMIFS(Payments!$E$5:$E$504,Payments!$D$5:$D$504,A109,Payments!$C$5:$C$504,"In"),"")</f>
        <v>0</v>
      </c>
      <c r="N109" s="9" t="n">
        <f aca="false">IFERROR(L109-M109,"")</f>
        <v>0</v>
      </c>
    </row>
    <row r="110" customFormat="false" ht="15" hidden="false" customHeight="false" outlineLevel="0" collapsed="false">
      <c r="A110" s="10"/>
      <c r="B110" s="12"/>
      <c r="C110" s="10"/>
      <c r="D110" s="14" t="str">
        <f aca="false">IFERROR(IF(C110="","",INDEX(Customers!$B$5:$B$504,MATCH(C110,Customers!$A$5:$A$504,0))),"")</f>
        <v/>
      </c>
      <c r="E110" s="10" t="s">
        <v>24</v>
      </c>
      <c r="F110" s="12"/>
      <c r="G110" s="12"/>
      <c r="H110" s="10"/>
      <c r="I110" s="10"/>
      <c r="J110" s="9" t="n">
        <f aca="false">IFERROR(SUMIFS(SalesOrderLines!$I$5:$I$504,SalesOrderLines!$B$5:$B$504,A110),"")</f>
        <v>0</v>
      </c>
      <c r="K110" s="9" t="n">
        <f aca="false">IFERROR(SUMIFS(SalesOrderLines!$J$5:$J$504,SalesOrderLines!$B$5:$B$504,A110),"")</f>
        <v>0</v>
      </c>
      <c r="L110" s="9" t="n">
        <f aca="false">IFERROR(J110+K110,"")</f>
        <v>0</v>
      </c>
      <c r="M110" s="9" t="n">
        <f aca="false">IFERROR(SUMIFS(Payments!$E$5:$E$504,Payments!$D$5:$D$504,A110,Payments!$C$5:$C$504,"In"),"")</f>
        <v>0</v>
      </c>
      <c r="N110" s="9" t="n">
        <f aca="false">IFERROR(L110-M110,"")</f>
        <v>0</v>
      </c>
    </row>
    <row r="111" customFormat="false" ht="15" hidden="false" customHeight="false" outlineLevel="0" collapsed="false">
      <c r="A111" s="10"/>
      <c r="B111" s="12"/>
      <c r="C111" s="10"/>
      <c r="D111" s="14" t="str">
        <f aca="false">IFERROR(IF(C111="","",INDEX(Customers!$B$5:$B$504,MATCH(C111,Customers!$A$5:$A$504,0))),"")</f>
        <v/>
      </c>
      <c r="E111" s="10" t="s">
        <v>24</v>
      </c>
      <c r="F111" s="12"/>
      <c r="G111" s="12"/>
      <c r="H111" s="10"/>
      <c r="I111" s="10"/>
      <c r="J111" s="9" t="n">
        <f aca="false">IFERROR(SUMIFS(SalesOrderLines!$I$5:$I$504,SalesOrderLines!$B$5:$B$504,A111),"")</f>
        <v>0</v>
      </c>
      <c r="K111" s="9" t="n">
        <f aca="false">IFERROR(SUMIFS(SalesOrderLines!$J$5:$J$504,SalesOrderLines!$B$5:$B$504,A111),"")</f>
        <v>0</v>
      </c>
      <c r="L111" s="9" t="n">
        <f aca="false">IFERROR(J111+K111,"")</f>
        <v>0</v>
      </c>
      <c r="M111" s="9" t="n">
        <f aca="false">IFERROR(SUMIFS(Payments!$E$5:$E$504,Payments!$D$5:$D$504,A111,Payments!$C$5:$C$504,"In"),"")</f>
        <v>0</v>
      </c>
      <c r="N111" s="9" t="n">
        <f aca="false">IFERROR(L111-M111,"")</f>
        <v>0</v>
      </c>
    </row>
    <row r="112" customFormat="false" ht="15" hidden="false" customHeight="false" outlineLevel="0" collapsed="false">
      <c r="A112" s="10"/>
      <c r="B112" s="12"/>
      <c r="C112" s="10"/>
      <c r="D112" s="14" t="str">
        <f aca="false">IFERROR(IF(C112="","",INDEX(Customers!$B$5:$B$504,MATCH(C112,Customers!$A$5:$A$504,0))),"")</f>
        <v/>
      </c>
      <c r="E112" s="10" t="s">
        <v>24</v>
      </c>
      <c r="F112" s="12"/>
      <c r="G112" s="12"/>
      <c r="H112" s="10"/>
      <c r="I112" s="10"/>
      <c r="J112" s="9" t="n">
        <f aca="false">IFERROR(SUMIFS(SalesOrderLines!$I$5:$I$504,SalesOrderLines!$B$5:$B$504,A112),"")</f>
        <v>0</v>
      </c>
      <c r="K112" s="9" t="n">
        <f aca="false">IFERROR(SUMIFS(SalesOrderLines!$J$5:$J$504,SalesOrderLines!$B$5:$B$504,A112),"")</f>
        <v>0</v>
      </c>
      <c r="L112" s="9" t="n">
        <f aca="false">IFERROR(J112+K112,"")</f>
        <v>0</v>
      </c>
      <c r="M112" s="9" t="n">
        <f aca="false">IFERROR(SUMIFS(Payments!$E$5:$E$504,Payments!$D$5:$D$504,A112,Payments!$C$5:$C$504,"In"),"")</f>
        <v>0</v>
      </c>
      <c r="N112" s="9" t="n">
        <f aca="false">IFERROR(L112-M112,"")</f>
        <v>0</v>
      </c>
    </row>
    <row r="113" customFormat="false" ht="15" hidden="false" customHeight="false" outlineLevel="0" collapsed="false">
      <c r="A113" s="10"/>
      <c r="B113" s="12"/>
      <c r="C113" s="10"/>
      <c r="D113" s="14" t="str">
        <f aca="false">IFERROR(IF(C113="","",INDEX(Customers!$B$5:$B$504,MATCH(C113,Customers!$A$5:$A$504,0))),"")</f>
        <v/>
      </c>
      <c r="E113" s="10" t="s">
        <v>24</v>
      </c>
      <c r="F113" s="12"/>
      <c r="G113" s="12"/>
      <c r="H113" s="10"/>
      <c r="I113" s="10"/>
      <c r="J113" s="9" t="n">
        <f aca="false">IFERROR(SUMIFS(SalesOrderLines!$I$5:$I$504,SalesOrderLines!$B$5:$B$504,A113),"")</f>
        <v>0</v>
      </c>
      <c r="K113" s="9" t="n">
        <f aca="false">IFERROR(SUMIFS(SalesOrderLines!$J$5:$J$504,SalesOrderLines!$B$5:$B$504,A113),"")</f>
        <v>0</v>
      </c>
      <c r="L113" s="9" t="n">
        <f aca="false">IFERROR(J113+K113,"")</f>
        <v>0</v>
      </c>
      <c r="M113" s="9" t="n">
        <f aca="false">IFERROR(SUMIFS(Payments!$E$5:$E$504,Payments!$D$5:$D$504,A113,Payments!$C$5:$C$504,"In"),"")</f>
        <v>0</v>
      </c>
      <c r="N113" s="9" t="n">
        <f aca="false">IFERROR(L113-M113,"")</f>
        <v>0</v>
      </c>
    </row>
    <row r="114" customFormat="false" ht="15" hidden="false" customHeight="false" outlineLevel="0" collapsed="false">
      <c r="A114" s="10"/>
      <c r="B114" s="12"/>
      <c r="C114" s="10"/>
      <c r="D114" s="14" t="str">
        <f aca="false">IFERROR(IF(C114="","",INDEX(Customers!$B$5:$B$504,MATCH(C114,Customers!$A$5:$A$504,0))),"")</f>
        <v/>
      </c>
      <c r="E114" s="10" t="s">
        <v>24</v>
      </c>
      <c r="F114" s="12"/>
      <c r="G114" s="12"/>
      <c r="H114" s="10"/>
      <c r="I114" s="10"/>
      <c r="J114" s="9" t="n">
        <f aca="false">IFERROR(SUMIFS(SalesOrderLines!$I$5:$I$504,SalesOrderLines!$B$5:$B$504,A114),"")</f>
        <v>0</v>
      </c>
      <c r="K114" s="9" t="n">
        <f aca="false">IFERROR(SUMIFS(SalesOrderLines!$J$5:$J$504,SalesOrderLines!$B$5:$B$504,A114),"")</f>
        <v>0</v>
      </c>
      <c r="L114" s="9" t="n">
        <f aca="false">IFERROR(J114+K114,"")</f>
        <v>0</v>
      </c>
      <c r="M114" s="9" t="n">
        <f aca="false">IFERROR(SUMIFS(Payments!$E$5:$E$504,Payments!$D$5:$D$504,A114,Payments!$C$5:$C$504,"In"),"")</f>
        <v>0</v>
      </c>
      <c r="N114" s="9" t="n">
        <f aca="false">IFERROR(L114-M114,"")</f>
        <v>0</v>
      </c>
    </row>
    <row r="115" customFormat="false" ht="15" hidden="false" customHeight="false" outlineLevel="0" collapsed="false">
      <c r="A115" s="10"/>
      <c r="B115" s="12"/>
      <c r="C115" s="10"/>
      <c r="D115" s="14" t="str">
        <f aca="false">IFERROR(IF(C115="","",INDEX(Customers!$B$5:$B$504,MATCH(C115,Customers!$A$5:$A$504,0))),"")</f>
        <v/>
      </c>
      <c r="E115" s="10" t="s">
        <v>24</v>
      </c>
      <c r="F115" s="12"/>
      <c r="G115" s="12"/>
      <c r="H115" s="10"/>
      <c r="I115" s="10"/>
      <c r="J115" s="9" t="n">
        <f aca="false">IFERROR(SUMIFS(SalesOrderLines!$I$5:$I$504,SalesOrderLines!$B$5:$B$504,A115),"")</f>
        <v>0</v>
      </c>
      <c r="K115" s="9" t="n">
        <f aca="false">IFERROR(SUMIFS(SalesOrderLines!$J$5:$J$504,SalesOrderLines!$B$5:$B$504,A115),"")</f>
        <v>0</v>
      </c>
      <c r="L115" s="9" t="n">
        <f aca="false">IFERROR(J115+K115,"")</f>
        <v>0</v>
      </c>
      <c r="M115" s="9" t="n">
        <f aca="false">IFERROR(SUMIFS(Payments!$E$5:$E$504,Payments!$D$5:$D$504,A115,Payments!$C$5:$C$504,"In"),"")</f>
        <v>0</v>
      </c>
      <c r="N115" s="9" t="n">
        <f aca="false">IFERROR(L115-M115,"")</f>
        <v>0</v>
      </c>
    </row>
    <row r="116" customFormat="false" ht="15" hidden="false" customHeight="false" outlineLevel="0" collapsed="false">
      <c r="A116" s="10"/>
      <c r="B116" s="12"/>
      <c r="C116" s="10"/>
      <c r="D116" s="14" t="str">
        <f aca="false">IFERROR(IF(C116="","",INDEX(Customers!$B$5:$B$504,MATCH(C116,Customers!$A$5:$A$504,0))),"")</f>
        <v/>
      </c>
      <c r="E116" s="10" t="s">
        <v>24</v>
      </c>
      <c r="F116" s="12"/>
      <c r="G116" s="12"/>
      <c r="H116" s="10"/>
      <c r="I116" s="10"/>
      <c r="J116" s="9" t="n">
        <f aca="false">IFERROR(SUMIFS(SalesOrderLines!$I$5:$I$504,SalesOrderLines!$B$5:$B$504,A116),"")</f>
        <v>0</v>
      </c>
      <c r="K116" s="9" t="n">
        <f aca="false">IFERROR(SUMIFS(SalesOrderLines!$J$5:$J$504,SalesOrderLines!$B$5:$B$504,A116),"")</f>
        <v>0</v>
      </c>
      <c r="L116" s="9" t="n">
        <f aca="false">IFERROR(J116+K116,"")</f>
        <v>0</v>
      </c>
      <c r="M116" s="9" t="n">
        <f aca="false">IFERROR(SUMIFS(Payments!$E$5:$E$504,Payments!$D$5:$D$504,A116,Payments!$C$5:$C$504,"In"),"")</f>
        <v>0</v>
      </c>
      <c r="N116" s="9" t="n">
        <f aca="false">IFERROR(L116-M116,"")</f>
        <v>0</v>
      </c>
    </row>
    <row r="117" customFormat="false" ht="15" hidden="false" customHeight="false" outlineLevel="0" collapsed="false">
      <c r="A117" s="10"/>
      <c r="B117" s="12"/>
      <c r="C117" s="10"/>
      <c r="D117" s="14" t="str">
        <f aca="false">IFERROR(IF(C117="","",INDEX(Customers!$B$5:$B$504,MATCH(C117,Customers!$A$5:$A$504,0))),"")</f>
        <v/>
      </c>
      <c r="E117" s="10" t="s">
        <v>24</v>
      </c>
      <c r="F117" s="12"/>
      <c r="G117" s="12"/>
      <c r="H117" s="10"/>
      <c r="I117" s="10"/>
      <c r="J117" s="9" t="n">
        <f aca="false">IFERROR(SUMIFS(SalesOrderLines!$I$5:$I$504,SalesOrderLines!$B$5:$B$504,A117),"")</f>
        <v>0</v>
      </c>
      <c r="K117" s="9" t="n">
        <f aca="false">IFERROR(SUMIFS(SalesOrderLines!$J$5:$J$504,SalesOrderLines!$B$5:$B$504,A117),"")</f>
        <v>0</v>
      </c>
      <c r="L117" s="9" t="n">
        <f aca="false">IFERROR(J117+K117,"")</f>
        <v>0</v>
      </c>
      <c r="M117" s="9" t="n">
        <f aca="false">IFERROR(SUMIFS(Payments!$E$5:$E$504,Payments!$D$5:$D$504,A117,Payments!$C$5:$C$504,"In"),"")</f>
        <v>0</v>
      </c>
      <c r="N117" s="9" t="n">
        <f aca="false">IFERROR(L117-M117,"")</f>
        <v>0</v>
      </c>
    </row>
    <row r="118" customFormat="false" ht="15" hidden="false" customHeight="false" outlineLevel="0" collapsed="false">
      <c r="A118" s="10"/>
      <c r="B118" s="12"/>
      <c r="C118" s="10"/>
      <c r="D118" s="14" t="str">
        <f aca="false">IFERROR(IF(C118="","",INDEX(Customers!$B$5:$B$504,MATCH(C118,Customers!$A$5:$A$504,0))),"")</f>
        <v/>
      </c>
      <c r="E118" s="10" t="s">
        <v>24</v>
      </c>
      <c r="F118" s="12"/>
      <c r="G118" s="12"/>
      <c r="H118" s="10"/>
      <c r="I118" s="10"/>
      <c r="J118" s="9" t="n">
        <f aca="false">IFERROR(SUMIFS(SalesOrderLines!$I$5:$I$504,SalesOrderLines!$B$5:$B$504,A118),"")</f>
        <v>0</v>
      </c>
      <c r="K118" s="9" t="n">
        <f aca="false">IFERROR(SUMIFS(SalesOrderLines!$J$5:$J$504,SalesOrderLines!$B$5:$B$504,A118),"")</f>
        <v>0</v>
      </c>
      <c r="L118" s="9" t="n">
        <f aca="false">IFERROR(J118+K118,"")</f>
        <v>0</v>
      </c>
      <c r="M118" s="9" t="n">
        <f aca="false">IFERROR(SUMIFS(Payments!$E$5:$E$504,Payments!$D$5:$D$504,A118,Payments!$C$5:$C$504,"In"),"")</f>
        <v>0</v>
      </c>
      <c r="N118" s="9" t="n">
        <f aca="false">IFERROR(L118-M118,"")</f>
        <v>0</v>
      </c>
    </row>
    <row r="119" customFormat="false" ht="15" hidden="false" customHeight="false" outlineLevel="0" collapsed="false">
      <c r="A119" s="10"/>
      <c r="B119" s="12"/>
      <c r="C119" s="10"/>
      <c r="D119" s="14" t="str">
        <f aca="false">IFERROR(IF(C119="","",INDEX(Customers!$B$5:$B$504,MATCH(C119,Customers!$A$5:$A$504,0))),"")</f>
        <v/>
      </c>
      <c r="E119" s="10" t="s">
        <v>24</v>
      </c>
      <c r="F119" s="12"/>
      <c r="G119" s="12"/>
      <c r="H119" s="10"/>
      <c r="I119" s="10"/>
      <c r="J119" s="9" t="n">
        <f aca="false">IFERROR(SUMIFS(SalesOrderLines!$I$5:$I$504,SalesOrderLines!$B$5:$B$504,A119),"")</f>
        <v>0</v>
      </c>
      <c r="K119" s="9" t="n">
        <f aca="false">IFERROR(SUMIFS(SalesOrderLines!$J$5:$J$504,SalesOrderLines!$B$5:$B$504,A119),"")</f>
        <v>0</v>
      </c>
      <c r="L119" s="9" t="n">
        <f aca="false">IFERROR(J119+K119,"")</f>
        <v>0</v>
      </c>
      <c r="M119" s="9" t="n">
        <f aca="false">IFERROR(SUMIFS(Payments!$E$5:$E$504,Payments!$D$5:$D$504,A119,Payments!$C$5:$C$504,"In"),"")</f>
        <v>0</v>
      </c>
      <c r="N119" s="9" t="n">
        <f aca="false">IFERROR(L119-M119,"")</f>
        <v>0</v>
      </c>
    </row>
    <row r="120" customFormat="false" ht="15" hidden="false" customHeight="false" outlineLevel="0" collapsed="false">
      <c r="A120" s="10"/>
      <c r="B120" s="12"/>
      <c r="C120" s="10"/>
      <c r="D120" s="14" t="str">
        <f aca="false">IFERROR(IF(C120="","",INDEX(Customers!$B$5:$B$504,MATCH(C120,Customers!$A$5:$A$504,0))),"")</f>
        <v/>
      </c>
      <c r="E120" s="10" t="s">
        <v>24</v>
      </c>
      <c r="F120" s="12"/>
      <c r="G120" s="12"/>
      <c r="H120" s="10"/>
      <c r="I120" s="10"/>
      <c r="J120" s="9" t="n">
        <f aca="false">IFERROR(SUMIFS(SalesOrderLines!$I$5:$I$504,SalesOrderLines!$B$5:$B$504,A120),"")</f>
        <v>0</v>
      </c>
      <c r="K120" s="9" t="n">
        <f aca="false">IFERROR(SUMIFS(SalesOrderLines!$J$5:$J$504,SalesOrderLines!$B$5:$B$504,A120),"")</f>
        <v>0</v>
      </c>
      <c r="L120" s="9" t="n">
        <f aca="false">IFERROR(J120+K120,"")</f>
        <v>0</v>
      </c>
      <c r="M120" s="9" t="n">
        <f aca="false">IFERROR(SUMIFS(Payments!$E$5:$E$504,Payments!$D$5:$D$504,A120,Payments!$C$5:$C$504,"In"),"")</f>
        <v>0</v>
      </c>
      <c r="N120" s="9" t="n">
        <f aca="false">IFERROR(L120-M120,"")</f>
        <v>0</v>
      </c>
    </row>
    <row r="121" customFormat="false" ht="15" hidden="false" customHeight="false" outlineLevel="0" collapsed="false">
      <c r="A121" s="10"/>
      <c r="B121" s="12"/>
      <c r="C121" s="10"/>
      <c r="D121" s="14" t="str">
        <f aca="false">IFERROR(IF(C121="","",INDEX(Customers!$B$5:$B$504,MATCH(C121,Customers!$A$5:$A$504,0))),"")</f>
        <v/>
      </c>
      <c r="E121" s="10" t="s">
        <v>24</v>
      </c>
      <c r="F121" s="12"/>
      <c r="G121" s="12"/>
      <c r="H121" s="10"/>
      <c r="I121" s="10"/>
      <c r="J121" s="9" t="n">
        <f aca="false">IFERROR(SUMIFS(SalesOrderLines!$I$5:$I$504,SalesOrderLines!$B$5:$B$504,A121),"")</f>
        <v>0</v>
      </c>
      <c r="K121" s="9" t="n">
        <f aca="false">IFERROR(SUMIFS(SalesOrderLines!$J$5:$J$504,SalesOrderLines!$B$5:$B$504,A121),"")</f>
        <v>0</v>
      </c>
      <c r="L121" s="9" t="n">
        <f aca="false">IFERROR(J121+K121,"")</f>
        <v>0</v>
      </c>
      <c r="M121" s="9" t="n">
        <f aca="false">IFERROR(SUMIFS(Payments!$E$5:$E$504,Payments!$D$5:$D$504,A121,Payments!$C$5:$C$504,"In"),"")</f>
        <v>0</v>
      </c>
      <c r="N121" s="9" t="n">
        <f aca="false">IFERROR(L121-M121,"")</f>
        <v>0</v>
      </c>
    </row>
    <row r="122" customFormat="false" ht="15" hidden="false" customHeight="false" outlineLevel="0" collapsed="false">
      <c r="A122" s="10"/>
      <c r="B122" s="12"/>
      <c r="C122" s="10"/>
      <c r="D122" s="14" t="str">
        <f aca="false">IFERROR(IF(C122="","",INDEX(Customers!$B$5:$B$504,MATCH(C122,Customers!$A$5:$A$504,0))),"")</f>
        <v/>
      </c>
      <c r="E122" s="10" t="s">
        <v>24</v>
      </c>
      <c r="F122" s="12"/>
      <c r="G122" s="12"/>
      <c r="H122" s="10"/>
      <c r="I122" s="10"/>
      <c r="J122" s="9" t="n">
        <f aca="false">IFERROR(SUMIFS(SalesOrderLines!$I$5:$I$504,SalesOrderLines!$B$5:$B$504,A122),"")</f>
        <v>0</v>
      </c>
      <c r="K122" s="9" t="n">
        <f aca="false">IFERROR(SUMIFS(SalesOrderLines!$J$5:$J$504,SalesOrderLines!$B$5:$B$504,A122),"")</f>
        <v>0</v>
      </c>
      <c r="L122" s="9" t="n">
        <f aca="false">IFERROR(J122+K122,"")</f>
        <v>0</v>
      </c>
      <c r="M122" s="9" t="n">
        <f aca="false">IFERROR(SUMIFS(Payments!$E$5:$E$504,Payments!$D$5:$D$504,A122,Payments!$C$5:$C$504,"In"),"")</f>
        <v>0</v>
      </c>
      <c r="N122" s="9" t="n">
        <f aca="false">IFERROR(L122-M122,"")</f>
        <v>0</v>
      </c>
    </row>
    <row r="123" customFormat="false" ht="15" hidden="false" customHeight="false" outlineLevel="0" collapsed="false">
      <c r="A123" s="10"/>
      <c r="B123" s="12"/>
      <c r="C123" s="10"/>
      <c r="D123" s="14" t="str">
        <f aca="false">IFERROR(IF(C123="","",INDEX(Customers!$B$5:$B$504,MATCH(C123,Customers!$A$5:$A$504,0))),"")</f>
        <v/>
      </c>
      <c r="E123" s="10" t="s">
        <v>24</v>
      </c>
      <c r="F123" s="12"/>
      <c r="G123" s="12"/>
      <c r="H123" s="10"/>
      <c r="I123" s="10"/>
      <c r="J123" s="9" t="n">
        <f aca="false">IFERROR(SUMIFS(SalesOrderLines!$I$5:$I$504,SalesOrderLines!$B$5:$B$504,A123),"")</f>
        <v>0</v>
      </c>
      <c r="K123" s="9" t="n">
        <f aca="false">IFERROR(SUMIFS(SalesOrderLines!$J$5:$J$504,SalesOrderLines!$B$5:$B$504,A123),"")</f>
        <v>0</v>
      </c>
      <c r="L123" s="9" t="n">
        <f aca="false">IFERROR(J123+K123,"")</f>
        <v>0</v>
      </c>
      <c r="M123" s="9" t="n">
        <f aca="false">IFERROR(SUMIFS(Payments!$E$5:$E$504,Payments!$D$5:$D$504,A123,Payments!$C$5:$C$504,"In"),"")</f>
        <v>0</v>
      </c>
      <c r="N123" s="9" t="n">
        <f aca="false">IFERROR(L123-M123,"")</f>
        <v>0</v>
      </c>
    </row>
    <row r="124" customFormat="false" ht="15" hidden="false" customHeight="false" outlineLevel="0" collapsed="false">
      <c r="A124" s="10"/>
      <c r="B124" s="12"/>
      <c r="C124" s="10"/>
      <c r="D124" s="14" t="str">
        <f aca="false">IFERROR(IF(C124="","",INDEX(Customers!$B$5:$B$504,MATCH(C124,Customers!$A$5:$A$504,0))),"")</f>
        <v/>
      </c>
      <c r="E124" s="10" t="s">
        <v>24</v>
      </c>
      <c r="F124" s="12"/>
      <c r="G124" s="12"/>
      <c r="H124" s="10"/>
      <c r="I124" s="10"/>
      <c r="J124" s="9" t="n">
        <f aca="false">IFERROR(SUMIFS(SalesOrderLines!$I$5:$I$504,SalesOrderLines!$B$5:$B$504,A124),"")</f>
        <v>0</v>
      </c>
      <c r="K124" s="9" t="n">
        <f aca="false">IFERROR(SUMIFS(SalesOrderLines!$J$5:$J$504,SalesOrderLines!$B$5:$B$504,A124),"")</f>
        <v>0</v>
      </c>
      <c r="L124" s="9" t="n">
        <f aca="false">IFERROR(J124+K124,"")</f>
        <v>0</v>
      </c>
      <c r="M124" s="9" t="n">
        <f aca="false">IFERROR(SUMIFS(Payments!$E$5:$E$504,Payments!$D$5:$D$504,A124,Payments!$C$5:$C$504,"In"),"")</f>
        <v>0</v>
      </c>
      <c r="N124" s="9" t="n">
        <f aca="false">IFERROR(L124-M124,"")</f>
        <v>0</v>
      </c>
    </row>
    <row r="125" customFormat="false" ht="15" hidden="false" customHeight="false" outlineLevel="0" collapsed="false">
      <c r="A125" s="10"/>
      <c r="B125" s="12"/>
      <c r="C125" s="10"/>
      <c r="D125" s="14" t="str">
        <f aca="false">IFERROR(IF(C125="","",INDEX(Customers!$B$5:$B$504,MATCH(C125,Customers!$A$5:$A$504,0))),"")</f>
        <v/>
      </c>
      <c r="E125" s="10" t="s">
        <v>24</v>
      </c>
      <c r="F125" s="12"/>
      <c r="G125" s="12"/>
      <c r="H125" s="10"/>
      <c r="I125" s="10"/>
      <c r="J125" s="9" t="n">
        <f aca="false">IFERROR(SUMIFS(SalesOrderLines!$I$5:$I$504,SalesOrderLines!$B$5:$B$504,A125),"")</f>
        <v>0</v>
      </c>
      <c r="K125" s="9" t="n">
        <f aca="false">IFERROR(SUMIFS(SalesOrderLines!$J$5:$J$504,SalesOrderLines!$B$5:$B$504,A125),"")</f>
        <v>0</v>
      </c>
      <c r="L125" s="9" t="n">
        <f aca="false">IFERROR(J125+K125,"")</f>
        <v>0</v>
      </c>
      <c r="M125" s="9" t="n">
        <f aca="false">IFERROR(SUMIFS(Payments!$E$5:$E$504,Payments!$D$5:$D$504,A125,Payments!$C$5:$C$504,"In"),"")</f>
        <v>0</v>
      </c>
      <c r="N125" s="9" t="n">
        <f aca="false">IFERROR(L125-M125,"")</f>
        <v>0</v>
      </c>
    </row>
    <row r="126" customFormat="false" ht="15" hidden="false" customHeight="false" outlineLevel="0" collapsed="false">
      <c r="A126" s="10"/>
      <c r="B126" s="12"/>
      <c r="C126" s="10"/>
      <c r="D126" s="14" t="str">
        <f aca="false">IFERROR(IF(C126="","",INDEX(Customers!$B$5:$B$504,MATCH(C126,Customers!$A$5:$A$504,0))),"")</f>
        <v/>
      </c>
      <c r="E126" s="10" t="s">
        <v>24</v>
      </c>
      <c r="F126" s="12"/>
      <c r="G126" s="12"/>
      <c r="H126" s="10"/>
      <c r="I126" s="10"/>
      <c r="J126" s="9" t="n">
        <f aca="false">IFERROR(SUMIFS(SalesOrderLines!$I$5:$I$504,SalesOrderLines!$B$5:$B$504,A126),"")</f>
        <v>0</v>
      </c>
      <c r="K126" s="9" t="n">
        <f aca="false">IFERROR(SUMIFS(SalesOrderLines!$J$5:$J$504,SalesOrderLines!$B$5:$B$504,A126),"")</f>
        <v>0</v>
      </c>
      <c r="L126" s="9" t="n">
        <f aca="false">IFERROR(J126+K126,"")</f>
        <v>0</v>
      </c>
      <c r="M126" s="9" t="n">
        <f aca="false">IFERROR(SUMIFS(Payments!$E$5:$E$504,Payments!$D$5:$D$504,A126,Payments!$C$5:$C$504,"In"),"")</f>
        <v>0</v>
      </c>
      <c r="N126" s="9" t="n">
        <f aca="false">IFERROR(L126-M126,"")</f>
        <v>0</v>
      </c>
    </row>
    <row r="127" customFormat="false" ht="15" hidden="false" customHeight="false" outlineLevel="0" collapsed="false">
      <c r="A127" s="10"/>
      <c r="B127" s="12"/>
      <c r="C127" s="10"/>
      <c r="D127" s="14" t="str">
        <f aca="false">IFERROR(IF(C127="","",INDEX(Customers!$B$5:$B$504,MATCH(C127,Customers!$A$5:$A$504,0))),"")</f>
        <v/>
      </c>
      <c r="E127" s="10" t="s">
        <v>24</v>
      </c>
      <c r="F127" s="12"/>
      <c r="G127" s="12"/>
      <c r="H127" s="10"/>
      <c r="I127" s="10"/>
      <c r="J127" s="9" t="n">
        <f aca="false">IFERROR(SUMIFS(SalesOrderLines!$I$5:$I$504,SalesOrderLines!$B$5:$B$504,A127),"")</f>
        <v>0</v>
      </c>
      <c r="K127" s="9" t="n">
        <f aca="false">IFERROR(SUMIFS(SalesOrderLines!$J$5:$J$504,SalesOrderLines!$B$5:$B$504,A127),"")</f>
        <v>0</v>
      </c>
      <c r="L127" s="9" t="n">
        <f aca="false">IFERROR(J127+K127,"")</f>
        <v>0</v>
      </c>
      <c r="M127" s="9" t="n">
        <f aca="false">IFERROR(SUMIFS(Payments!$E$5:$E$504,Payments!$D$5:$D$504,A127,Payments!$C$5:$C$504,"In"),"")</f>
        <v>0</v>
      </c>
      <c r="N127" s="9" t="n">
        <f aca="false">IFERROR(L127-M127,"")</f>
        <v>0</v>
      </c>
    </row>
    <row r="128" customFormat="false" ht="15" hidden="false" customHeight="false" outlineLevel="0" collapsed="false">
      <c r="A128" s="10"/>
      <c r="B128" s="12"/>
      <c r="C128" s="10"/>
      <c r="D128" s="14" t="str">
        <f aca="false">IFERROR(IF(C128="","",INDEX(Customers!$B$5:$B$504,MATCH(C128,Customers!$A$5:$A$504,0))),"")</f>
        <v/>
      </c>
      <c r="E128" s="10" t="s">
        <v>24</v>
      </c>
      <c r="F128" s="12"/>
      <c r="G128" s="12"/>
      <c r="H128" s="10"/>
      <c r="I128" s="10"/>
      <c r="J128" s="9" t="n">
        <f aca="false">IFERROR(SUMIFS(SalesOrderLines!$I$5:$I$504,SalesOrderLines!$B$5:$B$504,A128),"")</f>
        <v>0</v>
      </c>
      <c r="K128" s="9" t="n">
        <f aca="false">IFERROR(SUMIFS(SalesOrderLines!$J$5:$J$504,SalesOrderLines!$B$5:$B$504,A128),"")</f>
        <v>0</v>
      </c>
      <c r="L128" s="9" t="n">
        <f aca="false">IFERROR(J128+K128,"")</f>
        <v>0</v>
      </c>
      <c r="M128" s="9" t="n">
        <f aca="false">IFERROR(SUMIFS(Payments!$E$5:$E$504,Payments!$D$5:$D$504,A128,Payments!$C$5:$C$504,"In"),"")</f>
        <v>0</v>
      </c>
      <c r="N128" s="9" t="n">
        <f aca="false">IFERROR(L128-M128,"")</f>
        <v>0</v>
      </c>
    </row>
    <row r="129" customFormat="false" ht="15" hidden="false" customHeight="false" outlineLevel="0" collapsed="false">
      <c r="A129" s="10"/>
      <c r="B129" s="12"/>
      <c r="C129" s="10"/>
      <c r="D129" s="14" t="str">
        <f aca="false">IFERROR(IF(C129="","",INDEX(Customers!$B$5:$B$504,MATCH(C129,Customers!$A$5:$A$504,0))),"")</f>
        <v/>
      </c>
      <c r="E129" s="10" t="s">
        <v>24</v>
      </c>
      <c r="F129" s="12"/>
      <c r="G129" s="12"/>
      <c r="H129" s="10"/>
      <c r="I129" s="10"/>
      <c r="J129" s="9" t="n">
        <f aca="false">IFERROR(SUMIFS(SalesOrderLines!$I$5:$I$504,SalesOrderLines!$B$5:$B$504,A129),"")</f>
        <v>0</v>
      </c>
      <c r="K129" s="9" t="n">
        <f aca="false">IFERROR(SUMIFS(SalesOrderLines!$J$5:$J$504,SalesOrderLines!$B$5:$B$504,A129),"")</f>
        <v>0</v>
      </c>
      <c r="L129" s="9" t="n">
        <f aca="false">IFERROR(J129+K129,"")</f>
        <v>0</v>
      </c>
      <c r="M129" s="9" t="n">
        <f aca="false">IFERROR(SUMIFS(Payments!$E$5:$E$504,Payments!$D$5:$D$504,A129,Payments!$C$5:$C$504,"In"),"")</f>
        <v>0</v>
      </c>
      <c r="N129" s="9" t="n">
        <f aca="false">IFERROR(L129-M129,"")</f>
        <v>0</v>
      </c>
    </row>
    <row r="130" customFormat="false" ht="15" hidden="false" customHeight="false" outlineLevel="0" collapsed="false">
      <c r="A130" s="10"/>
      <c r="B130" s="12"/>
      <c r="C130" s="10"/>
      <c r="D130" s="14" t="str">
        <f aca="false">IFERROR(IF(C130="","",INDEX(Customers!$B$5:$B$504,MATCH(C130,Customers!$A$5:$A$504,0))),"")</f>
        <v/>
      </c>
      <c r="E130" s="10" t="s">
        <v>24</v>
      </c>
      <c r="F130" s="12"/>
      <c r="G130" s="12"/>
      <c r="H130" s="10"/>
      <c r="I130" s="10"/>
      <c r="J130" s="9" t="n">
        <f aca="false">IFERROR(SUMIFS(SalesOrderLines!$I$5:$I$504,SalesOrderLines!$B$5:$B$504,A130),"")</f>
        <v>0</v>
      </c>
      <c r="K130" s="9" t="n">
        <f aca="false">IFERROR(SUMIFS(SalesOrderLines!$J$5:$J$504,SalesOrderLines!$B$5:$B$504,A130),"")</f>
        <v>0</v>
      </c>
      <c r="L130" s="9" t="n">
        <f aca="false">IFERROR(J130+K130,"")</f>
        <v>0</v>
      </c>
      <c r="M130" s="9" t="n">
        <f aca="false">IFERROR(SUMIFS(Payments!$E$5:$E$504,Payments!$D$5:$D$504,A130,Payments!$C$5:$C$504,"In"),"")</f>
        <v>0</v>
      </c>
      <c r="N130" s="9" t="n">
        <f aca="false">IFERROR(L130-M130,"")</f>
        <v>0</v>
      </c>
    </row>
    <row r="131" customFormat="false" ht="15" hidden="false" customHeight="false" outlineLevel="0" collapsed="false">
      <c r="A131" s="10"/>
      <c r="B131" s="12"/>
      <c r="C131" s="10"/>
      <c r="D131" s="14" t="str">
        <f aca="false">IFERROR(IF(C131="","",INDEX(Customers!$B$5:$B$504,MATCH(C131,Customers!$A$5:$A$504,0))),"")</f>
        <v/>
      </c>
      <c r="E131" s="10" t="s">
        <v>24</v>
      </c>
      <c r="F131" s="12"/>
      <c r="G131" s="12"/>
      <c r="H131" s="10"/>
      <c r="I131" s="10"/>
      <c r="J131" s="9" t="n">
        <f aca="false">IFERROR(SUMIFS(SalesOrderLines!$I$5:$I$504,SalesOrderLines!$B$5:$B$504,A131),"")</f>
        <v>0</v>
      </c>
      <c r="K131" s="9" t="n">
        <f aca="false">IFERROR(SUMIFS(SalesOrderLines!$J$5:$J$504,SalesOrderLines!$B$5:$B$504,A131),"")</f>
        <v>0</v>
      </c>
      <c r="L131" s="9" t="n">
        <f aca="false">IFERROR(J131+K131,"")</f>
        <v>0</v>
      </c>
      <c r="M131" s="9" t="n">
        <f aca="false">IFERROR(SUMIFS(Payments!$E$5:$E$504,Payments!$D$5:$D$504,A131,Payments!$C$5:$C$504,"In"),"")</f>
        <v>0</v>
      </c>
      <c r="N131" s="9" t="n">
        <f aca="false">IFERROR(L131-M131,"")</f>
        <v>0</v>
      </c>
    </row>
    <row r="132" customFormat="false" ht="15" hidden="false" customHeight="false" outlineLevel="0" collapsed="false">
      <c r="A132" s="10"/>
      <c r="B132" s="12"/>
      <c r="C132" s="10"/>
      <c r="D132" s="14" t="str">
        <f aca="false">IFERROR(IF(C132="","",INDEX(Customers!$B$5:$B$504,MATCH(C132,Customers!$A$5:$A$504,0))),"")</f>
        <v/>
      </c>
      <c r="E132" s="10" t="s">
        <v>24</v>
      </c>
      <c r="F132" s="12"/>
      <c r="G132" s="12"/>
      <c r="H132" s="10"/>
      <c r="I132" s="10"/>
      <c r="J132" s="9" t="n">
        <f aca="false">IFERROR(SUMIFS(SalesOrderLines!$I$5:$I$504,SalesOrderLines!$B$5:$B$504,A132),"")</f>
        <v>0</v>
      </c>
      <c r="K132" s="9" t="n">
        <f aca="false">IFERROR(SUMIFS(SalesOrderLines!$J$5:$J$504,SalesOrderLines!$B$5:$B$504,A132),"")</f>
        <v>0</v>
      </c>
      <c r="L132" s="9" t="n">
        <f aca="false">IFERROR(J132+K132,"")</f>
        <v>0</v>
      </c>
      <c r="M132" s="9" t="n">
        <f aca="false">IFERROR(SUMIFS(Payments!$E$5:$E$504,Payments!$D$5:$D$504,A132,Payments!$C$5:$C$504,"In"),"")</f>
        <v>0</v>
      </c>
      <c r="N132" s="9" t="n">
        <f aca="false">IFERROR(L132-M132,"")</f>
        <v>0</v>
      </c>
    </row>
    <row r="133" customFormat="false" ht="15" hidden="false" customHeight="false" outlineLevel="0" collapsed="false">
      <c r="A133" s="10"/>
      <c r="B133" s="12"/>
      <c r="C133" s="10"/>
      <c r="D133" s="14" t="str">
        <f aca="false">IFERROR(IF(C133="","",INDEX(Customers!$B$5:$B$504,MATCH(C133,Customers!$A$5:$A$504,0))),"")</f>
        <v/>
      </c>
      <c r="E133" s="10" t="s">
        <v>24</v>
      </c>
      <c r="F133" s="12"/>
      <c r="G133" s="12"/>
      <c r="H133" s="10"/>
      <c r="I133" s="10"/>
      <c r="J133" s="9" t="n">
        <f aca="false">IFERROR(SUMIFS(SalesOrderLines!$I$5:$I$504,SalesOrderLines!$B$5:$B$504,A133),"")</f>
        <v>0</v>
      </c>
      <c r="K133" s="9" t="n">
        <f aca="false">IFERROR(SUMIFS(SalesOrderLines!$J$5:$J$504,SalesOrderLines!$B$5:$B$504,A133),"")</f>
        <v>0</v>
      </c>
      <c r="L133" s="9" t="n">
        <f aca="false">IFERROR(J133+K133,"")</f>
        <v>0</v>
      </c>
      <c r="M133" s="9" t="n">
        <f aca="false">IFERROR(SUMIFS(Payments!$E$5:$E$504,Payments!$D$5:$D$504,A133,Payments!$C$5:$C$504,"In"),"")</f>
        <v>0</v>
      </c>
      <c r="N133" s="9" t="n">
        <f aca="false">IFERROR(L133-M133,"")</f>
        <v>0</v>
      </c>
    </row>
    <row r="134" customFormat="false" ht="15" hidden="false" customHeight="false" outlineLevel="0" collapsed="false">
      <c r="A134" s="10"/>
      <c r="B134" s="12"/>
      <c r="C134" s="10"/>
      <c r="D134" s="14" t="str">
        <f aca="false">IFERROR(IF(C134="","",INDEX(Customers!$B$5:$B$504,MATCH(C134,Customers!$A$5:$A$504,0))),"")</f>
        <v/>
      </c>
      <c r="E134" s="10" t="s">
        <v>24</v>
      </c>
      <c r="F134" s="12"/>
      <c r="G134" s="12"/>
      <c r="H134" s="10"/>
      <c r="I134" s="10"/>
      <c r="J134" s="9" t="n">
        <f aca="false">IFERROR(SUMIFS(SalesOrderLines!$I$5:$I$504,SalesOrderLines!$B$5:$B$504,A134),"")</f>
        <v>0</v>
      </c>
      <c r="K134" s="9" t="n">
        <f aca="false">IFERROR(SUMIFS(SalesOrderLines!$J$5:$J$504,SalesOrderLines!$B$5:$B$504,A134),"")</f>
        <v>0</v>
      </c>
      <c r="L134" s="9" t="n">
        <f aca="false">IFERROR(J134+K134,"")</f>
        <v>0</v>
      </c>
      <c r="M134" s="9" t="n">
        <f aca="false">IFERROR(SUMIFS(Payments!$E$5:$E$504,Payments!$D$5:$D$504,A134,Payments!$C$5:$C$504,"In"),"")</f>
        <v>0</v>
      </c>
      <c r="N134" s="9" t="n">
        <f aca="false">IFERROR(L134-M134,"")</f>
        <v>0</v>
      </c>
    </row>
    <row r="135" customFormat="false" ht="15" hidden="false" customHeight="false" outlineLevel="0" collapsed="false">
      <c r="A135" s="10"/>
      <c r="B135" s="12"/>
      <c r="C135" s="10"/>
      <c r="D135" s="14" t="str">
        <f aca="false">IFERROR(IF(C135="","",INDEX(Customers!$B$5:$B$504,MATCH(C135,Customers!$A$5:$A$504,0))),"")</f>
        <v/>
      </c>
      <c r="E135" s="10" t="s">
        <v>24</v>
      </c>
      <c r="F135" s="12"/>
      <c r="G135" s="12"/>
      <c r="H135" s="10"/>
      <c r="I135" s="10"/>
      <c r="J135" s="9" t="n">
        <f aca="false">IFERROR(SUMIFS(SalesOrderLines!$I$5:$I$504,SalesOrderLines!$B$5:$B$504,A135),"")</f>
        <v>0</v>
      </c>
      <c r="K135" s="9" t="n">
        <f aca="false">IFERROR(SUMIFS(SalesOrderLines!$J$5:$J$504,SalesOrderLines!$B$5:$B$504,A135),"")</f>
        <v>0</v>
      </c>
      <c r="L135" s="9" t="n">
        <f aca="false">IFERROR(J135+K135,"")</f>
        <v>0</v>
      </c>
      <c r="M135" s="9" t="n">
        <f aca="false">IFERROR(SUMIFS(Payments!$E$5:$E$504,Payments!$D$5:$D$504,A135,Payments!$C$5:$C$504,"In"),"")</f>
        <v>0</v>
      </c>
      <c r="N135" s="9" t="n">
        <f aca="false">IFERROR(L135-M135,"")</f>
        <v>0</v>
      </c>
    </row>
    <row r="136" customFormat="false" ht="15" hidden="false" customHeight="false" outlineLevel="0" collapsed="false">
      <c r="A136" s="10"/>
      <c r="B136" s="12"/>
      <c r="C136" s="10"/>
      <c r="D136" s="14" t="str">
        <f aca="false">IFERROR(IF(C136="","",INDEX(Customers!$B$5:$B$504,MATCH(C136,Customers!$A$5:$A$504,0))),"")</f>
        <v/>
      </c>
      <c r="E136" s="10" t="s">
        <v>24</v>
      </c>
      <c r="F136" s="12"/>
      <c r="G136" s="12"/>
      <c r="H136" s="10"/>
      <c r="I136" s="10"/>
      <c r="J136" s="9" t="n">
        <f aca="false">IFERROR(SUMIFS(SalesOrderLines!$I$5:$I$504,SalesOrderLines!$B$5:$B$504,A136),"")</f>
        <v>0</v>
      </c>
      <c r="K136" s="9" t="n">
        <f aca="false">IFERROR(SUMIFS(SalesOrderLines!$J$5:$J$504,SalesOrderLines!$B$5:$B$504,A136),"")</f>
        <v>0</v>
      </c>
      <c r="L136" s="9" t="n">
        <f aca="false">IFERROR(J136+K136,"")</f>
        <v>0</v>
      </c>
      <c r="M136" s="9" t="n">
        <f aca="false">IFERROR(SUMIFS(Payments!$E$5:$E$504,Payments!$D$5:$D$504,A136,Payments!$C$5:$C$504,"In"),"")</f>
        <v>0</v>
      </c>
      <c r="N136" s="9" t="n">
        <f aca="false">IFERROR(L136-M136,"")</f>
        <v>0</v>
      </c>
    </row>
    <row r="137" customFormat="false" ht="15" hidden="false" customHeight="false" outlineLevel="0" collapsed="false">
      <c r="A137" s="10"/>
      <c r="B137" s="12"/>
      <c r="C137" s="10"/>
      <c r="D137" s="14" t="str">
        <f aca="false">IFERROR(IF(C137="","",INDEX(Customers!$B$5:$B$504,MATCH(C137,Customers!$A$5:$A$504,0))),"")</f>
        <v/>
      </c>
      <c r="E137" s="10" t="s">
        <v>24</v>
      </c>
      <c r="F137" s="12"/>
      <c r="G137" s="12"/>
      <c r="H137" s="10"/>
      <c r="I137" s="10"/>
      <c r="J137" s="9" t="n">
        <f aca="false">IFERROR(SUMIFS(SalesOrderLines!$I$5:$I$504,SalesOrderLines!$B$5:$B$504,A137),"")</f>
        <v>0</v>
      </c>
      <c r="K137" s="9" t="n">
        <f aca="false">IFERROR(SUMIFS(SalesOrderLines!$J$5:$J$504,SalesOrderLines!$B$5:$B$504,A137),"")</f>
        <v>0</v>
      </c>
      <c r="L137" s="9" t="n">
        <f aca="false">IFERROR(J137+K137,"")</f>
        <v>0</v>
      </c>
      <c r="M137" s="9" t="n">
        <f aca="false">IFERROR(SUMIFS(Payments!$E$5:$E$504,Payments!$D$5:$D$504,A137,Payments!$C$5:$C$504,"In"),"")</f>
        <v>0</v>
      </c>
      <c r="N137" s="9" t="n">
        <f aca="false">IFERROR(L137-M137,"")</f>
        <v>0</v>
      </c>
    </row>
    <row r="138" customFormat="false" ht="15" hidden="false" customHeight="false" outlineLevel="0" collapsed="false">
      <c r="A138" s="10"/>
      <c r="B138" s="12"/>
      <c r="C138" s="10"/>
      <c r="D138" s="14" t="str">
        <f aca="false">IFERROR(IF(C138="","",INDEX(Customers!$B$5:$B$504,MATCH(C138,Customers!$A$5:$A$504,0))),"")</f>
        <v/>
      </c>
      <c r="E138" s="10" t="s">
        <v>24</v>
      </c>
      <c r="F138" s="12"/>
      <c r="G138" s="12"/>
      <c r="H138" s="10"/>
      <c r="I138" s="10"/>
      <c r="J138" s="9" t="n">
        <f aca="false">IFERROR(SUMIFS(SalesOrderLines!$I$5:$I$504,SalesOrderLines!$B$5:$B$504,A138),"")</f>
        <v>0</v>
      </c>
      <c r="K138" s="9" t="n">
        <f aca="false">IFERROR(SUMIFS(SalesOrderLines!$J$5:$J$504,SalesOrderLines!$B$5:$B$504,A138),"")</f>
        <v>0</v>
      </c>
      <c r="L138" s="9" t="n">
        <f aca="false">IFERROR(J138+K138,"")</f>
        <v>0</v>
      </c>
      <c r="M138" s="9" t="n">
        <f aca="false">IFERROR(SUMIFS(Payments!$E$5:$E$504,Payments!$D$5:$D$504,A138,Payments!$C$5:$C$504,"In"),"")</f>
        <v>0</v>
      </c>
      <c r="N138" s="9" t="n">
        <f aca="false">IFERROR(L138-M138,"")</f>
        <v>0</v>
      </c>
    </row>
    <row r="139" customFormat="false" ht="15" hidden="false" customHeight="false" outlineLevel="0" collapsed="false">
      <c r="A139" s="10"/>
      <c r="B139" s="12"/>
      <c r="C139" s="10"/>
      <c r="D139" s="14" t="str">
        <f aca="false">IFERROR(IF(C139="","",INDEX(Customers!$B$5:$B$504,MATCH(C139,Customers!$A$5:$A$504,0))),"")</f>
        <v/>
      </c>
      <c r="E139" s="10" t="s">
        <v>24</v>
      </c>
      <c r="F139" s="12"/>
      <c r="G139" s="12"/>
      <c r="H139" s="10"/>
      <c r="I139" s="10"/>
      <c r="J139" s="9" t="n">
        <f aca="false">IFERROR(SUMIFS(SalesOrderLines!$I$5:$I$504,SalesOrderLines!$B$5:$B$504,A139),"")</f>
        <v>0</v>
      </c>
      <c r="K139" s="9" t="n">
        <f aca="false">IFERROR(SUMIFS(SalesOrderLines!$J$5:$J$504,SalesOrderLines!$B$5:$B$504,A139),"")</f>
        <v>0</v>
      </c>
      <c r="L139" s="9" t="n">
        <f aca="false">IFERROR(J139+K139,"")</f>
        <v>0</v>
      </c>
      <c r="M139" s="9" t="n">
        <f aca="false">IFERROR(SUMIFS(Payments!$E$5:$E$504,Payments!$D$5:$D$504,A139,Payments!$C$5:$C$504,"In"),"")</f>
        <v>0</v>
      </c>
      <c r="N139" s="9" t="n">
        <f aca="false">IFERROR(L139-M139,"")</f>
        <v>0</v>
      </c>
    </row>
    <row r="140" customFormat="false" ht="15" hidden="false" customHeight="false" outlineLevel="0" collapsed="false">
      <c r="A140" s="10"/>
      <c r="B140" s="12"/>
      <c r="C140" s="10"/>
      <c r="D140" s="14" t="str">
        <f aca="false">IFERROR(IF(C140="","",INDEX(Customers!$B$5:$B$504,MATCH(C140,Customers!$A$5:$A$504,0))),"")</f>
        <v/>
      </c>
      <c r="E140" s="10" t="s">
        <v>24</v>
      </c>
      <c r="F140" s="12"/>
      <c r="G140" s="12"/>
      <c r="H140" s="10"/>
      <c r="I140" s="10"/>
      <c r="J140" s="9" t="n">
        <f aca="false">IFERROR(SUMIFS(SalesOrderLines!$I$5:$I$504,SalesOrderLines!$B$5:$B$504,A140),"")</f>
        <v>0</v>
      </c>
      <c r="K140" s="9" t="n">
        <f aca="false">IFERROR(SUMIFS(SalesOrderLines!$J$5:$J$504,SalesOrderLines!$B$5:$B$504,A140),"")</f>
        <v>0</v>
      </c>
      <c r="L140" s="9" t="n">
        <f aca="false">IFERROR(J140+K140,"")</f>
        <v>0</v>
      </c>
      <c r="M140" s="9" t="n">
        <f aca="false">IFERROR(SUMIFS(Payments!$E$5:$E$504,Payments!$D$5:$D$504,A140,Payments!$C$5:$C$504,"In"),"")</f>
        <v>0</v>
      </c>
      <c r="N140" s="9" t="n">
        <f aca="false">IFERROR(L140-M140,"")</f>
        <v>0</v>
      </c>
    </row>
    <row r="141" customFormat="false" ht="15" hidden="false" customHeight="false" outlineLevel="0" collapsed="false">
      <c r="A141" s="10"/>
      <c r="B141" s="12"/>
      <c r="C141" s="10"/>
      <c r="D141" s="14" t="str">
        <f aca="false">IFERROR(IF(C141="","",INDEX(Customers!$B$5:$B$504,MATCH(C141,Customers!$A$5:$A$504,0))),"")</f>
        <v/>
      </c>
      <c r="E141" s="10" t="s">
        <v>24</v>
      </c>
      <c r="F141" s="12"/>
      <c r="G141" s="12"/>
      <c r="H141" s="10"/>
      <c r="I141" s="10"/>
      <c r="J141" s="9" t="n">
        <f aca="false">IFERROR(SUMIFS(SalesOrderLines!$I$5:$I$504,SalesOrderLines!$B$5:$B$504,A141),"")</f>
        <v>0</v>
      </c>
      <c r="K141" s="9" t="n">
        <f aca="false">IFERROR(SUMIFS(SalesOrderLines!$J$5:$J$504,SalesOrderLines!$B$5:$B$504,A141),"")</f>
        <v>0</v>
      </c>
      <c r="L141" s="9" t="n">
        <f aca="false">IFERROR(J141+K141,"")</f>
        <v>0</v>
      </c>
      <c r="M141" s="9" t="n">
        <f aca="false">IFERROR(SUMIFS(Payments!$E$5:$E$504,Payments!$D$5:$D$504,A141,Payments!$C$5:$C$504,"In"),"")</f>
        <v>0</v>
      </c>
      <c r="N141" s="9" t="n">
        <f aca="false">IFERROR(L141-M141,"")</f>
        <v>0</v>
      </c>
    </row>
    <row r="142" customFormat="false" ht="15" hidden="false" customHeight="false" outlineLevel="0" collapsed="false">
      <c r="A142" s="10"/>
      <c r="B142" s="12"/>
      <c r="C142" s="10"/>
      <c r="D142" s="14" t="str">
        <f aca="false">IFERROR(IF(C142="","",INDEX(Customers!$B$5:$B$504,MATCH(C142,Customers!$A$5:$A$504,0))),"")</f>
        <v/>
      </c>
      <c r="E142" s="10" t="s">
        <v>24</v>
      </c>
      <c r="F142" s="12"/>
      <c r="G142" s="12"/>
      <c r="H142" s="10"/>
      <c r="I142" s="10"/>
      <c r="J142" s="9" t="n">
        <f aca="false">IFERROR(SUMIFS(SalesOrderLines!$I$5:$I$504,SalesOrderLines!$B$5:$B$504,A142),"")</f>
        <v>0</v>
      </c>
      <c r="K142" s="9" t="n">
        <f aca="false">IFERROR(SUMIFS(SalesOrderLines!$J$5:$J$504,SalesOrderLines!$B$5:$B$504,A142),"")</f>
        <v>0</v>
      </c>
      <c r="L142" s="9" t="n">
        <f aca="false">IFERROR(J142+K142,"")</f>
        <v>0</v>
      </c>
      <c r="M142" s="9" t="n">
        <f aca="false">IFERROR(SUMIFS(Payments!$E$5:$E$504,Payments!$D$5:$D$504,A142,Payments!$C$5:$C$504,"In"),"")</f>
        <v>0</v>
      </c>
      <c r="N142" s="9" t="n">
        <f aca="false">IFERROR(L142-M142,"")</f>
        <v>0</v>
      </c>
    </row>
    <row r="143" customFormat="false" ht="15" hidden="false" customHeight="false" outlineLevel="0" collapsed="false">
      <c r="A143" s="10"/>
      <c r="B143" s="12"/>
      <c r="C143" s="10"/>
      <c r="D143" s="14" t="str">
        <f aca="false">IFERROR(IF(C143="","",INDEX(Customers!$B$5:$B$504,MATCH(C143,Customers!$A$5:$A$504,0))),"")</f>
        <v/>
      </c>
      <c r="E143" s="10" t="s">
        <v>24</v>
      </c>
      <c r="F143" s="12"/>
      <c r="G143" s="12"/>
      <c r="H143" s="10"/>
      <c r="I143" s="10"/>
      <c r="J143" s="9" t="n">
        <f aca="false">IFERROR(SUMIFS(SalesOrderLines!$I$5:$I$504,SalesOrderLines!$B$5:$B$504,A143),"")</f>
        <v>0</v>
      </c>
      <c r="K143" s="9" t="n">
        <f aca="false">IFERROR(SUMIFS(SalesOrderLines!$J$5:$J$504,SalesOrderLines!$B$5:$B$504,A143),"")</f>
        <v>0</v>
      </c>
      <c r="L143" s="9" t="n">
        <f aca="false">IFERROR(J143+K143,"")</f>
        <v>0</v>
      </c>
      <c r="M143" s="9" t="n">
        <f aca="false">IFERROR(SUMIFS(Payments!$E$5:$E$504,Payments!$D$5:$D$504,A143,Payments!$C$5:$C$504,"In"),"")</f>
        <v>0</v>
      </c>
      <c r="N143" s="9" t="n">
        <f aca="false">IFERROR(L143-M143,"")</f>
        <v>0</v>
      </c>
    </row>
    <row r="144" customFormat="false" ht="15" hidden="false" customHeight="false" outlineLevel="0" collapsed="false">
      <c r="A144" s="10"/>
      <c r="B144" s="12"/>
      <c r="C144" s="10"/>
      <c r="D144" s="14" t="str">
        <f aca="false">IFERROR(IF(C144="","",INDEX(Customers!$B$5:$B$504,MATCH(C144,Customers!$A$5:$A$504,0))),"")</f>
        <v/>
      </c>
      <c r="E144" s="10" t="s">
        <v>24</v>
      </c>
      <c r="F144" s="12"/>
      <c r="G144" s="12"/>
      <c r="H144" s="10"/>
      <c r="I144" s="10"/>
      <c r="J144" s="9" t="n">
        <f aca="false">IFERROR(SUMIFS(SalesOrderLines!$I$5:$I$504,SalesOrderLines!$B$5:$B$504,A144),"")</f>
        <v>0</v>
      </c>
      <c r="K144" s="9" t="n">
        <f aca="false">IFERROR(SUMIFS(SalesOrderLines!$J$5:$J$504,SalesOrderLines!$B$5:$B$504,A144),"")</f>
        <v>0</v>
      </c>
      <c r="L144" s="9" t="n">
        <f aca="false">IFERROR(J144+K144,"")</f>
        <v>0</v>
      </c>
      <c r="M144" s="9" t="n">
        <f aca="false">IFERROR(SUMIFS(Payments!$E$5:$E$504,Payments!$D$5:$D$504,A144,Payments!$C$5:$C$504,"In"),"")</f>
        <v>0</v>
      </c>
      <c r="N144" s="9" t="n">
        <f aca="false">IFERROR(L144-M144,"")</f>
        <v>0</v>
      </c>
    </row>
    <row r="145" customFormat="false" ht="15" hidden="false" customHeight="false" outlineLevel="0" collapsed="false">
      <c r="A145" s="10"/>
      <c r="B145" s="12"/>
      <c r="C145" s="10"/>
      <c r="D145" s="14" t="str">
        <f aca="false">IFERROR(IF(C145="","",INDEX(Customers!$B$5:$B$504,MATCH(C145,Customers!$A$5:$A$504,0))),"")</f>
        <v/>
      </c>
      <c r="E145" s="10" t="s">
        <v>24</v>
      </c>
      <c r="F145" s="12"/>
      <c r="G145" s="12"/>
      <c r="H145" s="10"/>
      <c r="I145" s="10"/>
      <c r="J145" s="9" t="n">
        <f aca="false">IFERROR(SUMIFS(SalesOrderLines!$I$5:$I$504,SalesOrderLines!$B$5:$B$504,A145),"")</f>
        <v>0</v>
      </c>
      <c r="K145" s="9" t="n">
        <f aca="false">IFERROR(SUMIFS(SalesOrderLines!$J$5:$J$504,SalesOrderLines!$B$5:$B$504,A145),"")</f>
        <v>0</v>
      </c>
      <c r="L145" s="9" t="n">
        <f aca="false">IFERROR(J145+K145,"")</f>
        <v>0</v>
      </c>
      <c r="M145" s="9" t="n">
        <f aca="false">IFERROR(SUMIFS(Payments!$E$5:$E$504,Payments!$D$5:$D$504,A145,Payments!$C$5:$C$504,"In"),"")</f>
        <v>0</v>
      </c>
      <c r="N145" s="9" t="n">
        <f aca="false">IFERROR(L145-M145,"")</f>
        <v>0</v>
      </c>
    </row>
    <row r="146" customFormat="false" ht="15" hidden="false" customHeight="false" outlineLevel="0" collapsed="false">
      <c r="A146" s="10"/>
      <c r="B146" s="12"/>
      <c r="C146" s="10"/>
      <c r="D146" s="14" t="str">
        <f aca="false">IFERROR(IF(C146="","",INDEX(Customers!$B$5:$B$504,MATCH(C146,Customers!$A$5:$A$504,0))),"")</f>
        <v/>
      </c>
      <c r="E146" s="10" t="s">
        <v>24</v>
      </c>
      <c r="F146" s="12"/>
      <c r="G146" s="12"/>
      <c r="H146" s="10"/>
      <c r="I146" s="10"/>
      <c r="J146" s="9" t="n">
        <f aca="false">IFERROR(SUMIFS(SalesOrderLines!$I$5:$I$504,SalesOrderLines!$B$5:$B$504,A146),"")</f>
        <v>0</v>
      </c>
      <c r="K146" s="9" t="n">
        <f aca="false">IFERROR(SUMIFS(SalesOrderLines!$J$5:$J$504,SalesOrderLines!$B$5:$B$504,A146),"")</f>
        <v>0</v>
      </c>
      <c r="L146" s="9" t="n">
        <f aca="false">IFERROR(J146+K146,"")</f>
        <v>0</v>
      </c>
      <c r="M146" s="9" t="n">
        <f aca="false">IFERROR(SUMIFS(Payments!$E$5:$E$504,Payments!$D$5:$D$504,A146,Payments!$C$5:$C$504,"In"),"")</f>
        <v>0</v>
      </c>
      <c r="N146" s="9" t="n">
        <f aca="false">IFERROR(L146-M146,"")</f>
        <v>0</v>
      </c>
    </row>
    <row r="147" customFormat="false" ht="15" hidden="false" customHeight="false" outlineLevel="0" collapsed="false">
      <c r="A147" s="10"/>
      <c r="B147" s="12"/>
      <c r="C147" s="10"/>
      <c r="D147" s="14" t="str">
        <f aca="false">IFERROR(IF(C147="","",INDEX(Customers!$B$5:$B$504,MATCH(C147,Customers!$A$5:$A$504,0))),"")</f>
        <v/>
      </c>
      <c r="E147" s="10" t="s">
        <v>24</v>
      </c>
      <c r="F147" s="12"/>
      <c r="G147" s="12"/>
      <c r="H147" s="10"/>
      <c r="I147" s="10"/>
      <c r="J147" s="9" t="n">
        <f aca="false">IFERROR(SUMIFS(SalesOrderLines!$I$5:$I$504,SalesOrderLines!$B$5:$B$504,A147),"")</f>
        <v>0</v>
      </c>
      <c r="K147" s="9" t="n">
        <f aca="false">IFERROR(SUMIFS(SalesOrderLines!$J$5:$J$504,SalesOrderLines!$B$5:$B$504,A147),"")</f>
        <v>0</v>
      </c>
      <c r="L147" s="9" t="n">
        <f aca="false">IFERROR(J147+K147,"")</f>
        <v>0</v>
      </c>
      <c r="M147" s="9" t="n">
        <f aca="false">IFERROR(SUMIFS(Payments!$E$5:$E$504,Payments!$D$5:$D$504,A147,Payments!$C$5:$C$504,"In"),"")</f>
        <v>0</v>
      </c>
      <c r="N147" s="9" t="n">
        <f aca="false">IFERROR(L147-M147,"")</f>
        <v>0</v>
      </c>
    </row>
    <row r="148" customFormat="false" ht="15" hidden="false" customHeight="false" outlineLevel="0" collapsed="false">
      <c r="A148" s="10"/>
      <c r="B148" s="12"/>
      <c r="C148" s="10"/>
      <c r="D148" s="14" t="str">
        <f aca="false">IFERROR(IF(C148="","",INDEX(Customers!$B$5:$B$504,MATCH(C148,Customers!$A$5:$A$504,0))),"")</f>
        <v/>
      </c>
      <c r="E148" s="10" t="s">
        <v>24</v>
      </c>
      <c r="F148" s="12"/>
      <c r="G148" s="12"/>
      <c r="H148" s="10"/>
      <c r="I148" s="10"/>
      <c r="J148" s="9" t="n">
        <f aca="false">IFERROR(SUMIFS(SalesOrderLines!$I$5:$I$504,SalesOrderLines!$B$5:$B$504,A148),"")</f>
        <v>0</v>
      </c>
      <c r="K148" s="9" t="n">
        <f aca="false">IFERROR(SUMIFS(SalesOrderLines!$J$5:$J$504,SalesOrderLines!$B$5:$B$504,A148),"")</f>
        <v>0</v>
      </c>
      <c r="L148" s="9" t="n">
        <f aca="false">IFERROR(J148+K148,"")</f>
        <v>0</v>
      </c>
      <c r="M148" s="9" t="n">
        <f aca="false">IFERROR(SUMIFS(Payments!$E$5:$E$504,Payments!$D$5:$D$504,A148,Payments!$C$5:$C$504,"In"),"")</f>
        <v>0</v>
      </c>
      <c r="N148" s="9" t="n">
        <f aca="false">IFERROR(L148-M148,"")</f>
        <v>0</v>
      </c>
    </row>
    <row r="149" customFormat="false" ht="15" hidden="false" customHeight="false" outlineLevel="0" collapsed="false">
      <c r="A149" s="10"/>
      <c r="B149" s="12"/>
      <c r="C149" s="10"/>
      <c r="D149" s="14" t="str">
        <f aca="false">IFERROR(IF(C149="","",INDEX(Customers!$B$5:$B$504,MATCH(C149,Customers!$A$5:$A$504,0))),"")</f>
        <v/>
      </c>
      <c r="E149" s="10" t="s">
        <v>24</v>
      </c>
      <c r="F149" s="12"/>
      <c r="G149" s="12"/>
      <c r="H149" s="10"/>
      <c r="I149" s="10"/>
      <c r="J149" s="9" t="n">
        <f aca="false">IFERROR(SUMIFS(SalesOrderLines!$I$5:$I$504,SalesOrderLines!$B$5:$B$504,A149),"")</f>
        <v>0</v>
      </c>
      <c r="K149" s="9" t="n">
        <f aca="false">IFERROR(SUMIFS(SalesOrderLines!$J$5:$J$504,SalesOrderLines!$B$5:$B$504,A149),"")</f>
        <v>0</v>
      </c>
      <c r="L149" s="9" t="n">
        <f aca="false">IFERROR(J149+K149,"")</f>
        <v>0</v>
      </c>
      <c r="M149" s="9" t="n">
        <f aca="false">IFERROR(SUMIFS(Payments!$E$5:$E$504,Payments!$D$5:$D$504,A149,Payments!$C$5:$C$504,"In"),"")</f>
        <v>0</v>
      </c>
      <c r="N149" s="9" t="n">
        <f aca="false">IFERROR(L149-M149,"")</f>
        <v>0</v>
      </c>
    </row>
    <row r="150" customFormat="false" ht="15" hidden="false" customHeight="false" outlineLevel="0" collapsed="false">
      <c r="A150" s="10"/>
      <c r="B150" s="12"/>
      <c r="C150" s="10"/>
      <c r="D150" s="14" t="str">
        <f aca="false">IFERROR(IF(C150="","",INDEX(Customers!$B$5:$B$504,MATCH(C150,Customers!$A$5:$A$504,0))),"")</f>
        <v/>
      </c>
      <c r="E150" s="10" t="s">
        <v>24</v>
      </c>
      <c r="F150" s="12"/>
      <c r="G150" s="12"/>
      <c r="H150" s="10"/>
      <c r="I150" s="10"/>
      <c r="J150" s="9" t="n">
        <f aca="false">IFERROR(SUMIFS(SalesOrderLines!$I$5:$I$504,SalesOrderLines!$B$5:$B$504,A150),"")</f>
        <v>0</v>
      </c>
      <c r="K150" s="9" t="n">
        <f aca="false">IFERROR(SUMIFS(SalesOrderLines!$J$5:$J$504,SalesOrderLines!$B$5:$B$504,A150),"")</f>
        <v>0</v>
      </c>
      <c r="L150" s="9" t="n">
        <f aca="false">IFERROR(J150+K150,"")</f>
        <v>0</v>
      </c>
      <c r="M150" s="9" t="n">
        <f aca="false">IFERROR(SUMIFS(Payments!$E$5:$E$504,Payments!$D$5:$D$504,A150,Payments!$C$5:$C$504,"In"),"")</f>
        <v>0</v>
      </c>
      <c r="N150" s="9" t="n">
        <f aca="false">IFERROR(L150-M150,"")</f>
        <v>0</v>
      </c>
    </row>
    <row r="151" customFormat="false" ht="15" hidden="false" customHeight="false" outlineLevel="0" collapsed="false">
      <c r="A151" s="10"/>
      <c r="B151" s="12"/>
      <c r="C151" s="10"/>
      <c r="D151" s="14" t="str">
        <f aca="false">IFERROR(IF(C151="","",INDEX(Customers!$B$5:$B$504,MATCH(C151,Customers!$A$5:$A$504,0))),"")</f>
        <v/>
      </c>
      <c r="E151" s="10" t="s">
        <v>24</v>
      </c>
      <c r="F151" s="12"/>
      <c r="G151" s="12"/>
      <c r="H151" s="10"/>
      <c r="I151" s="10"/>
      <c r="J151" s="9" t="n">
        <f aca="false">IFERROR(SUMIFS(SalesOrderLines!$I$5:$I$504,SalesOrderLines!$B$5:$B$504,A151),"")</f>
        <v>0</v>
      </c>
      <c r="K151" s="9" t="n">
        <f aca="false">IFERROR(SUMIFS(SalesOrderLines!$J$5:$J$504,SalesOrderLines!$B$5:$B$504,A151),"")</f>
        <v>0</v>
      </c>
      <c r="L151" s="9" t="n">
        <f aca="false">IFERROR(J151+K151,"")</f>
        <v>0</v>
      </c>
      <c r="M151" s="9" t="n">
        <f aca="false">IFERROR(SUMIFS(Payments!$E$5:$E$504,Payments!$D$5:$D$504,A151,Payments!$C$5:$C$504,"In"),"")</f>
        <v>0</v>
      </c>
      <c r="N151" s="9" t="n">
        <f aca="false">IFERROR(L151-M151,"")</f>
        <v>0</v>
      </c>
    </row>
    <row r="152" customFormat="false" ht="15" hidden="false" customHeight="false" outlineLevel="0" collapsed="false">
      <c r="A152" s="10"/>
      <c r="B152" s="12"/>
      <c r="C152" s="10"/>
      <c r="D152" s="14" t="str">
        <f aca="false">IFERROR(IF(C152="","",INDEX(Customers!$B$5:$B$504,MATCH(C152,Customers!$A$5:$A$504,0))),"")</f>
        <v/>
      </c>
      <c r="E152" s="10" t="s">
        <v>24</v>
      </c>
      <c r="F152" s="12"/>
      <c r="G152" s="12"/>
      <c r="H152" s="10"/>
      <c r="I152" s="10"/>
      <c r="J152" s="9" t="n">
        <f aca="false">IFERROR(SUMIFS(SalesOrderLines!$I$5:$I$504,SalesOrderLines!$B$5:$B$504,A152),"")</f>
        <v>0</v>
      </c>
      <c r="K152" s="9" t="n">
        <f aca="false">IFERROR(SUMIFS(SalesOrderLines!$J$5:$J$504,SalesOrderLines!$B$5:$B$504,A152),"")</f>
        <v>0</v>
      </c>
      <c r="L152" s="9" t="n">
        <f aca="false">IFERROR(J152+K152,"")</f>
        <v>0</v>
      </c>
      <c r="M152" s="9" t="n">
        <f aca="false">IFERROR(SUMIFS(Payments!$E$5:$E$504,Payments!$D$5:$D$504,A152,Payments!$C$5:$C$504,"In"),"")</f>
        <v>0</v>
      </c>
      <c r="N152" s="9" t="n">
        <f aca="false">IFERROR(L152-M152,"")</f>
        <v>0</v>
      </c>
    </row>
    <row r="153" customFormat="false" ht="15" hidden="false" customHeight="false" outlineLevel="0" collapsed="false">
      <c r="A153" s="10"/>
      <c r="B153" s="12"/>
      <c r="C153" s="10"/>
      <c r="D153" s="14" t="str">
        <f aca="false">IFERROR(IF(C153="","",INDEX(Customers!$B$5:$B$504,MATCH(C153,Customers!$A$5:$A$504,0))),"")</f>
        <v/>
      </c>
      <c r="E153" s="10" t="s">
        <v>24</v>
      </c>
      <c r="F153" s="12"/>
      <c r="G153" s="12"/>
      <c r="H153" s="10"/>
      <c r="I153" s="10"/>
      <c r="J153" s="9" t="n">
        <f aca="false">IFERROR(SUMIFS(SalesOrderLines!$I$5:$I$504,SalesOrderLines!$B$5:$B$504,A153),"")</f>
        <v>0</v>
      </c>
      <c r="K153" s="9" t="n">
        <f aca="false">IFERROR(SUMIFS(SalesOrderLines!$J$5:$J$504,SalesOrderLines!$B$5:$B$504,A153),"")</f>
        <v>0</v>
      </c>
      <c r="L153" s="9" t="n">
        <f aca="false">IFERROR(J153+K153,"")</f>
        <v>0</v>
      </c>
      <c r="M153" s="9" t="n">
        <f aca="false">IFERROR(SUMIFS(Payments!$E$5:$E$504,Payments!$D$5:$D$504,A153,Payments!$C$5:$C$504,"In"),"")</f>
        <v>0</v>
      </c>
      <c r="N153" s="9" t="n">
        <f aca="false">IFERROR(L153-M153,"")</f>
        <v>0</v>
      </c>
    </row>
    <row r="154" customFormat="false" ht="15" hidden="false" customHeight="false" outlineLevel="0" collapsed="false">
      <c r="A154" s="10"/>
      <c r="B154" s="12"/>
      <c r="C154" s="10"/>
      <c r="D154" s="14" t="str">
        <f aca="false">IFERROR(IF(C154="","",INDEX(Customers!$B$5:$B$504,MATCH(C154,Customers!$A$5:$A$504,0))),"")</f>
        <v/>
      </c>
      <c r="E154" s="10" t="s">
        <v>24</v>
      </c>
      <c r="F154" s="12"/>
      <c r="G154" s="12"/>
      <c r="H154" s="10"/>
      <c r="I154" s="10"/>
      <c r="J154" s="9" t="n">
        <f aca="false">IFERROR(SUMIFS(SalesOrderLines!$I$5:$I$504,SalesOrderLines!$B$5:$B$504,A154),"")</f>
        <v>0</v>
      </c>
      <c r="K154" s="9" t="n">
        <f aca="false">IFERROR(SUMIFS(SalesOrderLines!$J$5:$J$504,SalesOrderLines!$B$5:$B$504,A154),"")</f>
        <v>0</v>
      </c>
      <c r="L154" s="9" t="n">
        <f aca="false">IFERROR(J154+K154,"")</f>
        <v>0</v>
      </c>
      <c r="M154" s="9" t="n">
        <f aca="false">IFERROR(SUMIFS(Payments!$E$5:$E$504,Payments!$D$5:$D$504,A154,Payments!$C$5:$C$504,"In"),"")</f>
        <v>0</v>
      </c>
      <c r="N154" s="9" t="n">
        <f aca="false">IFERROR(L154-M154,"")</f>
        <v>0</v>
      </c>
    </row>
    <row r="155" customFormat="false" ht="15" hidden="false" customHeight="false" outlineLevel="0" collapsed="false">
      <c r="A155" s="10"/>
      <c r="B155" s="12"/>
      <c r="C155" s="10"/>
      <c r="D155" s="14" t="str">
        <f aca="false">IFERROR(IF(C155="","",INDEX(Customers!$B$5:$B$504,MATCH(C155,Customers!$A$5:$A$504,0))),"")</f>
        <v/>
      </c>
      <c r="E155" s="10" t="s">
        <v>24</v>
      </c>
      <c r="F155" s="12"/>
      <c r="G155" s="12"/>
      <c r="H155" s="10"/>
      <c r="I155" s="10"/>
      <c r="J155" s="9" t="n">
        <f aca="false">IFERROR(SUMIFS(SalesOrderLines!$I$5:$I$504,SalesOrderLines!$B$5:$B$504,A155),"")</f>
        <v>0</v>
      </c>
      <c r="K155" s="9" t="n">
        <f aca="false">IFERROR(SUMIFS(SalesOrderLines!$J$5:$J$504,SalesOrderLines!$B$5:$B$504,A155),"")</f>
        <v>0</v>
      </c>
      <c r="L155" s="9" t="n">
        <f aca="false">IFERROR(J155+K155,"")</f>
        <v>0</v>
      </c>
      <c r="M155" s="9" t="n">
        <f aca="false">IFERROR(SUMIFS(Payments!$E$5:$E$504,Payments!$D$5:$D$504,A155,Payments!$C$5:$C$504,"In"),"")</f>
        <v>0</v>
      </c>
      <c r="N155" s="9" t="n">
        <f aca="false">IFERROR(L155-M155,"")</f>
        <v>0</v>
      </c>
    </row>
    <row r="156" customFormat="false" ht="15" hidden="false" customHeight="false" outlineLevel="0" collapsed="false">
      <c r="A156" s="10"/>
      <c r="B156" s="12"/>
      <c r="C156" s="10"/>
      <c r="D156" s="14" t="str">
        <f aca="false">IFERROR(IF(C156="","",INDEX(Customers!$B$5:$B$504,MATCH(C156,Customers!$A$5:$A$504,0))),"")</f>
        <v/>
      </c>
      <c r="E156" s="10" t="s">
        <v>24</v>
      </c>
      <c r="F156" s="12"/>
      <c r="G156" s="12"/>
      <c r="H156" s="10"/>
      <c r="I156" s="10"/>
      <c r="J156" s="9" t="n">
        <f aca="false">IFERROR(SUMIFS(SalesOrderLines!$I$5:$I$504,SalesOrderLines!$B$5:$B$504,A156),"")</f>
        <v>0</v>
      </c>
      <c r="K156" s="9" t="n">
        <f aca="false">IFERROR(SUMIFS(SalesOrderLines!$J$5:$J$504,SalesOrderLines!$B$5:$B$504,A156),"")</f>
        <v>0</v>
      </c>
      <c r="L156" s="9" t="n">
        <f aca="false">IFERROR(J156+K156,"")</f>
        <v>0</v>
      </c>
      <c r="M156" s="9" t="n">
        <f aca="false">IFERROR(SUMIFS(Payments!$E$5:$E$504,Payments!$D$5:$D$504,A156,Payments!$C$5:$C$504,"In"),"")</f>
        <v>0</v>
      </c>
      <c r="N156" s="9" t="n">
        <f aca="false">IFERROR(L156-M156,"")</f>
        <v>0</v>
      </c>
    </row>
    <row r="157" customFormat="false" ht="15" hidden="false" customHeight="false" outlineLevel="0" collapsed="false">
      <c r="A157" s="10"/>
      <c r="B157" s="12"/>
      <c r="C157" s="10"/>
      <c r="D157" s="14" t="str">
        <f aca="false">IFERROR(IF(C157="","",INDEX(Customers!$B$5:$B$504,MATCH(C157,Customers!$A$5:$A$504,0))),"")</f>
        <v/>
      </c>
      <c r="E157" s="10" t="s">
        <v>24</v>
      </c>
      <c r="F157" s="12"/>
      <c r="G157" s="12"/>
      <c r="H157" s="10"/>
      <c r="I157" s="10"/>
      <c r="J157" s="9" t="n">
        <f aca="false">IFERROR(SUMIFS(SalesOrderLines!$I$5:$I$504,SalesOrderLines!$B$5:$B$504,A157),"")</f>
        <v>0</v>
      </c>
      <c r="K157" s="9" t="n">
        <f aca="false">IFERROR(SUMIFS(SalesOrderLines!$J$5:$J$504,SalesOrderLines!$B$5:$B$504,A157),"")</f>
        <v>0</v>
      </c>
      <c r="L157" s="9" t="n">
        <f aca="false">IFERROR(J157+K157,"")</f>
        <v>0</v>
      </c>
      <c r="M157" s="9" t="n">
        <f aca="false">IFERROR(SUMIFS(Payments!$E$5:$E$504,Payments!$D$5:$D$504,A157,Payments!$C$5:$C$504,"In"),"")</f>
        <v>0</v>
      </c>
      <c r="N157" s="9" t="n">
        <f aca="false">IFERROR(L157-M157,"")</f>
        <v>0</v>
      </c>
    </row>
    <row r="158" customFormat="false" ht="15" hidden="false" customHeight="false" outlineLevel="0" collapsed="false">
      <c r="A158" s="10"/>
      <c r="B158" s="12"/>
      <c r="C158" s="10"/>
      <c r="D158" s="14" t="str">
        <f aca="false">IFERROR(IF(C158="","",INDEX(Customers!$B$5:$B$504,MATCH(C158,Customers!$A$5:$A$504,0))),"")</f>
        <v/>
      </c>
      <c r="E158" s="10" t="s">
        <v>24</v>
      </c>
      <c r="F158" s="12"/>
      <c r="G158" s="12"/>
      <c r="H158" s="10"/>
      <c r="I158" s="10"/>
      <c r="J158" s="9" t="n">
        <f aca="false">IFERROR(SUMIFS(SalesOrderLines!$I$5:$I$504,SalesOrderLines!$B$5:$B$504,A158),"")</f>
        <v>0</v>
      </c>
      <c r="K158" s="9" t="n">
        <f aca="false">IFERROR(SUMIFS(SalesOrderLines!$J$5:$J$504,SalesOrderLines!$B$5:$B$504,A158),"")</f>
        <v>0</v>
      </c>
      <c r="L158" s="9" t="n">
        <f aca="false">IFERROR(J158+K158,"")</f>
        <v>0</v>
      </c>
      <c r="M158" s="9" t="n">
        <f aca="false">IFERROR(SUMIFS(Payments!$E$5:$E$504,Payments!$D$5:$D$504,A158,Payments!$C$5:$C$504,"In"),"")</f>
        <v>0</v>
      </c>
      <c r="N158" s="9" t="n">
        <f aca="false">IFERROR(L158-M158,"")</f>
        <v>0</v>
      </c>
    </row>
    <row r="159" customFormat="false" ht="15" hidden="false" customHeight="false" outlineLevel="0" collapsed="false">
      <c r="A159" s="10"/>
      <c r="B159" s="12"/>
      <c r="C159" s="10"/>
      <c r="D159" s="14" t="str">
        <f aca="false">IFERROR(IF(C159="","",INDEX(Customers!$B$5:$B$504,MATCH(C159,Customers!$A$5:$A$504,0))),"")</f>
        <v/>
      </c>
      <c r="E159" s="10" t="s">
        <v>24</v>
      </c>
      <c r="F159" s="12"/>
      <c r="G159" s="12"/>
      <c r="H159" s="10"/>
      <c r="I159" s="10"/>
      <c r="J159" s="9" t="n">
        <f aca="false">IFERROR(SUMIFS(SalesOrderLines!$I$5:$I$504,SalesOrderLines!$B$5:$B$504,A159),"")</f>
        <v>0</v>
      </c>
      <c r="K159" s="9" t="n">
        <f aca="false">IFERROR(SUMIFS(SalesOrderLines!$J$5:$J$504,SalesOrderLines!$B$5:$B$504,A159),"")</f>
        <v>0</v>
      </c>
      <c r="L159" s="9" t="n">
        <f aca="false">IFERROR(J159+K159,"")</f>
        <v>0</v>
      </c>
      <c r="M159" s="9" t="n">
        <f aca="false">IFERROR(SUMIFS(Payments!$E$5:$E$504,Payments!$D$5:$D$504,A159,Payments!$C$5:$C$504,"In"),"")</f>
        <v>0</v>
      </c>
      <c r="N159" s="9" t="n">
        <f aca="false">IFERROR(L159-M159,"")</f>
        <v>0</v>
      </c>
    </row>
    <row r="160" customFormat="false" ht="15" hidden="false" customHeight="false" outlineLevel="0" collapsed="false">
      <c r="A160" s="10"/>
      <c r="B160" s="12"/>
      <c r="C160" s="10"/>
      <c r="D160" s="14" t="str">
        <f aca="false">IFERROR(IF(C160="","",INDEX(Customers!$B$5:$B$504,MATCH(C160,Customers!$A$5:$A$504,0))),"")</f>
        <v/>
      </c>
      <c r="E160" s="10" t="s">
        <v>24</v>
      </c>
      <c r="F160" s="12"/>
      <c r="G160" s="12"/>
      <c r="H160" s="10"/>
      <c r="I160" s="10"/>
      <c r="J160" s="9" t="n">
        <f aca="false">IFERROR(SUMIFS(SalesOrderLines!$I$5:$I$504,SalesOrderLines!$B$5:$B$504,A160),"")</f>
        <v>0</v>
      </c>
      <c r="K160" s="9" t="n">
        <f aca="false">IFERROR(SUMIFS(SalesOrderLines!$J$5:$J$504,SalesOrderLines!$B$5:$B$504,A160),"")</f>
        <v>0</v>
      </c>
      <c r="L160" s="9" t="n">
        <f aca="false">IFERROR(J160+K160,"")</f>
        <v>0</v>
      </c>
      <c r="M160" s="9" t="n">
        <f aca="false">IFERROR(SUMIFS(Payments!$E$5:$E$504,Payments!$D$5:$D$504,A160,Payments!$C$5:$C$504,"In"),"")</f>
        <v>0</v>
      </c>
      <c r="N160" s="9" t="n">
        <f aca="false">IFERROR(L160-M160,"")</f>
        <v>0</v>
      </c>
    </row>
    <row r="161" customFormat="false" ht="15" hidden="false" customHeight="false" outlineLevel="0" collapsed="false">
      <c r="A161" s="10"/>
      <c r="B161" s="12"/>
      <c r="C161" s="10"/>
      <c r="D161" s="14" t="str">
        <f aca="false">IFERROR(IF(C161="","",INDEX(Customers!$B$5:$B$504,MATCH(C161,Customers!$A$5:$A$504,0))),"")</f>
        <v/>
      </c>
      <c r="E161" s="10" t="s">
        <v>24</v>
      </c>
      <c r="F161" s="12"/>
      <c r="G161" s="12"/>
      <c r="H161" s="10"/>
      <c r="I161" s="10"/>
      <c r="J161" s="9" t="n">
        <f aca="false">IFERROR(SUMIFS(SalesOrderLines!$I$5:$I$504,SalesOrderLines!$B$5:$B$504,A161),"")</f>
        <v>0</v>
      </c>
      <c r="K161" s="9" t="n">
        <f aca="false">IFERROR(SUMIFS(SalesOrderLines!$J$5:$J$504,SalesOrderLines!$B$5:$B$504,A161),"")</f>
        <v>0</v>
      </c>
      <c r="L161" s="9" t="n">
        <f aca="false">IFERROR(J161+K161,"")</f>
        <v>0</v>
      </c>
      <c r="M161" s="9" t="n">
        <f aca="false">IFERROR(SUMIFS(Payments!$E$5:$E$504,Payments!$D$5:$D$504,A161,Payments!$C$5:$C$504,"In"),"")</f>
        <v>0</v>
      </c>
      <c r="N161" s="9" t="n">
        <f aca="false">IFERROR(L161-M161,"")</f>
        <v>0</v>
      </c>
    </row>
    <row r="162" customFormat="false" ht="15" hidden="false" customHeight="false" outlineLevel="0" collapsed="false">
      <c r="A162" s="10"/>
      <c r="B162" s="12"/>
      <c r="C162" s="10"/>
      <c r="D162" s="14" t="str">
        <f aca="false">IFERROR(IF(C162="","",INDEX(Customers!$B$5:$B$504,MATCH(C162,Customers!$A$5:$A$504,0))),"")</f>
        <v/>
      </c>
      <c r="E162" s="10" t="s">
        <v>24</v>
      </c>
      <c r="F162" s="12"/>
      <c r="G162" s="12"/>
      <c r="H162" s="10"/>
      <c r="I162" s="10"/>
      <c r="J162" s="9" t="n">
        <f aca="false">IFERROR(SUMIFS(SalesOrderLines!$I$5:$I$504,SalesOrderLines!$B$5:$B$504,A162),"")</f>
        <v>0</v>
      </c>
      <c r="K162" s="9" t="n">
        <f aca="false">IFERROR(SUMIFS(SalesOrderLines!$J$5:$J$504,SalesOrderLines!$B$5:$B$504,A162),"")</f>
        <v>0</v>
      </c>
      <c r="L162" s="9" t="n">
        <f aca="false">IFERROR(J162+K162,"")</f>
        <v>0</v>
      </c>
      <c r="M162" s="9" t="n">
        <f aca="false">IFERROR(SUMIFS(Payments!$E$5:$E$504,Payments!$D$5:$D$504,A162,Payments!$C$5:$C$504,"In"),"")</f>
        <v>0</v>
      </c>
      <c r="N162" s="9" t="n">
        <f aca="false">IFERROR(L162-M162,"")</f>
        <v>0</v>
      </c>
    </row>
    <row r="163" customFormat="false" ht="15" hidden="false" customHeight="false" outlineLevel="0" collapsed="false">
      <c r="A163" s="10"/>
      <c r="B163" s="12"/>
      <c r="C163" s="10"/>
      <c r="D163" s="14" t="str">
        <f aca="false">IFERROR(IF(C163="","",INDEX(Customers!$B$5:$B$504,MATCH(C163,Customers!$A$5:$A$504,0))),"")</f>
        <v/>
      </c>
      <c r="E163" s="10" t="s">
        <v>24</v>
      </c>
      <c r="F163" s="12"/>
      <c r="G163" s="12"/>
      <c r="H163" s="10"/>
      <c r="I163" s="10"/>
      <c r="J163" s="9" t="n">
        <f aca="false">IFERROR(SUMIFS(SalesOrderLines!$I$5:$I$504,SalesOrderLines!$B$5:$B$504,A163),"")</f>
        <v>0</v>
      </c>
      <c r="K163" s="9" t="n">
        <f aca="false">IFERROR(SUMIFS(SalesOrderLines!$J$5:$J$504,SalesOrderLines!$B$5:$B$504,A163),"")</f>
        <v>0</v>
      </c>
      <c r="L163" s="9" t="n">
        <f aca="false">IFERROR(J163+K163,"")</f>
        <v>0</v>
      </c>
      <c r="M163" s="9" t="n">
        <f aca="false">IFERROR(SUMIFS(Payments!$E$5:$E$504,Payments!$D$5:$D$504,A163,Payments!$C$5:$C$504,"In"),"")</f>
        <v>0</v>
      </c>
      <c r="N163" s="9" t="n">
        <f aca="false">IFERROR(L163-M163,"")</f>
        <v>0</v>
      </c>
    </row>
    <row r="164" customFormat="false" ht="15" hidden="false" customHeight="false" outlineLevel="0" collapsed="false">
      <c r="A164" s="10"/>
      <c r="B164" s="12"/>
      <c r="C164" s="10"/>
      <c r="D164" s="14" t="str">
        <f aca="false">IFERROR(IF(C164="","",INDEX(Customers!$B$5:$B$504,MATCH(C164,Customers!$A$5:$A$504,0))),"")</f>
        <v/>
      </c>
      <c r="E164" s="10" t="s">
        <v>24</v>
      </c>
      <c r="F164" s="12"/>
      <c r="G164" s="12"/>
      <c r="H164" s="10"/>
      <c r="I164" s="10"/>
      <c r="J164" s="9" t="n">
        <f aca="false">IFERROR(SUMIFS(SalesOrderLines!$I$5:$I$504,SalesOrderLines!$B$5:$B$504,A164),"")</f>
        <v>0</v>
      </c>
      <c r="K164" s="9" t="n">
        <f aca="false">IFERROR(SUMIFS(SalesOrderLines!$J$5:$J$504,SalesOrderLines!$B$5:$B$504,A164),"")</f>
        <v>0</v>
      </c>
      <c r="L164" s="9" t="n">
        <f aca="false">IFERROR(J164+K164,"")</f>
        <v>0</v>
      </c>
      <c r="M164" s="9" t="n">
        <f aca="false">IFERROR(SUMIFS(Payments!$E$5:$E$504,Payments!$D$5:$D$504,A164,Payments!$C$5:$C$504,"In"),"")</f>
        <v>0</v>
      </c>
      <c r="N164" s="9" t="n">
        <f aca="false">IFERROR(L164-M164,"")</f>
        <v>0</v>
      </c>
    </row>
    <row r="165" customFormat="false" ht="15" hidden="false" customHeight="false" outlineLevel="0" collapsed="false">
      <c r="A165" s="10"/>
      <c r="B165" s="12"/>
      <c r="C165" s="10"/>
      <c r="D165" s="14" t="str">
        <f aca="false">IFERROR(IF(C165="","",INDEX(Customers!$B$5:$B$504,MATCH(C165,Customers!$A$5:$A$504,0))),"")</f>
        <v/>
      </c>
      <c r="E165" s="10" t="s">
        <v>24</v>
      </c>
      <c r="F165" s="12"/>
      <c r="G165" s="12"/>
      <c r="H165" s="10"/>
      <c r="I165" s="10"/>
      <c r="J165" s="9" t="n">
        <f aca="false">IFERROR(SUMIFS(SalesOrderLines!$I$5:$I$504,SalesOrderLines!$B$5:$B$504,A165),"")</f>
        <v>0</v>
      </c>
      <c r="K165" s="9" t="n">
        <f aca="false">IFERROR(SUMIFS(SalesOrderLines!$J$5:$J$504,SalesOrderLines!$B$5:$B$504,A165),"")</f>
        <v>0</v>
      </c>
      <c r="L165" s="9" t="n">
        <f aca="false">IFERROR(J165+K165,"")</f>
        <v>0</v>
      </c>
      <c r="M165" s="9" t="n">
        <f aca="false">IFERROR(SUMIFS(Payments!$E$5:$E$504,Payments!$D$5:$D$504,A165,Payments!$C$5:$C$504,"In"),"")</f>
        <v>0</v>
      </c>
      <c r="N165" s="9" t="n">
        <f aca="false">IFERROR(L165-M165,"")</f>
        <v>0</v>
      </c>
    </row>
    <row r="166" customFormat="false" ht="15" hidden="false" customHeight="false" outlineLevel="0" collapsed="false">
      <c r="A166" s="10"/>
      <c r="B166" s="12"/>
      <c r="C166" s="10"/>
      <c r="D166" s="14" t="str">
        <f aca="false">IFERROR(IF(C166="","",INDEX(Customers!$B$5:$B$504,MATCH(C166,Customers!$A$5:$A$504,0))),"")</f>
        <v/>
      </c>
      <c r="E166" s="10" t="s">
        <v>24</v>
      </c>
      <c r="F166" s="12"/>
      <c r="G166" s="12"/>
      <c r="H166" s="10"/>
      <c r="I166" s="10"/>
      <c r="J166" s="9" t="n">
        <f aca="false">IFERROR(SUMIFS(SalesOrderLines!$I$5:$I$504,SalesOrderLines!$B$5:$B$504,A166),"")</f>
        <v>0</v>
      </c>
      <c r="K166" s="9" t="n">
        <f aca="false">IFERROR(SUMIFS(SalesOrderLines!$J$5:$J$504,SalesOrderLines!$B$5:$B$504,A166),"")</f>
        <v>0</v>
      </c>
      <c r="L166" s="9" t="n">
        <f aca="false">IFERROR(J166+K166,"")</f>
        <v>0</v>
      </c>
      <c r="M166" s="9" t="n">
        <f aca="false">IFERROR(SUMIFS(Payments!$E$5:$E$504,Payments!$D$5:$D$504,A166,Payments!$C$5:$C$504,"In"),"")</f>
        <v>0</v>
      </c>
      <c r="N166" s="9" t="n">
        <f aca="false">IFERROR(L166-M166,"")</f>
        <v>0</v>
      </c>
    </row>
    <row r="167" customFormat="false" ht="15" hidden="false" customHeight="false" outlineLevel="0" collapsed="false">
      <c r="A167" s="10"/>
      <c r="B167" s="12"/>
      <c r="C167" s="10"/>
      <c r="D167" s="14" t="str">
        <f aca="false">IFERROR(IF(C167="","",INDEX(Customers!$B$5:$B$504,MATCH(C167,Customers!$A$5:$A$504,0))),"")</f>
        <v/>
      </c>
      <c r="E167" s="10" t="s">
        <v>24</v>
      </c>
      <c r="F167" s="12"/>
      <c r="G167" s="12"/>
      <c r="H167" s="10"/>
      <c r="I167" s="10"/>
      <c r="J167" s="9" t="n">
        <f aca="false">IFERROR(SUMIFS(SalesOrderLines!$I$5:$I$504,SalesOrderLines!$B$5:$B$504,A167),"")</f>
        <v>0</v>
      </c>
      <c r="K167" s="9" t="n">
        <f aca="false">IFERROR(SUMIFS(SalesOrderLines!$J$5:$J$504,SalesOrderLines!$B$5:$B$504,A167),"")</f>
        <v>0</v>
      </c>
      <c r="L167" s="9" t="n">
        <f aca="false">IFERROR(J167+K167,"")</f>
        <v>0</v>
      </c>
      <c r="M167" s="9" t="n">
        <f aca="false">IFERROR(SUMIFS(Payments!$E$5:$E$504,Payments!$D$5:$D$504,A167,Payments!$C$5:$C$504,"In"),"")</f>
        <v>0</v>
      </c>
      <c r="N167" s="9" t="n">
        <f aca="false">IFERROR(L167-M167,"")</f>
        <v>0</v>
      </c>
    </row>
    <row r="168" customFormat="false" ht="15" hidden="false" customHeight="false" outlineLevel="0" collapsed="false">
      <c r="A168" s="10"/>
      <c r="B168" s="12"/>
      <c r="C168" s="10"/>
      <c r="D168" s="14" t="str">
        <f aca="false">IFERROR(IF(C168="","",INDEX(Customers!$B$5:$B$504,MATCH(C168,Customers!$A$5:$A$504,0))),"")</f>
        <v/>
      </c>
      <c r="E168" s="10" t="s">
        <v>24</v>
      </c>
      <c r="F168" s="12"/>
      <c r="G168" s="12"/>
      <c r="H168" s="10"/>
      <c r="I168" s="10"/>
      <c r="J168" s="9" t="n">
        <f aca="false">IFERROR(SUMIFS(SalesOrderLines!$I$5:$I$504,SalesOrderLines!$B$5:$B$504,A168),"")</f>
        <v>0</v>
      </c>
      <c r="K168" s="9" t="n">
        <f aca="false">IFERROR(SUMIFS(SalesOrderLines!$J$5:$J$504,SalesOrderLines!$B$5:$B$504,A168),"")</f>
        <v>0</v>
      </c>
      <c r="L168" s="9" t="n">
        <f aca="false">IFERROR(J168+K168,"")</f>
        <v>0</v>
      </c>
      <c r="M168" s="9" t="n">
        <f aca="false">IFERROR(SUMIFS(Payments!$E$5:$E$504,Payments!$D$5:$D$504,A168,Payments!$C$5:$C$504,"In"),"")</f>
        <v>0</v>
      </c>
      <c r="N168" s="9" t="n">
        <f aca="false">IFERROR(L168-M168,"")</f>
        <v>0</v>
      </c>
    </row>
    <row r="169" customFormat="false" ht="15" hidden="false" customHeight="false" outlineLevel="0" collapsed="false">
      <c r="A169" s="10"/>
      <c r="B169" s="12"/>
      <c r="C169" s="10"/>
      <c r="D169" s="14" t="str">
        <f aca="false">IFERROR(IF(C169="","",INDEX(Customers!$B$5:$B$504,MATCH(C169,Customers!$A$5:$A$504,0))),"")</f>
        <v/>
      </c>
      <c r="E169" s="10" t="s">
        <v>24</v>
      </c>
      <c r="F169" s="12"/>
      <c r="G169" s="12"/>
      <c r="H169" s="10"/>
      <c r="I169" s="10"/>
      <c r="J169" s="9" t="n">
        <f aca="false">IFERROR(SUMIFS(SalesOrderLines!$I$5:$I$504,SalesOrderLines!$B$5:$B$504,A169),"")</f>
        <v>0</v>
      </c>
      <c r="K169" s="9" t="n">
        <f aca="false">IFERROR(SUMIFS(SalesOrderLines!$J$5:$J$504,SalesOrderLines!$B$5:$B$504,A169),"")</f>
        <v>0</v>
      </c>
      <c r="L169" s="9" t="n">
        <f aca="false">IFERROR(J169+K169,"")</f>
        <v>0</v>
      </c>
      <c r="M169" s="9" t="n">
        <f aca="false">IFERROR(SUMIFS(Payments!$E$5:$E$504,Payments!$D$5:$D$504,A169,Payments!$C$5:$C$504,"In"),"")</f>
        <v>0</v>
      </c>
      <c r="N169" s="9" t="n">
        <f aca="false">IFERROR(L169-M169,"")</f>
        <v>0</v>
      </c>
    </row>
    <row r="170" customFormat="false" ht="15" hidden="false" customHeight="false" outlineLevel="0" collapsed="false">
      <c r="A170" s="10"/>
      <c r="B170" s="12"/>
      <c r="C170" s="10"/>
      <c r="D170" s="14" t="str">
        <f aca="false">IFERROR(IF(C170="","",INDEX(Customers!$B$5:$B$504,MATCH(C170,Customers!$A$5:$A$504,0))),"")</f>
        <v/>
      </c>
      <c r="E170" s="10" t="s">
        <v>24</v>
      </c>
      <c r="F170" s="12"/>
      <c r="G170" s="12"/>
      <c r="H170" s="10"/>
      <c r="I170" s="10"/>
      <c r="J170" s="9" t="n">
        <f aca="false">IFERROR(SUMIFS(SalesOrderLines!$I$5:$I$504,SalesOrderLines!$B$5:$B$504,A170),"")</f>
        <v>0</v>
      </c>
      <c r="K170" s="9" t="n">
        <f aca="false">IFERROR(SUMIFS(SalesOrderLines!$J$5:$J$504,SalesOrderLines!$B$5:$B$504,A170),"")</f>
        <v>0</v>
      </c>
      <c r="L170" s="9" t="n">
        <f aca="false">IFERROR(J170+K170,"")</f>
        <v>0</v>
      </c>
      <c r="M170" s="9" t="n">
        <f aca="false">IFERROR(SUMIFS(Payments!$E$5:$E$504,Payments!$D$5:$D$504,A170,Payments!$C$5:$C$504,"In"),"")</f>
        <v>0</v>
      </c>
      <c r="N170" s="9" t="n">
        <f aca="false">IFERROR(L170-M170,"")</f>
        <v>0</v>
      </c>
    </row>
    <row r="171" customFormat="false" ht="15" hidden="false" customHeight="false" outlineLevel="0" collapsed="false">
      <c r="A171" s="10"/>
      <c r="B171" s="12"/>
      <c r="C171" s="10"/>
      <c r="D171" s="14" t="str">
        <f aca="false">IFERROR(IF(C171="","",INDEX(Customers!$B$5:$B$504,MATCH(C171,Customers!$A$5:$A$504,0))),"")</f>
        <v/>
      </c>
      <c r="E171" s="10" t="s">
        <v>24</v>
      </c>
      <c r="F171" s="12"/>
      <c r="G171" s="12"/>
      <c r="H171" s="10"/>
      <c r="I171" s="10"/>
      <c r="J171" s="9" t="n">
        <f aca="false">IFERROR(SUMIFS(SalesOrderLines!$I$5:$I$504,SalesOrderLines!$B$5:$B$504,A171),"")</f>
        <v>0</v>
      </c>
      <c r="K171" s="9" t="n">
        <f aca="false">IFERROR(SUMIFS(SalesOrderLines!$J$5:$J$504,SalesOrderLines!$B$5:$B$504,A171),"")</f>
        <v>0</v>
      </c>
      <c r="L171" s="9" t="n">
        <f aca="false">IFERROR(J171+K171,"")</f>
        <v>0</v>
      </c>
      <c r="M171" s="9" t="n">
        <f aca="false">IFERROR(SUMIFS(Payments!$E$5:$E$504,Payments!$D$5:$D$504,A171,Payments!$C$5:$C$504,"In"),"")</f>
        <v>0</v>
      </c>
      <c r="N171" s="9" t="n">
        <f aca="false">IFERROR(L171-M171,"")</f>
        <v>0</v>
      </c>
    </row>
    <row r="172" customFormat="false" ht="15" hidden="false" customHeight="false" outlineLevel="0" collapsed="false">
      <c r="A172" s="10"/>
      <c r="B172" s="12"/>
      <c r="C172" s="10"/>
      <c r="D172" s="14" t="str">
        <f aca="false">IFERROR(IF(C172="","",INDEX(Customers!$B$5:$B$504,MATCH(C172,Customers!$A$5:$A$504,0))),"")</f>
        <v/>
      </c>
      <c r="E172" s="10" t="s">
        <v>24</v>
      </c>
      <c r="F172" s="12"/>
      <c r="G172" s="12"/>
      <c r="H172" s="10"/>
      <c r="I172" s="10"/>
      <c r="J172" s="9" t="n">
        <f aca="false">IFERROR(SUMIFS(SalesOrderLines!$I$5:$I$504,SalesOrderLines!$B$5:$B$504,A172),"")</f>
        <v>0</v>
      </c>
      <c r="K172" s="9" t="n">
        <f aca="false">IFERROR(SUMIFS(SalesOrderLines!$J$5:$J$504,SalesOrderLines!$B$5:$B$504,A172),"")</f>
        <v>0</v>
      </c>
      <c r="L172" s="9" t="n">
        <f aca="false">IFERROR(J172+K172,"")</f>
        <v>0</v>
      </c>
      <c r="M172" s="9" t="n">
        <f aca="false">IFERROR(SUMIFS(Payments!$E$5:$E$504,Payments!$D$5:$D$504,A172,Payments!$C$5:$C$504,"In"),"")</f>
        <v>0</v>
      </c>
      <c r="N172" s="9" t="n">
        <f aca="false">IFERROR(L172-M172,"")</f>
        <v>0</v>
      </c>
    </row>
    <row r="173" customFormat="false" ht="15" hidden="false" customHeight="false" outlineLevel="0" collapsed="false">
      <c r="A173" s="10"/>
      <c r="B173" s="12"/>
      <c r="C173" s="10"/>
      <c r="D173" s="14" t="str">
        <f aca="false">IFERROR(IF(C173="","",INDEX(Customers!$B$5:$B$504,MATCH(C173,Customers!$A$5:$A$504,0))),"")</f>
        <v/>
      </c>
      <c r="E173" s="10" t="s">
        <v>24</v>
      </c>
      <c r="F173" s="12"/>
      <c r="G173" s="12"/>
      <c r="H173" s="10"/>
      <c r="I173" s="10"/>
      <c r="J173" s="9" t="n">
        <f aca="false">IFERROR(SUMIFS(SalesOrderLines!$I$5:$I$504,SalesOrderLines!$B$5:$B$504,A173),"")</f>
        <v>0</v>
      </c>
      <c r="K173" s="9" t="n">
        <f aca="false">IFERROR(SUMIFS(SalesOrderLines!$J$5:$J$504,SalesOrderLines!$B$5:$B$504,A173),"")</f>
        <v>0</v>
      </c>
      <c r="L173" s="9" t="n">
        <f aca="false">IFERROR(J173+K173,"")</f>
        <v>0</v>
      </c>
      <c r="M173" s="9" t="n">
        <f aca="false">IFERROR(SUMIFS(Payments!$E$5:$E$504,Payments!$D$5:$D$504,A173,Payments!$C$5:$C$504,"In"),"")</f>
        <v>0</v>
      </c>
      <c r="N173" s="9" t="n">
        <f aca="false">IFERROR(L173-M173,"")</f>
        <v>0</v>
      </c>
    </row>
    <row r="174" customFormat="false" ht="15" hidden="false" customHeight="false" outlineLevel="0" collapsed="false">
      <c r="A174" s="10"/>
      <c r="B174" s="12"/>
      <c r="C174" s="10"/>
      <c r="D174" s="14" t="str">
        <f aca="false">IFERROR(IF(C174="","",INDEX(Customers!$B$5:$B$504,MATCH(C174,Customers!$A$5:$A$504,0))),"")</f>
        <v/>
      </c>
      <c r="E174" s="10" t="s">
        <v>24</v>
      </c>
      <c r="F174" s="12"/>
      <c r="G174" s="12"/>
      <c r="H174" s="10"/>
      <c r="I174" s="10"/>
      <c r="J174" s="9" t="n">
        <f aca="false">IFERROR(SUMIFS(SalesOrderLines!$I$5:$I$504,SalesOrderLines!$B$5:$B$504,A174),"")</f>
        <v>0</v>
      </c>
      <c r="K174" s="9" t="n">
        <f aca="false">IFERROR(SUMIFS(SalesOrderLines!$J$5:$J$504,SalesOrderLines!$B$5:$B$504,A174),"")</f>
        <v>0</v>
      </c>
      <c r="L174" s="9" t="n">
        <f aca="false">IFERROR(J174+K174,"")</f>
        <v>0</v>
      </c>
      <c r="M174" s="9" t="n">
        <f aca="false">IFERROR(SUMIFS(Payments!$E$5:$E$504,Payments!$D$5:$D$504,A174,Payments!$C$5:$C$504,"In"),"")</f>
        <v>0</v>
      </c>
      <c r="N174" s="9" t="n">
        <f aca="false">IFERROR(L174-M174,"")</f>
        <v>0</v>
      </c>
    </row>
    <row r="175" customFormat="false" ht="15" hidden="false" customHeight="false" outlineLevel="0" collapsed="false">
      <c r="A175" s="10"/>
      <c r="B175" s="12"/>
      <c r="C175" s="10"/>
      <c r="D175" s="14" t="str">
        <f aca="false">IFERROR(IF(C175="","",INDEX(Customers!$B$5:$B$504,MATCH(C175,Customers!$A$5:$A$504,0))),"")</f>
        <v/>
      </c>
      <c r="E175" s="10" t="s">
        <v>24</v>
      </c>
      <c r="F175" s="12"/>
      <c r="G175" s="12"/>
      <c r="H175" s="10"/>
      <c r="I175" s="10"/>
      <c r="J175" s="9" t="n">
        <f aca="false">IFERROR(SUMIFS(SalesOrderLines!$I$5:$I$504,SalesOrderLines!$B$5:$B$504,A175),"")</f>
        <v>0</v>
      </c>
      <c r="K175" s="9" t="n">
        <f aca="false">IFERROR(SUMIFS(SalesOrderLines!$J$5:$J$504,SalesOrderLines!$B$5:$B$504,A175),"")</f>
        <v>0</v>
      </c>
      <c r="L175" s="9" t="n">
        <f aca="false">IFERROR(J175+K175,"")</f>
        <v>0</v>
      </c>
      <c r="M175" s="9" t="n">
        <f aca="false">IFERROR(SUMIFS(Payments!$E$5:$E$504,Payments!$D$5:$D$504,A175,Payments!$C$5:$C$504,"In"),"")</f>
        <v>0</v>
      </c>
      <c r="N175" s="9" t="n">
        <f aca="false">IFERROR(L175-M175,"")</f>
        <v>0</v>
      </c>
    </row>
    <row r="176" customFormat="false" ht="15" hidden="false" customHeight="false" outlineLevel="0" collapsed="false">
      <c r="A176" s="10"/>
      <c r="B176" s="12"/>
      <c r="C176" s="10"/>
      <c r="D176" s="14" t="str">
        <f aca="false">IFERROR(IF(C176="","",INDEX(Customers!$B$5:$B$504,MATCH(C176,Customers!$A$5:$A$504,0))),"")</f>
        <v/>
      </c>
      <c r="E176" s="10" t="s">
        <v>24</v>
      </c>
      <c r="F176" s="12"/>
      <c r="G176" s="12"/>
      <c r="H176" s="10"/>
      <c r="I176" s="10"/>
      <c r="J176" s="9" t="n">
        <f aca="false">IFERROR(SUMIFS(SalesOrderLines!$I$5:$I$504,SalesOrderLines!$B$5:$B$504,A176),"")</f>
        <v>0</v>
      </c>
      <c r="K176" s="9" t="n">
        <f aca="false">IFERROR(SUMIFS(SalesOrderLines!$J$5:$J$504,SalesOrderLines!$B$5:$B$504,A176),"")</f>
        <v>0</v>
      </c>
      <c r="L176" s="9" t="n">
        <f aca="false">IFERROR(J176+K176,"")</f>
        <v>0</v>
      </c>
      <c r="M176" s="9" t="n">
        <f aca="false">IFERROR(SUMIFS(Payments!$E$5:$E$504,Payments!$D$5:$D$504,A176,Payments!$C$5:$C$504,"In"),"")</f>
        <v>0</v>
      </c>
      <c r="N176" s="9" t="n">
        <f aca="false">IFERROR(L176-M176,"")</f>
        <v>0</v>
      </c>
    </row>
    <row r="177" customFormat="false" ht="15" hidden="false" customHeight="false" outlineLevel="0" collapsed="false">
      <c r="A177" s="10"/>
      <c r="B177" s="12"/>
      <c r="C177" s="10"/>
      <c r="D177" s="14" t="str">
        <f aca="false">IFERROR(IF(C177="","",INDEX(Customers!$B$5:$B$504,MATCH(C177,Customers!$A$5:$A$504,0))),"")</f>
        <v/>
      </c>
      <c r="E177" s="10" t="s">
        <v>24</v>
      </c>
      <c r="F177" s="12"/>
      <c r="G177" s="12"/>
      <c r="H177" s="10"/>
      <c r="I177" s="10"/>
      <c r="J177" s="9" t="n">
        <f aca="false">IFERROR(SUMIFS(SalesOrderLines!$I$5:$I$504,SalesOrderLines!$B$5:$B$504,A177),"")</f>
        <v>0</v>
      </c>
      <c r="K177" s="9" t="n">
        <f aca="false">IFERROR(SUMIFS(SalesOrderLines!$J$5:$J$504,SalesOrderLines!$B$5:$B$504,A177),"")</f>
        <v>0</v>
      </c>
      <c r="L177" s="9" t="n">
        <f aca="false">IFERROR(J177+K177,"")</f>
        <v>0</v>
      </c>
      <c r="M177" s="9" t="n">
        <f aca="false">IFERROR(SUMIFS(Payments!$E$5:$E$504,Payments!$D$5:$D$504,A177,Payments!$C$5:$C$504,"In"),"")</f>
        <v>0</v>
      </c>
      <c r="N177" s="9" t="n">
        <f aca="false">IFERROR(L177-M177,"")</f>
        <v>0</v>
      </c>
    </row>
    <row r="178" customFormat="false" ht="15" hidden="false" customHeight="false" outlineLevel="0" collapsed="false">
      <c r="A178" s="10"/>
      <c r="B178" s="12"/>
      <c r="C178" s="10"/>
      <c r="D178" s="14" t="str">
        <f aca="false">IFERROR(IF(C178="","",INDEX(Customers!$B$5:$B$504,MATCH(C178,Customers!$A$5:$A$504,0))),"")</f>
        <v/>
      </c>
      <c r="E178" s="10" t="s">
        <v>24</v>
      </c>
      <c r="F178" s="12"/>
      <c r="G178" s="12"/>
      <c r="H178" s="10"/>
      <c r="I178" s="10"/>
      <c r="J178" s="9" t="n">
        <f aca="false">IFERROR(SUMIFS(SalesOrderLines!$I$5:$I$504,SalesOrderLines!$B$5:$B$504,A178),"")</f>
        <v>0</v>
      </c>
      <c r="K178" s="9" t="n">
        <f aca="false">IFERROR(SUMIFS(SalesOrderLines!$J$5:$J$504,SalesOrderLines!$B$5:$B$504,A178),"")</f>
        <v>0</v>
      </c>
      <c r="L178" s="9" t="n">
        <f aca="false">IFERROR(J178+K178,"")</f>
        <v>0</v>
      </c>
      <c r="M178" s="9" t="n">
        <f aca="false">IFERROR(SUMIFS(Payments!$E$5:$E$504,Payments!$D$5:$D$504,A178,Payments!$C$5:$C$504,"In"),"")</f>
        <v>0</v>
      </c>
      <c r="N178" s="9" t="n">
        <f aca="false">IFERROR(L178-M178,"")</f>
        <v>0</v>
      </c>
    </row>
    <row r="179" customFormat="false" ht="15" hidden="false" customHeight="false" outlineLevel="0" collapsed="false">
      <c r="A179" s="10"/>
      <c r="B179" s="12"/>
      <c r="C179" s="10"/>
      <c r="D179" s="14" t="str">
        <f aca="false">IFERROR(IF(C179="","",INDEX(Customers!$B$5:$B$504,MATCH(C179,Customers!$A$5:$A$504,0))),"")</f>
        <v/>
      </c>
      <c r="E179" s="10" t="s">
        <v>24</v>
      </c>
      <c r="F179" s="12"/>
      <c r="G179" s="12"/>
      <c r="H179" s="10"/>
      <c r="I179" s="10"/>
      <c r="J179" s="9" t="n">
        <f aca="false">IFERROR(SUMIFS(SalesOrderLines!$I$5:$I$504,SalesOrderLines!$B$5:$B$504,A179),"")</f>
        <v>0</v>
      </c>
      <c r="K179" s="9" t="n">
        <f aca="false">IFERROR(SUMIFS(SalesOrderLines!$J$5:$J$504,SalesOrderLines!$B$5:$B$504,A179),"")</f>
        <v>0</v>
      </c>
      <c r="L179" s="9" t="n">
        <f aca="false">IFERROR(J179+K179,"")</f>
        <v>0</v>
      </c>
      <c r="M179" s="9" t="n">
        <f aca="false">IFERROR(SUMIFS(Payments!$E$5:$E$504,Payments!$D$5:$D$504,A179,Payments!$C$5:$C$504,"In"),"")</f>
        <v>0</v>
      </c>
      <c r="N179" s="9" t="n">
        <f aca="false">IFERROR(L179-M179,"")</f>
        <v>0</v>
      </c>
    </row>
    <row r="180" customFormat="false" ht="15" hidden="false" customHeight="false" outlineLevel="0" collapsed="false">
      <c r="A180" s="10"/>
      <c r="B180" s="12"/>
      <c r="C180" s="10"/>
      <c r="D180" s="14" t="str">
        <f aca="false">IFERROR(IF(C180="","",INDEX(Customers!$B$5:$B$504,MATCH(C180,Customers!$A$5:$A$504,0))),"")</f>
        <v/>
      </c>
      <c r="E180" s="10" t="s">
        <v>24</v>
      </c>
      <c r="F180" s="12"/>
      <c r="G180" s="12"/>
      <c r="H180" s="10"/>
      <c r="I180" s="10"/>
      <c r="J180" s="9" t="n">
        <f aca="false">IFERROR(SUMIFS(SalesOrderLines!$I$5:$I$504,SalesOrderLines!$B$5:$B$504,A180),"")</f>
        <v>0</v>
      </c>
      <c r="K180" s="9" t="n">
        <f aca="false">IFERROR(SUMIFS(SalesOrderLines!$J$5:$J$504,SalesOrderLines!$B$5:$B$504,A180),"")</f>
        <v>0</v>
      </c>
      <c r="L180" s="9" t="n">
        <f aca="false">IFERROR(J180+K180,"")</f>
        <v>0</v>
      </c>
      <c r="M180" s="9" t="n">
        <f aca="false">IFERROR(SUMIFS(Payments!$E$5:$E$504,Payments!$D$5:$D$504,A180,Payments!$C$5:$C$504,"In"),"")</f>
        <v>0</v>
      </c>
      <c r="N180" s="9" t="n">
        <f aca="false">IFERROR(L180-M180,"")</f>
        <v>0</v>
      </c>
    </row>
    <row r="181" customFormat="false" ht="15" hidden="false" customHeight="false" outlineLevel="0" collapsed="false">
      <c r="A181" s="10"/>
      <c r="B181" s="12"/>
      <c r="C181" s="10"/>
      <c r="D181" s="14" t="str">
        <f aca="false">IFERROR(IF(C181="","",INDEX(Customers!$B$5:$B$504,MATCH(C181,Customers!$A$5:$A$504,0))),"")</f>
        <v/>
      </c>
      <c r="E181" s="10" t="s">
        <v>24</v>
      </c>
      <c r="F181" s="12"/>
      <c r="G181" s="12"/>
      <c r="H181" s="10"/>
      <c r="I181" s="10"/>
      <c r="J181" s="9" t="n">
        <f aca="false">IFERROR(SUMIFS(SalesOrderLines!$I$5:$I$504,SalesOrderLines!$B$5:$B$504,A181),"")</f>
        <v>0</v>
      </c>
      <c r="K181" s="9" t="n">
        <f aca="false">IFERROR(SUMIFS(SalesOrderLines!$J$5:$J$504,SalesOrderLines!$B$5:$B$504,A181),"")</f>
        <v>0</v>
      </c>
      <c r="L181" s="9" t="n">
        <f aca="false">IFERROR(J181+K181,"")</f>
        <v>0</v>
      </c>
      <c r="M181" s="9" t="n">
        <f aca="false">IFERROR(SUMIFS(Payments!$E$5:$E$504,Payments!$D$5:$D$504,A181,Payments!$C$5:$C$504,"In"),"")</f>
        <v>0</v>
      </c>
      <c r="N181" s="9" t="n">
        <f aca="false">IFERROR(L181-M181,"")</f>
        <v>0</v>
      </c>
    </row>
    <row r="182" customFormat="false" ht="15" hidden="false" customHeight="false" outlineLevel="0" collapsed="false">
      <c r="A182" s="10"/>
      <c r="B182" s="12"/>
      <c r="C182" s="10"/>
      <c r="D182" s="14" t="str">
        <f aca="false">IFERROR(IF(C182="","",INDEX(Customers!$B$5:$B$504,MATCH(C182,Customers!$A$5:$A$504,0))),"")</f>
        <v/>
      </c>
      <c r="E182" s="10" t="s">
        <v>24</v>
      </c>
      <c r="F182" s="12"/>
      <c r="G182" s="12"/>
      <c r="H182" s="10"/>
      <c r="I182" s="10"/>
      <c r="J182" s="9" t="n">
        <f aca="false">IFERROR(SUMIFS(SalesOrderLines!$I$5:$I$504,SalesOrderLines!$B$5:$B$504,A182),"")</f>
        <v>0</v>
      </c>
      <c r="K182" s="9" t="n">
        <f aca="false">IFERROR(SUMIFS(SalesOrderLines!$J$5:$J$504,SalesOrderLines!$B$5:$B$504,A182),"")</f>
        <v>0</v>
      </c>
      <c r="L182" s="9" t="n">
        <f aca="false">IFERROR(J182+K182,"")</f>
        <v>0</v>
      </c>
      <c r="M182" s="9" t="n">
        <f aca="false">IFERROR(SUMIFS(Payments!$E$5:$E$504,Payments!$D$5:$D$504,A182,Payments!$C$5:$C$504,"In"),"")</f>
        <v>0</v>
      </c>
      <c r="N182" s="9" t="n">
        <f aca="false">IFERROR(L182-M182,"")</f>
        <v>0</v>
      </c>
    </row>
    <row r="183" customFormat="false" ht="15" hidden="false" customHeight="false" outlineLevel="0" collapsed="false">
      <c r="A183" s="10"/>
      <c r="B183" s="12"/>
      <c r="C183" s="10"/>
      <c r="D183" s="14" t="str">
        <f aca="false">IFERROR(IF(C183="","",INDEX(Customers!$B$5:$B$504,MATCH(C183,Customers!$A$5:$A$504,0))),"")</f>
        <v/>
      </c>
      <c r="E183" s="10" t="s">
        <v>24</v>
      </c>
      <c r="F183" s="12"/>
      <c r="G183" s="12"/>
      <c r="H183" s="10"/>
      <c r="I183" s="10"/>
      <c r="J183" s="9" t="n">
        <f aca="false">IFERROR(SUMIFS(SalesOrderLines!$I$5:$I$504,SalesOrderLines!$B$5:$B$504,A183),"")</f>
        <v>0</v>
      </c>
      <c r="K183" s="9" t="n">
        <f aca="false">IFERROR(SUMIFS(SalesOrderLines!$J$5:$J$504,SalesOrderLines!$B$5:$B$504,A183),"")</f>
        <v>0</v>
      </c>
      <c r="L183" s="9" t="n">
        <f aca="false">IFERROR(J183+K183,"")</f>
        <v>0</v>
      </c>
      <c r="M183" s="9" t="n">
        <f aca="false">IFERROR(SUMIFS(Payments!$E$5:$E$504,Payments!$D$5:$D$504,A183,Payments!$C$5:$C$504,"In"),"")</f>
        <v>0</v>
      </c>
      <c r="N183" s="9" t="n">
        <f aca="false">IFERROR(L183-M183,"")</f>
        <v>0</v>
      </c>
    </row>
    <row r="184" customFormat="false" ht="15" hidden="false" customHeight="false" outlineLevel="0" collapsed="false">
      <c r="A184" s="10"/>
      <c r="B184" s="12"/>
      <c r="C184" s="10"/>
      <c r="D184" s="14" t="str">
        <f aca="false">IFERROR(IF(C184="","",INDEX(Customers!$B$5:$B$504,MATCH(C184,Customers!$A$5:$A$504,0))),"")</f>
        <v/>
      </c>
      <c r="E184" s="10" t="s">
        <v>24</v>
      </c>
      <c r="F184" s="12"/>
      <c r="G184" s="12"/>
      <c r="H184" s="10"/>
      <c r="I184" s="10"/>
      <c r="J184" s="9" t="n">
        <f aca="false">IFERROR(SUMIFS(SalesOrderLines!$I$5:$I$504,SalesOrderLines!$B$5:$B$504,A184),"")</f>
        <v>0</v>
      </c>
      <c r="K184" s="9" t="n">
        <f aca="false">IFERROR(SUMIFS(SalesOrderLines!$J$5:$J$504,SalesOrderLines!$B$5:$B$504,A184),"")</f>
        <v>0</v>
      </c>
      <c r="L184" s="9" t="n">
        <f aca="false">IFERROR(J184+K184,"")</f>
        <v>0</v>
      </c>
      <c r="M184" s="9" t="n">
        <f aca="false">IFERROR(SUMIFS(Payments!$E$5:$E$504,Payments!$D$5:$D$504,A184,Payments!$C$5:$C$504,"In"),"")</f>
        <v>0</v>
      </c>
      <c r="N184" s="9" t="n">
        <f aca="false">IFERROR(L184-M184,"")</f>
        <v>0</v>
      </c>
    </row>
    <row r="185" customFormat="false" ht="15" hidden="false" customHeight="false" outlineLevel="0" collapsed="false">
      <c r="A185" s="10"/>
      <c r="B185" s="12"/>
      <c r="C185" s="10"/>
      <c r="D185" s="14" t="str">
        <f aca="false">IFERROR(IF(C185="","",INDEX(Customers!$B$5:$B$504,MATCH(C185,Customers!$A$5:$A$504,0))),"")</f>
        <v/>
      </c>
      <c r="E185" s="10" t="s">
        <v>24</v>
      </c>
      <c r="F185" s="12"/>
      <c r="G185" s="12"/>
      <c r="H185" s="10"/>
      <c r="I185" s="10"/>
      <c r="J185" s="9" t="n">
        <f aca="false">IFERROR(SUMIFS(SalesOrderLines!$I$5:$I$504,SalesOrderLines!$B$5:$B$504,A185),"")</f>
        <v>0</v>
      </c>
      <c r="K185" s="9" t="n">
        <f aca="false">IFERROR(SUMIFS(SalesOrderLines!$J$5:$J$504,SalesOrderLines!$B$5:$B$504,A185),"")</f>
        <v>0</v>
      </c>
      <c r="L185" s="9" t="n">
        <f aca="false">IFERROR(J185+K185,"")</f>
        <v>0</v>
      </c>
      <c r="M185" s="9" t="n">
        <f aca="false">IFERROR(SUMIFS(Payments!$E$5:$E$504,Payments!$D$5:$D$504,A185,Payments!$C$5:$C$504,"In"),"")</f>
        <v>0</v>
      </c>
      <c r="N185" s="9" t="n">
        <f aca="false">IFERROR(L185-M185,"")</f>
        <v>0</v>
      </c>
    </row>
    <row r="186" customFormat="false" ht="15" hidden="false" customHeight="false" outlineLevel="0" collapsed="false">
      <c r="A186" s="10"/>
      <c r="B186" s="12"/>
      <c r="C186" s="10"/>
      <c r="D186" s="14" t="str">
        <f aca="false">IFERROR(IF(C186="","",INDEX(Customers!$B$5:$B$504,MATCH(C186,Customers!$A$5:$A$504,0))),"")</f>
        <v/>
      </c>
      <c r="E186" s="10" t="s">
        <v>24</v>
      </c>
      <c r="F186" s="12"/>
      <c r="G186" s="12"/>
      <c r="H186" s="10"/>
      <c r="I186" s="10"/>
      <c r="J186" s="9" t="n">
        <f aca="false">IFERROR(SUMIFS(SalesOrderLines!$I$5:$I$504,SalesOrderLines!$B$5:$B$504,A186),"")</f>
        <v>0</v>
      </c>
      <c r="K186" s="9" t="n">
        <f aca="false">IFERROR(SUMIFS(SalesOrderLines!$J$5:$J$504,SalesOrderLines!$B$5:$B$504,A186),"")</f>
        <v>0</v>
      </c>
      <c r="L186" s="9" t="n">
        <f aca="false">IFERROR(J186+K186,"")</f>
        <v>0</v>
      </c>
      <c r="M186" s="9" t="n">
        <f aca="false">IFERROR(SUMIFS(Payments!$E$5:$E$504,Payments!$D$5:$D$504,A186,Payments!$C$5:$C$504,"In"),"")</f>
        <v>0</v>
      </c>
      <c r="N186" s="9" t="n">
        <f aca="false">IFERROR(L186-M186,"")</f>
        <v>0</v>
      </c>
    </row>
    <row r="187" customFormat="false" ht="15" hidden="false" customHeight="false" outlineLevel="0" collapsed="false">
      <c r="A187" s="10"/>
      <c r="B187" s="12"/>
      <c r="C187" s="10"/>
      <c r="D187" s="14" t="str">
        <f aca="false">IFERROR(IF(C187="","",INDEX(Customers!$B$5:$B$504,MATCH(C187,Customers!$A$5:$A$504,0))),"")</f>
        <v/>
      </c>
      <c r="E187" s="10" t="s">
        <v>24</v>
      </c>
      <c r="F187" s="12"/>
      <c r="G187" s="12"/>
      <c r="H187" s="10"/>
      <c r="I187" s="10"/>
      <c r="J187" s="9" t="n">
        <f aca="false">IFERROR(SUMIFS(SalesOrderLines!$I$5:$I$504,SalesOrderLines!$B$5:$B$504,A187),"")</f>
        <v>0</v>
      </c>
      <c r="K187" s="9" t="n">
        <f aca="false">IFERROR(SUMIFS(SalesOrderLines!$J$5:$J$504,SalesOrderLines!$B$5:$B$504,A187),"")</f>
        <v>0</v>
      </c>
      <c r="L187" s="9" t="n">
        <f aca="false">IFERROR(J187+K187,"")</f>
        <v>0</v>
      </c>
      <c r="M187" s="9" t="n">
        <f aca="false">IFERROR(SUMIFS(Payments!$E$5:$E$504,Payments!$D$5:$D$504,A187,Payments!$C$5:$C$504,"In"),"")</f>
        <v>0</v>
      </c>
      <c r="N187" s="9" t="n">
        <f aca="false">IFERROR(L187-M187,"")</f>
        <v>0</v>
      </c>
    </row>
    <row r="188" customFormat="false" ht="15" hidden="false" customHeight="false" outlineLevel="0" collapsed="false">
      <c r="A188" s="10"/>
      <c r="B188" s="12"/>
      <c r="C188" s="10"/>
      <c r="D188" s="14" t="str">
        <f aca="false">IFERROR(IF(C188="","",INDEX(Customers!$B$5:$B$504,MATCH(C188,Customers!$A$5:$A$504,0))),"")</f>
        <v/>
      </c>
      <c r="E188" s="10" t="s">
        <v>24</v>
      </c>
      <c r="F188" s="12"/>
      <c r="G188" s="12"/>
      <c r="H188" s="10"/>
      <c r="I188" s="10"/>
      <c r="J188" s="9" t="n">
        <f aca="false">IFERROR(SUMIFS(SalesOrderLines!$I$5:$I$504,SalesOrderLines!$B$5:$B$504,A188),"")</f>
        <v>0</v>
      </c>
      <c r="K188" s="9" t="n">
        <f aca="false">IFERROR(SUMIFS(SalesOrderLines!$J$5:$J$504,SalesOrderLines!$B$5:$B$504,A188),"")</f>
        <v>0</v>
      </c>
      <c r="L188" s="9" t="n">
        <f aca="false">IFERROR(J188+K188,"")</f>
        <v>0</v>
      </c>
      <c r="M188" s="9" t="n">
        <f aca="false">IFERROR(SUMIFS(Payments!$E$5:$E$504,Payments!$D$5:$D$504,A188,Payments!$C$5:$C$504,"In"),"")</f>
        <v>0</v>
      </c>
      <c r="N188" s="9" t="n">
        <f aca="false">IFERROR(L188-M188,"")</f>
        <v>0</v>
      </c>
    </row>
    <row r="189" customFormat="false" ht="15" hidden="false" customHeight="false" outlineLevel="0" collapsed="false">
      <c r="A189" s="10"/>
      <c r="B189" s="12"/>
      <c r="C189" s="10"/>
      <c r="D189" s="14" t="str">
        <f aca="false">IFERROR(IF(C189="","",INDEX(Customers!$B$5:$B$504,MATCH(C189,Customers!$A$5:$A$504,0))),"")</f>
        <v/>
      </c>
      <c r="E189" s="10" t="s">
        <v>24</v>
      </c>
      <c r="F189" s="12"/>
      <c r="G189" s="12"/>
      <c r="H189" s="10"/>
      <c r="I189" s="10"/>
      <c r="J189" s="9" t="n">
        <f aca="false">IFERROR(SUMIFS(SalesOrderLines!$I$5:$I$504,SalesOrderLines!$B$5:$B$504,A189),"")</f>
        <v>0</v>
      </c>
      <c r="K189" s="9" t="n">
        <f aca="false">IFERROR(SUMIFS(SalesOrderLines!$J$5:$J$504,SalesOrderLines!$B$5:$B$504,A189),"")</f>
        <v>0</v>
      </c>
      <c r="L189" s="9" t="n">
        <f aca="false">IFERROR(J189+K189,"")</f>
        <v>0</v>
      </c>
      <c r="M189" s="9" t="n">
        <f aca="false">IFERROR(SUMIFS(Payments!$E$5:$E$504,Payments!$D$5:$D$504,A189,Payments!$C$5:$C$504,"In"),"")</f>
        <v>0</v>
      </c>
      <c r="N189" s="9" t="n">
        <f aca="false">IFERROR(L189-M189,"")</f>
        <v>0</v>
      </c>
    </row>
    <row r="190" customFormat="false" ht="15" hidden="false" customHeight="false" outlineLevel="0" collapsed="false">
      <c r="A190" s="10"/>
      <c r="B190" s="12"/>
      <c r="C190" s="10"/>
      <c r="D190" s="14" t="str">
        <f aca="false">IFERROR(IF(C190="","",INDEX(Customers!$B$5:$B$504,MATCH(C190,Customers!$A$5:$A$504,0))),"")</f>
        <v/>
      </c>
      <c r="E190" s="10" t="s">
        <v>24</v>
      </c>
      <c r="F190" s="12"/>
      <c r="G190" s="12"/>
      <c r="H190" s="10"/>
      <c r="I190" s="10"/>
      <c r="J190" s="9" t="n">
        <f aca="false">IFERROR(SUMIFS(SalesOrderLines!$I$5:$I$504,SalesOrderLines!$B$5:$B$504,A190),"")</f>
        <v>0</v>
      </c>
      <c r="K190" s="9" t="n">
        <f aca="false">IFERROR(SUMIFS(SalesOrderLines!$J$5:$J$504,SalesOrderLines!$B$5:$B$504,A190),"")</f>
        <v>0</v>
      </c>
      <c r="L190" s="9" t="n">
        <f aca="false">IFERROR(J190+K190,"")</f>
        <v>0</v>
      </c>
      <c r="M190" s="9" t="n">
        <f aca="false">IFERROR(SUMIFS(Payments!$E$5:$E$504,Payments!$D$5:$D$504,A190,Payments!$C$5:$C$504,"In"),"")</f>
        <v>0</v>
      </c>
      <c r="N190" s="9" t="n">
        <f aca="false">IFERROR(L190-M190,"")</f>
        <v>0</v>
      </c>
    </row>
    <row r="191" customFormat="false" ht="15" hidden="false" customHeight="false" outlineLevel="0" collapsed="false">
      <c r="A191" s="10"/>
      <c r="B191" s="12"/>
      <c r="C191" s="10"/>
      <c r="D191" s="14" t="str">
        <f aca="false">IFERROR(IF(C191="","",INDEX(Customers!$B$5:$B$504,MATCH(C191,Customers!$A$5:$A$504,0))),"")</f>
        <v/>
      </c>
      <c r="E191" s="10" t="s">
        <v>24</v>
      </c>
      <c r="F191" s="12"/>
      <c r="G191" s="12"/>
      <c r="H191" s="10"/>
      <c r="I191" s="10"/>
      <c r="J191" s="9" t="n">
        <f aca="false">IFERROR(SUMIFS(SalesOrderLines!$I$5:$I$504,SalesOrderLines!$B$5:$B$504,A191),"")</f>
        <v>0</v>
      </c>
      <c r="K191" s="9" t="n">
        <f aca="false">IFERROR(SUMIFS(SalesOrderLines!$J$5:$J$504,SalesOrderLines!$B$5:$B$504,A191),"")</f>
        <v>0</v>
      </c>
      <c r="L191" s="9" t="n">
        <f aca="false">IFERROR(J191+K191,"")</f>
        <v>0</v>
      </c>
      <c r="M191" s="9" t="n">
        <f aca="false">IFERROR(SUMIFS(Payments!$E$5:$E$504,Payments!$D$5:$D$504,A191,Payments!$C$5:$C$504,"In"),"")</f>
        <v>0</v>
      </c>
      <c r="N191" s="9" t="n">
        <f aca="false">IFERROR(L191-M191,"")</f>
        <v>0</v>
      </c>
    </row>
    <row r="192" customFormat="false" ht="15" hidden="false" customHeight="false" outlineLevel="0" collapsed="false">
      <c r="A192" s="10"/>
      <c r="B192" s="12"/>
      <c r="C192" s="10"/>
      <c r="D192" s="14" t="str">
        <f aca="false">IFERROR(IF(C192="","",INDEX(Customers!$B$5:$B$504,MATCH(C192,Customers!$A$5:$A$504,0))),"")</f>
        <v/>
      </c>
      <c r="E192" s="10" t="s">
        <v>24</v>
      </c>
      <c r="F192" s="12"/>
      <c r="G192" s="12"/>
      <c r="H192" s="10"/>
      <c r="I192" s="10"/>
      <c r="J192" s="9" t="n">
        <f aca="false">IFERROR(SUMIFS(SalesOrderLines!$I$5:$I$504,SalesOrderLines!$B$5:$B$504,A192),"")</f>
        <v>0</v>
      </c>
      <c r="K192" s="9" t="n">
        <f aca="false">IFERROR(SUMIFS(SalesOrderLines!$J$5:$J$504,SalesOrderLines!$B$5:$B$504,A192),"")</f>
        <v>0</v>
      </c>
      <c r="L192" s="9" t="n">
        <f aca="false">IFERROR(J192+K192,"")</f>
        <v>0</v>
      </c>
      <c r="M192" s="9" t="n">
        <f aca="false">IFERROR(SUMIFS(Payments!$E$5:$E$504,Payments!$D$5:$D$504,A192,Payments!$C$5:$C$504,"In"),"")</f>
        <v>0</v>
      </c>
      <c r="N192" s="9" t="n">
        <f aca="false">IFERROR(L192-M192,"")</f>
        <v>0</v>
      </c>
    </row>
    <row r="193" customFormat="false" ht="15" hidden="false" customHeight="false" outlineLevel="0" collapsed="false">
      <c r="A193" s="10"/>
      <c r="B193" s="12"/>
      <c r="C193" s="10"/>
      <c r="D193" s="14" t="str">
        <f aca="false">IFERROR(IF(C193="","",INDEX(Customers!$B$5:$B$504,MATCH(C193,Customers!$A$5:$A$504,0))),"")</f>
        <v/>
      </c>
      <c r="E193" s="10" t="s">
        <v>24</v>
      </c>
      <c r="F193" s="12"/>
      <c r="G193" s="12"/>
      <c r="H193" s="10"/>
      <c r="I193" s="10"/>
      <c r="J193" s="9" t="n">
        <f aca="false">IFERROR(SUMIFS(SalesOrderLines!$I$5:$I$504,SalesOrderLines!$B$5:$B$504,A193),"")</f>
        <v>0</v>
      </c>
      <c r="K193" s="9" t="n">
        <f aca="false">IFERROR(SUMIFS(SalesOrderLines!$J$5:$J$504,SalesOrderLines!$B$5:$B$504,A193),"")</f>
        <v>0</v>
      </c>
      <c r="L193" s="9" t="n">
        <f aca="false">IFERROR(J193+K193,"")</f>
        <v>0</v>
      </c>
      <c r="M193" s="9" t="n">
        <f aca="false">IFERROR(SUMIFS(Payments!$E$5:$E$504,Payments!$D$5:$D$504,A193,Payments!$C$5:$C$504,"In"),"")</f>
        <v>0</v>
      </c>
      <c r="N193" s="9" t="n">
        <f aca="false">IFERROR(L193-M193,"")</f>
        <v>0</v>
      </c>
    </row>
    <row r="194" customFormat="false" ht="15" hidden="false" customHeight="false" outlineLevel="0" collapsed="false">
      <c r="A194" s="10"/>
      <c r="B194" s="12"/>
      <c r="C194" s="10"/>
      <c r="D194" s="14" t="str">
        <f aca="false">IFERROR(IF(C194="","",INDEX(Customers!$B$5:$B$504,MATCH(C194,Customers!$A$5:$A$504,0))),"")</f>
        <v/>
      </c>
      <c r="E194" s="10" t="s">
        <v>24</v>
      </c>
      <c r="F194" s="12"/>
      <c r="G194" s="12"/>
      <c r="H194" s="10"/>
      <c r="I194" s="10"/>
      <c r="J194" s="9" t="n">
        <f aca="false">IFERROR(SUMIFS(SalesOrderLines!$I$5:$I$504,SalesOrderLines!$B$5:$B$504,A194),"")</f>
        <v>0</v>
      </c>
      <c r="K194" s="9" t="n">
        <f aca="false">IFERROR(SUMIFS(SalesOrderLines!$J$5:$J$504,SalesOrderLines!$B$5:$B$504,A194),"")</f>
        <v>0</v>
      </c>
      <c r="L194" s="9" t="n">
        <f aca="false">IFERROR(J194+K194,"")</f>
        <v>0</v>
      </c>
      <c r="M194" s="9" t="n">
        <f aca="false">IFERROR(SUMIFS(Payments!$E$5:$E$504,Payments!$D$5:$D$504,A194,Payments!$C$5:$C$504,"In"),"")</f>
        <v>0</v>
      </c>
      <c r="N194" s="9" t="n">
        <f aca="false">IFERROR(L194-M194,"")</f>
        <v>0</v>
      </c>
    </row>
    <row r="195" customFormat="false" ht="15" hidden="false" customHeight="false" outlineLevel="0" collapsed="false">
      <c r="A195" s="10"/>
      <c r="B195" s="12"/>
      <c r="C195" s="10"/>
      <c r="D195" s="14" t="str">
        <f aca="false">IFERROR(IF(C195="","",INDEX(Customers!$B$5:$B$504,MATCH(C195,Customers!$A$5:$A$504,0))),"")</f>
        <v/>
      </c>
      <c r="E195" s="10" t="s">
        <v>24</v>
      </c>
      <c r="F195" s="12"/>
      <c r="G195" s="12"/>
      <c r="H195" s="10"/>
      <c r="I195" s="10"/>
      <c r="J195" s="9" t="n">
        <f aca="false">IFERROR(SUMIFS(SalesOrderLines!$I$5:$I$504,SalesOrderLines!$B$5:$B$504,A195),"")</f>
        <v>0</v>
      </c>
      <c r="K195" s="9" t="n">
        <f aca="false">IFERROR(SUMIFS(SalesOrderLines!$J$5:$J$504,SalesOrderLines!$B$5:$B$504,A195),"")</f>
        <v>0</v>
      </c>
      <c r="L195" s="9" t="n">
        <f aca="false">IFERROR(J195+K195,"")</f>
        <v>0</v>
      </c>
      <c r="M195" s="9" t="n">
        <f aca="false">IFERROR(SUMIFS(Payments!$E$5:$E$504,Payments!$D$5:$D$504,A195,Payments!$C$5:$C$504,"In"),"")</f>
        <v>0</v>
      </c>
      <c r="N195" s="9" t="n">
        <f aca="false">IFERROR(L195-M195,"")</f>
        <v>0</v>
      </c>
    </row>
    <row r="196" customFormat="false" ht="15" hidden="false" customHeight="false" outlineLevel="0" collapsed="false">
      <c r="A196" s="10"/>
      <c r="B196" s="12"/>
      <c r="C196" s="10"/>
      <c r="D196" s="14" t="str">
        <f aca="false">IFERROR(IF(C196="","",INDEX(Customers!$B$5:$B$504,MATCH(C196,Customers!$A$5:$A$504,0))),"")</f>
        <v/>
      </c>
      <c r="E196" s="10" t="s">
        <v>24</v>
      </c>
      <c r="F196" s="12"/>
      <c r="G196" s="12"/>
      <c r="H196" s="10"/>
      <c r="I196" s="10"/>
      <c r="J196" s="9" t="n">
        <f aca="false">IFERROR(SUMIFS(SalesOrderLines!$I$5:$I$504,SalesOrderLines!$B$5:$B$504,A196),"")</f>
        <v>0</v>
      </c>
      <c r="K196" s="9" t="n">
        <f aca="false">IFERROR(SUMIFS(SalesOrderLines!$J$5:$J$504,SalesOrderLines!$B$5:$B$504,A196),"")</f>
        <v>0</v>
      </c>
      <c r="L196" s="9" t="n">
        <f aca="false">IFERROR(J196+K196,"")</f>
        <v>0</v>
      </c>
      <c r="M196" s="9" t="n">
        <f aca="false">IFERROR(SUMIFS(Payments!$E$5:$E$504,Payments!$D$5:$D$504,A196,Payments!$C$5:$C$504,"In"),"")</f>
        <v>0</v>
      </c>
      <c r="N196" s="9" t="n">
        <f aca="false">IFERROR(L196-M196,"")</f>
        <v>0</v>
      </c>
    </row>
    <row r="197" customFormat="false" ht="15" hidden="false" customHeight="false" outlineLevel="0" collapsed="false">
      <c r="A197" s="10"/>
      <c r="B197" s="12"/>
      <c r="C197" s="10"/>
      <c r="D197" s="14" t="str">
        <f aca="false">IFERROR(IF(C197="","",INDEX(Customers!$B$5:$B$504,MATCH(C197,Customers!$A$5:$A$504,0))),"")</f>
        <v/>
      </c>
      <c r="E197" s="10" t="s">
        <v>24</v>
      </c>
      <c r="F197" s="12"/>
      <c r="G197" s="12"/>
      <c r="H197" s="10"/>
      <c r="I197" s="10"/>
      <c r="J197" s="9" t="n">
        <f aca="false">IFERROR(SUMIFS(SalesOrderLines!$I$5:$I$504,SalesOrderLines!$B$5:$B$504,A197),"")</f>
        <v>0</v>
      </c>
      <c r="K197" s="9" t="n">
        <f aca="false">IFERROR(SUMIFS(SalesOrderLines!$J$5:$J$504,SalesOrderLines!$B$5:$B$504,A197),"")</f>
        <v>0</v>
      </c>
      <c r="L197" s="9" t="n">
        <f aca="false">IFERROR(J197+K197,"")</f>
        <v>0</v>
      </c>
      <c r="M197" s="9" t="n">
        <f aca="false">IFERROR(SUMIFS(Payments!$E$5:$E$504,Payments!$D$5:$D$504,A197,Payments!$C$5:$C$504,"In"),"")</f>
        <v>0</v>
      </c>
      <c r="N197" s="9" t="n">
        <f aca="false">IFERROR(L197-M197,"")</f>
        <v>0</v>
      </c>
    </row>
    <row r="198" customFormat="false" ht="15" hidden="false" customHeight="false" outlineLevel="0" collapsed="false">
      <c r="A198" s="10"/>
      <c r="B198" s="12"/>
      <c r="C198" s="10"/>
      <c r="D198" s="14" t="str">
        <f aca="false">IFERROR(IF(C198="","",INDEX(Customers!$B$5:$B$504,MATCH(C198,Customers!$A$5:$A$504,0))),"")</f>
        <v/>
      </c>
      <c r="E198" s="10" t="s">
        <v>24</v>
      </c>
      <c r="F198" s="12"/>
      <c r="G198" s="12"/>
      <c r="H198" s="10"/>
      <c r="I198" s="10"/>
      <c r="J198" s="9" t="n">
        <f aca="false">IFERROR(SUMIFS(SalesOrderLines!$I$5:$I$504,SalesOrderLines!$B$5:$B$504,A198),"")</f>
        <v>0</v>
      </c>
      <c r="K198" s="9" t="n">
        <f aca="false">IFERROR(SUMIFS(SalesOrderLines!$J$5:$J$504,SalesOrderLines!$B$5:$B$504,A198),"")</f>
        <v>0</v>
      </c>
      <c r="L198" s="9" t="n">
        <f aca="false">IFERROR(J198+K198,"")</f>
        <v>0</v>
      </c>
      <c r="M198" s="9" t="n">
        <f aca="false">IFERROR(SUMIFS(Payments!$E$5:$E$504,Payments!$D$5:$D$504,A198,Payments!$C$5:$C$504,"In"),"")</f>
        <v>0</v>
      </c>
      <c r="N198" s="9" t="n">
        <f aca="false">IFERROR(L198-M198,"")</f>
        <v>0</v>
      </c>
    </row>
    <row r="199" customFormat="false" ht="15" hidden="false" customHeight="false" outlineLevel="0" collapsed="false">
      <c r="A199" s="10"/>
      <c r="B199" s="12"/>
      <c r="C199" s="10"/>
      <c r="D199" s="14" t="str">
        <f aca="false">IFERROR(IF(C199="","",INDEX(Customers!$B$5:$B$504,MATCH(C199,Customers!$A$5:$A$504,0))),"")</f>
        <v/>
      </c>
      <c r="E199" s="10" t="s">
        <v>24</v>
      </c>
      <c r="F199" s="12"/>
      <c r="G199" s="12"/>
      <c r="H199" s="10"/>
      <c r="I199" s="10"/>
      <c r="J199" s="9" t="n">
        <f aca="false">IFERROR(SUMIFS(SalesOrderLines!$I$5:$I$504,SalesOrderLines!$B$5:$B$504,A199),"")</f>
        <v>0</v>
      </c>
      <c r="K199" s="9" t="n">
        <f aca="false">IFERROR(SUMIFS(SalesOrderLines!$J$5:$J$504,SalesOrderLines!$B$5:$B$504,A199),"")</f>
        <v>0</v>
      </c>
      <c r="L199" s="9" t="n">
        <f aca="false">IFERROR(J199+K199,"")</f>
        <v>0</v>
      </c>
      <c r="M199" s="9" t="n">
        <f aca="false">IFERROR(SUMIFS(Payments!$E$5:$E$504,Payments!$D$5:$D$504,A199,Payments!$C$5:$C$504,"In"),"")</f>
        <v>0</v>
      </c>
      <c r="N199" s="9" t="n">
        <f aca="false">IFERROR(L199-M199,"")</f>
        <v>0</v>
      </c>
    </row>
    <row r="200" customFormat="false" ht="15" hidden="false" customHeight="false" outlineLevel="0" collapsed="false">
      <c r="A200" s="10"/>
      <c r="B200" s="12"/>
      <c r="C200" s="10"/>
      <c r="D200" s="14" t="str">
        <f aca="false">IFERROR(IF(C200="","",INDEX(Customers!$B$5:$B$504,MATCH(C200,Customers!$A$5:$A$504,0))),"")</f>
        <v/>
      </c>
      <c r="E200" s="10" t="s">
        <v>24</v>
      </c>
      <c r="F200" s="12"/>
      <c r="G200" s="12"/>
      <c r="H200" s="10"/>
      <c r="I200" s="10"/>
      <c r="J200" s="9" t="n">
        <f aca="false">IFERROR(SUMIFS(SalesOrderLines!$I$5:$I$504,SalesOrderLines!$B$5:$B$504,A200),"")</f>
        <v>0</v>
      </c>
      <c r="K200" s="9" t="n">
        <f aca="false">IFERROR(SUMIFS(SalesOrderLines!$J$5:$J$504,SalesOrderLines!$B$5:$B$504,A200),"")</f>
        <v>0</v>
      </c>
      <c r="L200" s="9" t="n">
        <f aca="false">IFERROR(J200+K200,"")</f>
        <v>0</v>
      </c>
      <c r="M200" s="9" t="n">
        <f aca="false">IFERROR(SUMIFS(Payments!$E$5:$E$504,Payments!$D$5:$D$504,A200,Payments!$C$5:$C$504,"In"),"")</f>
        <v>0</v>
      </c>
      <c r="N200" s="9" t="n">
        <f aca="false">IFERROR(L200-M200,"")</f>
        <v>0</v>
      </c>
    </row>
    <row r="201" customFormat="false" ht="15" hidden="false" customHeight="false" outlineLevel="0" collapsed="false">
      <c r="A201" s="10"/>
      <c r="B201" s="12"/>
      <c r="C201" s="10"/>
      <c r="D201" s="14" t="str">
        <f aca="false">IFERROR(IF(C201="","",INDEX(Customers!$B$5:$B$504,MATCH(C201,Customers!$A$5:$A$504,0))),"")</f>
        <v/>
      </c>
      <c r="E201" s="10" t="s">
        <v>24</v>
      </c>
      <c r="F201" s="12"/>
      <c r="G201" s="12"/>
      <c r="H201" s="10"/>
      <c r="I201" s="10"/>
      <c r="J201" s="9" t="n">
        <f aca="false">IFERROR(SUMIFS(SalesOrderLines!$I$5:$I$504,SalesOrderLines!$B$5:$B$504,A201),"")</f>
        <v>0</v>
      </c>
      <c r="K201" s="9" t="n">
        <f aca="false">IFERROR(SUMIFS(SalesOrderLines!$J$5:$J$504,SalesOrderLines!$B$5:$B$504,A201),"")</f>
        <v>0</v>
      </c>
      <c r="L201" s="9" t="n">
        <f aca="false">IFERROR(J201+K201,"")</f>
        <v>0</v>
      </c>
      <c r="M201" s="9" t="n">
        <f aca="false">IFERROR(SUMIFS(Payments!$E$5:$E$504,Payments!$D$5:$D$504,A201,Payments!$C$5:$C$504,"In"),"")</f>
        <v>0</v>
      </c>
      <c r="N201" s="9" t="n">
        <f aca="false">IFERROR(L201-M201,"")</f>
        <v>0</v>
      </c>
    </row>
    <row r="202" customFormat="false" ht="15" hidden="false" customHeight="false" outlineLevel="0" collapsed="false">
      <c r="A202" s="10"/>
      <c r="B202" s="12"/>
      <c r="C202" s="10"/>
      <c r="D202" s="14" t="str">
        <f aca="false">IFERROR(IF(C202="","",INDEX(Customers!$B$5:$B$504,MATCH(C202,Customers!$A$5:$A$504,0))),"")</f>
        <v/>
      </c>
      <c r="E202" s="10" t="s">
        <v>24</v>
      </c>
      <c r="F202" s="12"/>
      <c r="G202" s="12"/>
      <c r="H202" s="10"/>
      <c r="I202" s="10"/>
      <c r="J202" s="9" t="n">
        <f aca="false">IFERROR(SUMIFS(SalesOrderLines!$I$5:$I$504,SalesOrderLines!$B$5:$B$504,A202),"")</f>
        <v>0</v>
      </c>
      <c r="K202" s="9" t="n">
        <f aca="false">IFERROR(SUMIFS(SalesOrderLines!$J$5:$J$504,SalesOrderLines!$B$5:$B$504,A202),"")</f>
        <v>0</v>
      </c>
      <c r="L202" s="9" t="n">
        <f aca="false">IFERROR(J202+K202,"")</f>
        <v>0</v>
      </c>
      <c r="M202" s="9" t="n">
        <f aca="false">IFERROR(SUMIFS(Payments!$E$5:$E$504,Payments!$D$5:$D$504,A202,Payments!$C$5:$C$504,"In"),"")</f>
        <v>0</v>
      </c>
      <c r="N202" s="9" t="n">
        <f aca="false">IFERROR(L202-M202,"")</f>
        <v>0</v>
      </c>
    </row>
    <row r="203" customFormat="false" ht="15" hidden="false" customHeight="false" outlineLevel="0" collapsed="false">
      <c r="A203" s="10"/>
      <c r="B203" s="12"/>
      <c r="C203" s="10"/>
      <c r="D203" s="14" t="str">
        <f aca="false">IFERROR(IF(C203="","",INDEX(Customers!$B$5:$B$504,MATCH(C203,Customers!$A$5:$A$504,0))),"")</f>
        <v/>
      </c>
      <c r="E203" s="10" t="s">
        <v>24</v>
      </c>
      <c r="F203" s="12"/>
      <c r="G203" s="12"/>
      <c r="H203" s="10"/>
      <c r="I203" s="10"/>
      <c r="J203" s="9" t="n">
        <f aca="false">IFERROR(SUMIFS(SalesOrderLines!$I$5:$I$504,SalesOrderLines!$B$5:$B$504,A203),"")</f>
        <v>0</v>
      </c>
      <c r="K203" s="9" t="n">
        <f aca="false">IFERROR(SUMIFS(SalesOrderLines!$J$5:$J$504,SalesOrderLines!$B$5:$B$504,A203),"")</f>
        <v>0</v>
      </c>
      <c r="L203" s="9" t="n">
        <f aca="false">IFERROR(J203+K203,"")</f>
        <v>0</v>
      </c>
      <c r="M203" s="9" t="n">
        <f aca="false">IFERROR(SUMIFS(Payments!$E$5:$E$504,Payments!$D$5:$D$504,A203,Payments!$C$5:$C$504,"In"),"")</f>
        <v>0</v>
      </c>
      <c r="N203" s="9" t="n">
        <f aca="false">IFERROR(L203-M203,"")</f>
        <v>0</v>
      </c>
    </row>
    <row r="204" customFormat="false" ht="15" hidden="false" customHeight="false" outlineLevel="0" collapsed="false">
      <c r="A204" s="10"/>
      <c r="B204" s="12"/>
      <c r="C204" s="10"/>
      <c r="D204" s="14" t="str">
        <f aca="false">IFERROR(IF(C204="","",INDEX(Customers!$B$5:$B$504,MATCH(C204,Customers!$A$5:$A$504,0))),"")</f>
        <v/>
      </c>
      <c r="E204" s="10" t="s">
        <v>24</v>
      </c>
      <c r="F204" s="12"/>
      <c r="G204" s="12"/>
      <c r="H204" s="10"/>
      <c r="I204" s="10"/>
      <c r="J204" s="9" t="n">
        <f aca="false">IFERROR(SUMIFS(SalesOrderLines!$I$5:$I$504,SalesOrderLines!$B$5:$B$504,A204),"")</f>
        <v>0</v>
      </c>
      <c r="K204" s="9" t="n">
        <f aca="false">IFERROR(SUMIFS(SalesOrderLines!$J$5:$J$504,SalesOrderLines!$B$5:$B$504,A204),"")</f>
        <v>0</v>
      </c>
      <c r="L204" s="9" t="n">
        <f aca="false">IFERROR(J204+K204,"")</f>
        <v>0</v>
      </c>
      <c r="M204" s="9" t="n">
        <f aca="false">IFERROR(SUMIFS(Payments!$E$5:$E$504,Payments!$D$5:$D$504,A204,Payments!$C$5:$C$504,"In"),"")</f>
        <v>0</v>
      </c>
      <c r="N204" s="9" t="n">
        <f aca="false">IFERROR(L204-M204,"")</f>
        <v>0</v>
      </c>
    </row>
    <row r="205" customFormat="false" ht="15" hidden="false" customHeight="false" outlineLevel="0" collapsed="false">
      <c r="A205" s="10"/>
      <c r="B205" s="12"/>
      <c r="C205" s="10"/>
      <c r="D205" s="14" t="str">
        <f aca="false">IFERROR(IF(C205="","",INDEX(Customers!$B$5:$B$504,MATCH(C205,Customers!$A$5:$A$504,0))),"")</f>
        <v/>
      </c>
      <c r="E205" s="10" t="s">
        <v>24</v>
      </c>
      <c r="F205" s="12"/>
      <c r="G205" s="12"/>
      <c r="H205" s="10"/>
      <c r="I205" s="10"/>
      <c r="J205" s="9" t="n">
        <f aca="false">IFERROR(SUMIFS(SalesOrderLines!$I$5:$I$504,SalesOrderLines!$B$5:$B$504,A205),"")</f>
        <v>0</v>
      </c>
      <c r="K205" s="9" t="n">
        <f aca="false">IFERROR(SUMIFS(SalesOrderLines!$J$5:$J$504,SalesOrderLines!$B$5:$B$504,A205),"")</f>
        <v>0</v>
      </c>
      <c r="L205" s="9" t="n">
        <f aca="false">IFERROR(J205+K205,"")</f>
        <v>0</v>
      </c>
      <c r="M205" s="9" t="n">
        <f aca="false">IFERROR(SUMIFS(Payments!$E$5:$E$504,Payments!$D$5:$D$504,A205,Payments!$C$5:$C$504,"In"),"")</f>
        <v>0</v>
      </c>
      <c r="N205" s="9" t="n">
        <f aca="false">IFERROR(L205-M205,"")</f>
        <v>0</v>
      </c>
    </row>
    <row r="206" customFormat="false" ht="15" hidden="false" customHeight="false" outlineLevel="0" collapsed="false">
      <c r="A206" s="10"/>
      <c r="B206" s="12"/>
      <c r="C206" s="10"/>
      <c r="D206" s="14" t="str">
        <f aca="false">IFERROR(IF(C206="","",INDEX(Customers!$B$5:$B$504,MATCH(C206,Customers!$A$5:$A$504,0))),"")</f>
        <v/>
      </c>
      <c r="E206" s="10" t="s">
        <v>24</v>
      </c>
      <c r="F206" s="12"/>
      <c r="G206" s="12"/>
      <c r="H206" s="10"/>
      <c r="I206" s="10"/>
      <c r="J206" s="9" t="n">
        <f aca="false">IFERROR(SUMIFS(SalesOrderLines!$I$5:$I$504,SalesOrderLines!$B$5:$B$504,A206),"")</f>
        <v>0</v>
      </c>
      <c r="K206" s="9" t="n">
        <f aca="false">IFERROR(SUMIFS(SalesOrderLines!$J$5:$J$504,SalesOrderLines!$B$5:$B$504,A206),"")</f>
        <v>0</v>
      </c>
      <c r="L206" s="9" t="n">
        <f aca="false">IFERROR(J206+K206,"")</f>
        <v>0</v>
      </c>
      <c r="M206" s="9" t="n">
        <f aca="false">IFERROR(SUMIFS(Payments!$E$5:$E$504,Payments!$D$5:$D$504,A206,Payments!$C$5:$C$504,"In"),"")</f>
        <v>0</v>
      </c>
      <c r="N206" s="9" t="n">
        <f aca="false">IFERROR(L206-M206,"")</f>
        <v>0</v>
      </c>
    </row>
    <row r="207" customFormat="false" ht="15" hidden="false" customHeight="false" outlineLevel="0" collapsed="false">
      <c r="A207" s="10"/>
      <c r="B207" s="12"/>
      <c r="C207" s="10"/>
      <c r="D207" s="14" t="str">
        <f aca="false">IFERROR(IF(C207="","",INDEX(Customers!$B$5:$B$504,MATCH(C207,Customers!$A$5:$A$504,0))),"")</f>
        <v/>
      </c>
      <c r="E207" s="10" t="s">
        <v>24</v>
      </c>
      <c r="F207" s="12"/>
      <c r="G207" s="12"/>
      <c r="H207" s="10"/>
      <c r="I207" s="10"/>
      <c r="J207" s="9" t="n">
        <f aca="false">IFERROR(SUMIFS(SalesOrderLines!$I$5:$I$504,SalesOrderLines!$B$5:$B$504,A207),"")</f>
        <v>0</v>
      </c>
      <c r="K207" s="9" t="n">
        <f aca="false">IFERROR(SUMIFS(SalesOrderLines!$J$5:$J$504,SalesOrderLines!$B$5:$B$504,A207),"")</f>
        <v>0</v>
      </c>
      <c r="L207" s="9" t="n">
        <f aca="false">IFERROR(J207+K207,"")</f>
        <v>0</v>
      </c>
      <c r="M207" s="9" t="n">
        <f aca="false">IFERROR(SUMIFS(Payments!$E$5:$E$504,Payments!$D$5:$D$504,A207,Payments!$C$5:$C$504,"In"),"")</f>
        <v>0</v>
      </c>
      <c r="N207" s="9" t="n">
        <f aca="false">IFERROR(L207-M207,"")</f>
        <v>0</v>
      </c>
    </row>
    <row r="208" customFormat="false" ht="15" hidden="false" customHeight="false" outlineLevel="0" collapsed="false">
      <c r="A208" s="10"/>
      <c r="B208" s="12"/>
      <c r="C208" s="10"/>
      <c r="D208" s="14" t="str">
        <f aca="false">IFERROR(IF(C208="","",INDEX(Customers!$B$5:$B$504,MATCH(C208,Customers!$A$5:$A$504,0))),"")</f>
        <v/>
      </c>
      <c r="E208" s="10" t="s">
        <v>24</v>
      </c>
      <c r="F208" s="12"/>
      <c r="G208" s="12"/>
      <c r="H208" s="10"/>
      <c r="I208" s="10"/>
      <c r="J208" s="9" t="n">
        <f aca="false">IFERROR(SUMIFS(SalesOrderLines!$I$5:$I$504,SalesOrderLines!$B$5:$B$504,A208),"")</f>
        <v>0</v>
      </c>
      <c r="K208" s="9" t="n">
        <f aca="false">IFERROR(SUMIFS(SalesOrderLines!$J$5:$J$504,SalesOrderLines!$B$5:$B$504,A208),"")</f>
        <v>0</v>
      </c>
      <c r="L208" s="9" t="n">
        <f aca="false">IFERROR(J208+K208,"")</f>
        <v>0</v>
      </c>
      <c r="M208" s="9" t="n">
        <f aca="false">IFERROR(SUMIFS(Payments!$E$5:$E$504,Payments!$D$5:$D$504,A208,Payments!$C$5:$C$504,"In"),"")</f>
        <v>0</v>
      </c>
      <c r="N208" s="9" t="n">
        <f aca="false">IFERROR(L208-M208,"")</f>
        <v>0</v>
      </c>
    </row>
    <row r="209" customFormat="false" ht="15" hidden="false" customHeight="false" outlineLevel="0" collapsed="false">
      <c r="A209" s="10"/>
      <c r="B209" s="12"/>
      <c r="C209" s="10"/>
      <c r="D209" s="14" t="str">
        <f aca="false">IFERROR(IF(C209="","",INDEX(Customers!$B$5:$B$504,MATCH(C209,Customers!$A$5:$A$504,0))),"")</f>
        <v/>
      </c>
      <c r="E209" s="10" t="s">
        <v>24</v>
      </c>
      <c r="F209" s="12"/>
      <c r="G209" s="12"/>
      <c r="H209" s="10"/>
      <c r="I209" s="10"/>
      <c r="J209" s="9" t="n">
        <f aca="false">IFERROR(SUMIFS(SalesOrderLines!$I$5:$I$504,SalesOrderLines!$B$5:$B$504,A209),"")</f>
        <v>0</v>
      </c>
      <c r="K209" s="9" t="n">
        <f aca="false">IFERROR(SUMIFS(SalesOrderLines!$J$5:$J$504,SalesOrderLines!$B$5:$B$504,A209),"")</f>
        <v>0</v>
      </c>
      <c r="L209" s="9" t="n">
        <f aca="false">IFERROR(J209+K209,"")</f>
        <v>0</v>
      </c>
      <c r="M209" s="9" t="n">
        <f aca="false">IFERROR(SUMIFS(Payments!$E$5:$E$504,Payments!$D$5:$D$504,A209,Payments!$C$5:$C$504,"In"),"")</f>
        <v>0</v>
      </c>
      <c r="N209" s="9" t="n">
        <f aca="false">IFERROR(L209-M209,"")</f>
        <v>0</v>
      </c>
    </row>
    <row r="210" customFormat="false" ht="15" hidden="false" customHeight="false" outlineLevel="0" collapsed="false">
      <c r="A210" s="10"/>
      <c r="B210" s="12"/>
      <c r="C210" s="10"/>
      <c r="D210" s="14" t="str">
        <f aca="false">IFERROR(IF(C210="","",INDEX(Customers!$B$5:$B$504,MATCH(C210,Customers!$A$5:$A$504,0))),"")</f>
        <v/>
      </c>
      <c r="E210" s="10" t="s">
        <v>24</v>
      </c>
      <c r="F210" s="12"/>
      <c r="G210" s="12"/>
      <c r="H210" s="10"/>
      <c r="I210" s="10"/>
      <c r="J210" s="9" t="n">
        <f aca="false">IFERROR(SUMIFS(SalesOrderLines!$I$5:$I$504,SalesOrderLines!$B$5:$B$504,A210),"")</f>
        <v>0</v>
      </c>
      <c r="K210" s="9" t="n">
        <f aca="false">IFERROR(SUMIFS(SalesOrderLines!$J$5:$J$504,SalesOrderLines!$B$5:$B$504,A210),"")</f>
        <v>0</v>
      </c>
      <c r="L210" s="9" t="n">
        <f aca="false">IFERROR(J210+K210,"")</f>
        <v>0</v>
      </c>
      <c r="M210" s="9" t="n">
        <f aca="false">IFERROR(SUMIFS(Payments!$E$5:$E$504,Payments!$D$5:$D$504,A210,Payments!$C$5:$C$504,"In"),"")</f>
        <v>0</v>
      </c>
      <c r="N210" s="9" t="n">
        <f aca="false">IFERROR(L210-M210,"")</f>
        <v>0</v>
      </c>
    </row>
    <row r="211" customFormat="false" ht="15" hidden="false" customHeight="false" outlineLevel="0" collapsed="false">
      <c r="A211" s="10"/>
      <c r="B211" s="12"/>
      <c r="C211" s="10"/>
      <c r="D211" s="14" t="str">
        <f aca="false">IFERROR(IF(C211="","",INDEX(Customers!$B$5:$B$504,MATCH(C211,Customers!$A$5:$A$504,0))),"")</f>
        <v/>
      </c>
      <c r="E211" s="10" t="s">
        <v>24</v>
      </c>
      <c r="F211" s="12"/>
      <c r="G211" s="12"/>
      <c r="H211" s="10"/>
      <c r="I211" s="10"/>
      <c r="J211" s="9" t="n">
        <f aca="false">IFERROR(SUMIFS(SalesOrderLines!$I$5:$I$504,SalesOrderLines!$B$5:$B$504,A211),"")</f>
        <v>0</v>
      </c>
      <c r="K211" s="9" t="n">
        <f aca="false">IFERROR(SUMIFS(SalesOrderLines!$J$5:$J$504,SalesOrderLines!$B$5:$B$504,A211),"")</f>
        <v>0</v>
      </c>
      <c r="L211" s="9" t="n">
        <f aca="false">IFERROR(J211+K211,"")</f>
        <v>0</v>
      </c>
      <c r="M211" s="9" t="n">
        <f aca="false">IFERROR(SUMIFS(Payments!$E$5:$E$504,Payments!$D$5:$D$504,A211,Payments!$C$5:$C$504,"In"),"")</f>
        <v>0</v>
      </c>
      <c r="N211" s="9" t="n">
        <f aca="false">IFERROR(L211-M211,"")</f>
        <v>0</v>
      </c>
    </row>
    <row r="212" customFormat="false" ht="15" hidden="false" customHeight="false" outlineLevel="0" collapsed="false">
      <c r="A212" s="10"/>
      <c r="B212" s="12"/>
      <c r="C212" s="10"/>
      <c r="D212" s="14" t="str">
        <f aca="false">IFERROR(IF(C212="","",INDEX(Customers!$B$5:$B$504,MATCH(C212,Customers!$A$5:$A$504,0))),"")</f>
        <v/>
      </c>
      <c r="E212" s="10" t="s">
        <v>24</v>
      </c>
      <c r="F212" s="12"/>
      <c r="G212" s="12"/>
      <c r="H212" s="10"/>
      <c r="I212" s="10"/>
      <c r="J212" s="9" t="n">
        <f aca="false">IFERROR(SUMIFS(SalesOrderLines!$I$5:$I$504,SalesOrderLines!$B$5:$B$504,A212),"")</f>
        <v>0</v>
      </c>
      <c r="K212" s="9" t="n">
        <f aca="false">IFERROR(SUMIFS(SalesOrderLines!$J$5:$J$504,SalesOrderLines!$B$5:$B$504,A212),"")</f>
        <v>0</v>
      </c>
      <c r="L212" s="9" t="n">
        <f aca="false">IFERROR(J212+K212,"")</f>
        <v>0</v>
      </c>
      <c r="M212" s="9" t="n">
        <f aca="false">IFERROR(SUMIFS(Payments!$E$5:$E$504,Payments!$D$5:$D$504,A212,Payments!$C$5:$C$504,"In"),"")</f>
        <v>0</v>
      </c>
      <c r="N212" s="9" t="n">
        <f aca="false">IFERROR(L212-M212,"")</f>
        <v>0</v>
      </c>
    </row>
    <row r="213" customFormat="false" ht="15" hidden="false" customHeight="false" outlineLevel="0" collapsed="false">
      <c r="A213" s="10"/>
      <c r="B213" s="12"/>
      <c r="C213" s="10"/>
      <c r="D213" s="14" t="str">
        <f aca="false">IFERROR(IF(C213="","",INDEX(Customers!$B$5:$B$504,MATCH(C213,Customers!$A$5:$A$504,0))),"")</f>
        <v/>
      </c>
      <c r="E213" s="10" t="s">
        <v>24</v>
      </c>
      <c r="F213" s="12"/>
      <c r="G213" s="12"/>
      <c r="H213" s="10"/>
      <c r="I213" s="10"/>
      <c r="J213" s="9" t="n">
        <f aca="false">IFERROR(SUMIFS(SalesOrderLines!$I$5:$I$504,SalesOrderLines!$B$5:$B$504,A213),"")</f>
        <v>0</v>
      </c>
      <c r="K213" s="9" t="n">
        <f aca="false">IFERROR(SUMIFS(SalesOrderLines!$J$5:$J$504,SalesOrderLines!$B$5:$B$504,A213),"")</f>
        <v>0</v>
      </c>
      <c r="L213" s="9" t="n">
        <f aca="false">IFERROR(J213+K213,"")</f>
        <v>0</v>
      </c>
      <c r="M213" s="9" t="n">
        <f aca="false">IFERROR(SUMIFS(Payments!$E$5:$E$504,Payments!$D$5:$D$504,A213,Payments!$C$5:$C$504,"In"),"")</f>
        <v>0</v>
      </c>
      <c r="N213" s="9" t="n">
        <f aca="false">IFERROR(L213-M213,"")</f>
        <v>0</v>
      </c>
    </row>
    <row r="214" customFormat="false" ht="15" hidden="false" customHeight="false" outlineLevel="0" collapsed="false">
      <c r="A214" s="10"/>
      <c r="B214" s="12"/>
      <c r="C214" s="10"/>
      <c r="D214" s="14" t="str">
        <f aca="false">IFERROR(IF(C214="","",INDEX(Customers!$B$5:$B$504,MATCH(C214,Customers!$A$5:$A$504,0))),"")</f>
        <v/>
      </c>
      <c r="E214" s="10" t="s">
        <v>24</v>
      </c>
      <c r="F214" s="12"/>
      <c r="G214" s="12"/>
      <c r="H214" s="10"/>
      <c r="I214" s="10"/>
      <c r="J214" s="9" t="n">
        <f aca="false">IFERROR(SUMIFS(SalesOrderLines!$I$5:$I$504,SalesOrderLines!$B$5:$B$504,A214),"")</f>
        <v>0</v>
      </c>
      <c r="K214" s="9" t="n">
        <f aca="false">IFERROR(SUMIFS(SalesOrderLines!$J$5:$J$504,SalesOrderLines!$B$5:$B$504,A214),"")</f>
        <v>0</v>
      </c>
      <c r="L214" s="9" t="n">
        <f aca="false">IFERROR(J214+K214,"")</f>
        <v>0</v>
      </c>
      <c r="M214" s="9" t="n">
        <f aca="false">IFERROR(SUMIFS(Payments!$E$5:$E$504,Payments!$D$5:$D$504,A214,Payments!$C$5:$C$504,"In"),"")</f>
        <v>0</v>
      </c>
      <c r="N214" s="9" t="n">
        <f aca="false">IFERROR(L214-M214,"")</f>
        <v>0</v>
      </c>
    </row>
    <row r="215" customFormat="false" ht="15" hidden="false" customHeight="false" outlineLevel="0" collapsed="false">
      <c r="A215" s="10"/>
      <c r="B215" s="12"/>
      <c r="C215" s="10"/>
      <c r="D215" s="14" t="str">
        <f aca="false">IFERROR(IF(C215="","",INDEX(Customers!$B$5:$B$504,MATCH(C215,Customers!$A$5:$A$504,0))),"")</f>
        <v/>
      </c>
      <c r="E215" s="10" t="s">
        <v>24</v>
      </c>
      <c r="F215" s="12"/>
      <c r="G215" s="12"/>
      <c r="H215" s="10"/>
      <c r="I215" s="10"/>
      <c r="J215" s="9" t="n">
        <f aca="false">IFERROR(SUMIFS(SalesOrderLines!$I$5:$I$504,SalesOrderLines!$B$5:$B$504,A215),"")</f>
        <v>0</v>
      </c>
      <c r="K215" s="9" t="n">
        <f aca="false">IFERROR(SUMIFS(SalesOrderLines!$J$5:$J$504,SalesOrderLines!$B$5:$B$504,A215),"")</f>
        <v>0</v>
      </c>
      <c r="L215" s="9" t="n">
        <f aca="false">IFERROR(J215+K215,"")</f>
        <v>0</v>
      </c>
      <c r="M215" s="9" t="n">
        <f aca="false">IFERROR(SUMIFS(Payments!$E$5:$E$504,Payments!$D$5:$D$504,A215,Payments!$C$5:$C$504,"In"),"")</f>
        <v>0</v>
      </c>
      <c r="N215" s="9" t="n">
        <f aca="false">IFERROR(L215-M215,"")</f>
        <v>0</v>
      </c>
    </row>
    <row r="216" customFormat="false" ht="15" hidden="false" customHeight="false" outlineLevel="0" collapsed="false">
      <c r="A216" s="10"/>
      <c r="B216" s="12"/>
      <c r="C216" s="10"/>
      <c r="D216" s="14" t="str">
        <f aca="false">IFERROR(IF(C216="","",INDEX(Customers!$B$5:$B$504,MATCH(C216,Customers!$A$5:$A$504,0))),"")</f>
        <v/>
      </c>
      <c r="E216" s="10" t="s">
        <v>24</v>
      </c>
      <c r="F216" s="12"/>
      <c r="G216" s="12"/>
      <c r="H216" s="10"/>
      <c r="I216" s="10"/>
      <c r="J216" s="9" t="n">
        <f aca="false">IFERROR(SUMIFS(SalesOrderLines!$I$5:$I$504,SalesOrderLines!$B$5:$B$504,A216),"")</f>
        <v>0</v>
      </c>
      <c r="K216" s="9" t="n">
        <f aca="false">IFERROR(SUMIFS(SalesOrderLines!$J$5:$J$504,SalesOrderLines!$B$5:$B$504,A216),"")</f>
        <v>0</v>
      </c>
      <c r="L216" s="9" t="n">
        <f aca="false">IFERROR(J216+K216,"")</f>
        <v>0</v>
      </c>
      <c r="M216" s="9" t="n">
        <f aca="false">IFERROR(SUMIFS(Payments!$E$5:$E$504,Payments!$D$5:$D$504,A216,Payments!$C$5:$C$504,"In"),"")</f>
        <v>0</v>
      </c>
      <c r="N216" s="9" t="n">
        <f aca="false">IFERROR(L216-M216,"")</f>
        <v>0</v>
      </c>
    </row>
    <row r="217" customFormat="false" ht="15" hidden="false" customHeight="false" outlineLevel="0" collapsed="false">
      <c r="A217" s="10"/>
      <c r="B217" s="12"/>
      <c r="C217" s="10"/>
      <c r="D217" s="14" t="str">
        <f aca="false">IFERROR(IF(C217="","",INDEX(Customers!$B$5:$B$504,MATCH(C217,Customers!$A$5:$A$504,0))),"")</f>
        <v/>
      </c>
      <c r="E217" s="10" t="s">
        <v>24</v>
      </c>
      <c r="F217" s="12"/>
      <c r="G217" s="12"/>
      <c r="H217" s="10"/>
      <c r="I217" s="10"/>
      <c r="J217" s="9" t="n">
        <f aca="false">IFERROR(SUMIFS(SalesOrderLines!$I$5:$I$504,SalesOrderLines!$B$5:$B$504,A217),"")</f>
        <v>0</v>
      </c>
      <c r="K217" s="9" t="n">
        <f aca="false">IFERROR(SUMIFS(SalesOrderLines!$J$5:$J$504,SalesOrderLines!$B$5:$B$504,A217),"")</f>
        <v>0</v>
      </c>
      <c r="L217" s="9" t="n">
        <f aca="false">IFERROR(J217+K217,"")</f>
        <v>0</v>
      </c>
      <c r="M217" s="9" t="n">
        <f aca="false">IFERROR(SUMIFS(Payments!$E$5:$E$504,Payments!$D$5:$D$504,A217,Payments!$C$5:$C$504,"In"),"")</f>
        <v>0</v>
      </c>
      <c r="N217" s="9" t="n">
        <f aca="false">IFERROR(L217-M217,"")</f>
        <v>0</v>
      </c>
    </row>
    <row r="218" customFormat="false" ht="15" hidden="false" customHeight="false" outlineLevel="0" collapsed="false">
      <c r="A218" s="10"/>
      <c r="B218" s="12"/>
      <c r="C218" s="10"/>
      <c r="D218" s="14" t="str">
        <f aca="false">IFERROR(IF(C218="","",INDEX(Customers!$B$5:$B$504,MATCH(C218,Customers!$A$5:$A$504,0))),"")</f>
        <v/>
      </c>
      <c r="E218" s="10" t="s">
        <v>24</v>
      </c>
      <c r="F218" s="12"/>
      <c r="G218" s="12"/>
      <c r="H218" s="10"/>
      <c r="I218" s="10"/>
      <c r="J218" s="9" t="n">
        <f aca="false">IFERROR(SUMIFS(SalesOrderLines!$I$5:$I$504,SalesOrderLines!$B$5:$B$504,A218),"")</f>
        <v>0</v>
      </c>
      <c r="K218" s="9" t="n">
        <f aca="false">IFERROR(SUMIFS(SalesOrderLines!$J$5:$J$504,SalesOrderLines!$B$5:$B$504,A218),"")</f>
        <v>0</v>
      </c>
      <c r="L218" s="9" t="n">
        <f aca="false">IFERROR(J218+K218,"")</f>
        <v>0</v>
      </c>
      <c r="M218" s="9" t="n">
        <f aca="false">IFERROR(SUMIFS(Payments!$E$5:$E$504,Payments!$D$5:$D$504,A218,Payments!$C$5:$C$504,"In"),"")</f>
        <v>0</v>
      </c>
      <c r="N218" s="9" t="n">
        <f aca="false">IFERROR(L218-M218,"")</f>
        <v>0</v>
      </c>
    </row>
    <row r="219" customFormat="false" ht="15" hidden="false" customHeight="false" outlineLevel="0" collapsed="false">
      <c r="A219" s="10"/>
      <c r="B219" s="12"/>
      <c r="C219" s="10"/>
      <c r="D219" s="14" t="str">
        <f aca="false">IFERROR(IF(C219="","",INDEX(Customers!$B$5:$B$504,MATCH(C219,Customers!$A$5:$A$504,0))),"")</f>
        <v/>
      </c>
      <c r="E219" s="10" t="s">
        <v>24</v>
      </c>
      <c r="F219" s="12"/>
      <c r="G219" s="12"/>
      <c r="H219" s="10"/>
      <c r="I219" s="10"/>
      <c r="J219" s="9" t="n">
        <f aca="false">IFERROR(SUMIFS(SalesOrderLines!$I$5:$I$504,SalesOrderLines!$B$5:$B$504,A219),"")</f>
        <v>0</v>
      </c>
      <c r="K219" s="9" t="n">
        <f aca="false">IFERROR(SUMIFS(SalesOrderLines!$J$5:$J$504,SalesOrderLines!$B$5:$B$504,A219),"")</f>
        <v>0</v>
      </c>
      <c r="L219" s="9" t="n">
        <f aca="false">IFERROR(J219+K219,"")</f>
        <v>0</v>
      </c>
      <c r="M219" s="9" t="n">
        <f aca="false">IFERROR(SUMIFS(Payments!$E$5:$E$504,Payments!$D$5:$D$504,A219,Payments!$C$5:$C$504,"In"),"")</f>
        <v>0</v>
      </c>
      <c r="N219" s="9" t="n">
        <f aca="false">IFERROR(L219-M219,"")</f>
        <v>0</v>
      </c>
    </row>
    <row r="220" customFormat="false" ht="15" hidden="false" customHeight="false" outlineLevel="0" collapsed="false">
      <c r="A220" s="10"/>
      <c r="B220" s="12"/>
      <c r="C220" s="10"/>
      <c r="D220" s="14" t="str">
        <f aca="false">IFERROR(IF(C220="","",INDEX(Customers!$B$5:$B$504,MATCH(C220,Customers!$A$5:$A$504,0))),"")</f>
        <v/>
      </c>
      <c r="E220" s="10" t="s">
        <v>24</v>
      </c>
      <c r="F220" s="12"/>
      <c r="G220" s="12"/>
      <c r="H220" s="10"/>
      <c r="I220" s="10"/>
      <c r="J220" s="9" t="n">
        <f aca="false">IFERROR(SUMIFS(SalesOrderLines!$I$5:$I$504,SalesOrderLines!$B$5:$B$504,A220),"")</f>
        <v>0</v>
      </c>
      <c r="K220" s="9" t="n">
        <f aca="false">IFERROR(SUMIFS(SalesOrderLines!$J$5:$J$504,SalesOrderLines!$B$5:$B$504,A220),"")</f>
        <v>0</v>
      </c>
      <c r="L220" s="9" t="n">
        <f aca="false">IFERROR(J220+K220,"")</f>
        <v>0</v>
      </c>
      <c r="M220" s="9" t="n">
        <f aca="false">IFERROR(SUMIFS(Payments!$E$5:$E$504,Payments!$D$5:$D$504,A220,Payments!$C$5:$C$504,"In"),"")</f>
        <v>0</v>
      </c>
      <c r="N220" s="9" t="n">
        <f aca="false">IFERROR(L220-M220,"")</f>
        <v>0</v>
      </c>
    </row>
    <row r="221" customFormat="false" ht="15" hidden="false" customHeight="false" outlineLevel="0" collapsed="false">
      <c r="A221" s="10"/>
      <c r="B221" s="12"/>
      <c r="C221" s="10"/>
      <c r="D221" s="14" t="str">
        <f aca="false">IFERROR(IF(C221="","",INDEX(Customers!$B$5:$B$504,MATCH(C221,Customers!$A$5:$A$504,0))),"")</f>
        <v/>
      </c>
      <c r="E221" s="10" t="s">
        <v>24</v>
      </c>
      <c r="F221" s="12"/>
      <c r="G221" s="12"/>
      <c r="H221" s="10"/>
      <c r="I221" s="10"/>
      <c r="J221" s="9" t="n">
        <f aca="false">IFERROR(SUMIFS(SalesOrderLines!$I$5:$I$504,SalesOrderLines!$B$5:$B$504,A221),"")</f>
        <v>0</v>
      </c>
      <c r="K221" s="9" t="n">
        <f aca="false">IFERROR(SUMIFS(SalesOrderLines!$J$5:$J$504,SalesOrderLines!$B$5:$B$504,A221),"")</f>
        <v>0</v>
      </c>
      <c r="L221" s="9" t="n">
        <f aca="false">IFERROR(J221+K221,"")</f>
        <v>0</v>
      </c>
      <c r="M221" s="9" t="n">
        <f aca="false">IFERROR(SUMIFS(Payments!$E$5:$E$504,Payments!$D$5:$D$504,A221,Payments!$C$5:$C$504,"In"),"")</f>
        <v>0</v>
      </c>
      <c r="N221" s="9" t="n">
        <f aca="false">IFERROR(L221-M221,"")</f>
        <v>0</v>
      </c>
    </row>
    <row r="222" customFormat="false" ht="15" hidden="false" customHeight="false" outlineLevel="0" collapsed="false">
      <c r="A222" s="10"/>
      <c r="B222" s="12"/>
      <c r="C222" s="10"/>
      <c r="D222" s="14" t="str">
        <f aca="false">IFERROR(IF(C222="","",INDEX(Customers!$B$5:$B$504,MATCH(C222,Customers!$A$5:$A$504,0))),"")</f>
        <v/>
      </c>
      <c r="E222" s="10" t="s">
        <v>24</v>
      </c>
      <c r="F222" s="12"/>
      <c r="G222" s="12"/>
      <c r="H222" s="10"/>
      <c r="I222" s="10"/>
      <c r="J222" s="9" t="n">
        <f aca="false">IFERROR(SUMIFS(SalesOrderLines!$I$5:$I$504,SalesOrderLines!$B$5:$B$504,A222),"")</f>
        <v>0</v>
      </c>
      <c r="K222" s="9" t="n">
        <f aca="false">IFERROR(SUMIFS(SalesOrderLines!$J$5:$J$504,SalesOrderLines!$B$5:$B$504,A222),"")</f>
        <v>0</v>
      </c>
      <c r="L222" s="9" t="n">
        <f aca="false">IFERROR(J222+K222,"")</f>
        <v>0</v>
      </c>
      <c r="M222" s="9" t="n">
        <f aca="false">IFERROR(SUMIFS(Payments!$E$5:$E$504,Payments!$D$5:$D$504,A222,Payments!$C$5:$C$504,"In"),"")</f>
        <v>0</v>
      </c>
      <c r="N222" s="9" t="n">
        <f aca="false">IFERROR(L222-M222,"")</f>
        <v>0</v>
      </c>
    </row>
    <row r="223" customFormat="false" ht="15" hidden="false" customHeight="false" outlineLevel="0" collapsed="false">
      <c r="A223" s="10"/>
      <c r="B223" s="12"/>
      <c r="C223" s="10"/>
      <c r="D223" s="14" t="str">
        <f aca="false">IFERROR(IF(C223="","",INDEX(Customers!$B$5:$B$504,MATCH(C223,Customers!$A$5:$A$504,0))),"")</f>
        <v/>
      </c>
      <c r="E223" s="10" t="s">
        <v>24</v>
      </c>
      <c r="F223" s="12"/>
      <c r="G223" s="12"/>
      <c r="H223" s="10"/>
      <c r="I223" s="10"/>
      <c r="J223" s="9" t="n">
        <f aca="false">IFERROR(SUMIFS(SalesOrderLines!$I$5:$I$504,SalesOrderLines!$B$5:$B$504,A223),"")</f>
        <v>0</v>
      </c>
      <c r="K223" s="9" t="n">
        <f aca="false">IFERROR(SUMIFS(SalesOrderLines!$J$5:$J$504,SalesOrderLines!$B$5:$B$504,A223),"")</f>
        <v>0</v>
      </c>
      <c r="L223" s="9" t="n">
        <f aca="false">IFERROR(J223+K223,"")</f>
        <v>0</v>
      </c>
      <c r="M223" s="9" t="n">
        <f aca="false">IFERROR(SUMIFS(Payments!$E$5:$E$504,Payments!$D$5:$D$504,A223,Payments!$C$5:$C$504,"In"),"")</f>
        <v>0</v>
      </c>
      <c r="N223" s="9" t="n">
        <f aca="false">IFERROR(L223-M223,"")</f>
        <v>0</v>
      </c>
    </row>
    <row r="224" customFormat="false" ht="15" hidden="false" customHeight="false" outlineLevel="0" collapsed="false">
      <c r="A224" s="10"/>
      <c r="B224" s="12"/>
      <c r="C224" s="10"/>
      <c r="D224" s="14" t="str">
        <f aca="false">IFERROR(IF(C224="","",INDEX(Customers!$B$5:$B$504,MATCH(C224,Customers!$A$5:$A$504,0))),"")</f>
        <v/>
      </c>
      <c r="E224" s="10" t="s">
        <v>24</v>
      </c>
      <c r="F224" s="12"/>
      <c r="G224" s="12"/>
      <c r="H224" s="10"/>
      <c r="I224" s="10"/>
      <c r="J224" s="9" t="n">
        <f aca="false">IFERROR(SUMIFS(SalesOrderLines!$I$5:$I$504,SalesOrderLines!$B$5:$B$504,A224),"")</f>
        <v>0</v>
      </c>
      <c r="K224" s="9" t="n">
        <f aca="false">IFERROR(SUMIFS(SalesOrderLines!$J$5:$J$504,SalesOrderLines!$B$5:$B$504,A224),"")</f>
        <v>0</v>
      </c>
      <c r="L224" s="9" t="n">
        <f aca="false">IFERROR(J224+K224,"")</f>
        <v>0</v>
      </c>
      <c r="M224" s="9" t="n">
        <f aca="false">IFERROR(SUMIFS(Payments!$E$5:$E$504,Payments!$D$5:$D$504,A224,Payments!$C$5:$C$504,"In"),"")</f>
        <v>0</v>
      </c>
      <c r="N224" s="9" t="n">
        <f aca="false">IFERROR(L224-M224,"")</f>
        <v>0</v>
      </c>
    </row>
    <row r="225" customFormat="false" ht="15" hidden="false" customHeight="false" outlineLevel="0" collapsed="false">
      <c r="A225" s="10"/>
      <c r="B225" s="12"/>
      <c r="C225" s="10"/>
      <c r="D225" s="14" t="str">
        <f aca="false">IFERROR(IF(C225="","",INDEX(Customers!$B$5:$B$504,MATCH(C225,Customers!$A$5:$A$504,0))),"")</f>
        <v/>
      </c>
      <c r="E225" s="10" t="s">
        <v>24</v>
      </c>
      <c r="F225" s="12"/>
      <c r="G225" s="12"/>
      <c r="H225" s="10"/>
      <c r="I225" s="10"/>
      <c r="J225" s="9" t="n">
        <f aca="false">IFERROR(SUMIFS(SalesOrderLines!$I$5:$I$504,SalesOrderLines!$B$5:$B$504,A225),"")</f>
        <v>0</v>
      </c>
      <c r="K225" s="9" t="n">
        <f aca="false">IFERROR(SUMIFS(SalesOrderLines!$J$5:$J$504,SalesOrderLines!$B$5:$B$504,A225),"")</f>
        <v>0</v>
      </c>
      <c r="L225" s="9" t="n">
        <f aca="false">IFERROR(J225+K225,"")</f>
        <v>0</v>
      </c>
      <c r="M225" s="9" t="n">
        <f aca="false">IFERROR(SUMIFS(Payments!$E$5:$E$504,Payments!$D$5:$D$504,A225,Payments!$C$5:$C$504,"In"),"")</f>
        <v>0</v>
      </c>
      <c r="N225" s="9" t="n">
        <f aca="false">IFERROR(L225-M225,"")</f>
        <v>0</v>
      </c>
    </row>
    <row r="226" customFormat="false" ht="15" hidden="false" customHeight="false" outlineLevel="0" collapsed="false">
      <c r="A226" s="10"/>
      <c r="B226" s="12"/>
      <c r="C226" s="10"/>
      <c r="D226" s="14" t="str">
        <f aca="false">IFERROR(IF(C226="","",INDEX(Customers!$B$5:$B$504,MATCH(C226,Customers!$A$5:$A$504,0))),"")</f>
        <v/>
      </c>
      <c r="E226" s="10" t="s">
        <v>24</v>
      </c>
      <c r="F226" s="12"/>
      <c r="G226" s="12"/>
      <c r="H226" s="10"/>
      <c r="I226" s="10"/>
      <c r="J226" s="9" t="n">
        <f aca="false">IFERROR(SUMIFS(SalesOrderLines!$I$5:$I$504,SalesOrderLines!$B$5:$B$504,A226),"")</f>
        <v>0</v>
      </c>
      <c r="K226" s="9" t="n">
        <f aca="false">IFERROR(SUMIFS(SalesOrderLines!$J$5:$J$504,SalesOrderLines!$B$5:$B$504,A226),"")</f>
        <v>0</v>
      </c>
      <c r="L226" s="9" t="n">
        <f aca="false">IFERROR(J226+K226,"")</f>
        <v>0</v>
      </c>
      <c r="M226" s="9" t="n">
        <f aca="false">IFERROR(SUMIFS(Payments!$E$5:$E$504,Payments!$D$5:$D$504,A226,Payments!$C$5:$C$504,"In"),"")</f>
        <v>0</v>
      </c>
      <c r="N226" s="9" t="n">
        <f aca="false">IFERROR(L226-M226,"")</f>
        <v>0</v>
      </c>
    </row>
    <row r="227" customFormat="false" ht="15" hidden="false" customHeight="false" outlineLevel="0" collapsed="false">
      <c r="A227" s="10"/>
      <c r="B227" s="12"/>
      <c r="C227" s="10"/>
      <c r="D227" s="14" t="str">
        <f aca="false">IFERROR(IF(C227="","",INDEX(Customers!$B$5:$B$504,MATCH(C227,Customers!$A$5:$A$504,0))),"")</f>
        <v/>
      </c>
      <c r="E227" s="10" t="s">
        <v>24</v>
      </c>
      <c r="F227" s="12"/>
      <c r="G227" s="12"/>
      <c r="H227" s="10"/>
      <c r="I227" s="10"/>
      <c r="J227" s="9" t="n">
        <f aca="false">IFERROR(SUMIFS(SalesOrderLines!$I$5:$I$504,SalesOrderLines!$B$5:$B$504,A227),"")</f>
        <v>0</v>
      </c>
      <c r="K227" s="9" t="n">
        <f aca="false">IFERROR(SUMIFS(SalesOrderLines!$J$5:$J$504,SalesOrderLines!$B$5:$B$504,A227),"")</f>
        <v>0</v>
      </c>
      <c r="L227" s="9" t="n">
        <f aca="false">IFERROR(J227+K227,"")</f>
        <v>0</v>
      </c>
      <c r="M227" s="9" t="n">
        <f aca="false">IFERROR(SUMIFS(Payments!$E$5:$E$504,Payments!$D$5:$D$504,A227,Payments!$C$5:$C$504,"In"),"")</f>
        <v>0</v>
      </c>
      <c r="N227" s="9" t="n">
        <f aca="false">IFERROR(L227-M227,"")</f>
        <v>0</v>
      </c>
    </row>
    <row r="228" customFormat="false" ht="15" hidden="false" customHeight="false" outlineLevel="0" collapsed="false">
      <c r="A228" s="10"/>
      <c r="B228" s="12"/>
      <c r="C228" s="10"/>
      <c r="D228" s="14" t="str">
        <f aca="false">IFERROR(IF(C228="","",INDEX(Customers!$B$5:$B$504,MATCH(C228,Customers!$A$5:$A$504,0))),"")</f>
        <v/>
      </c>
      <c r="E228" s="10" t="s">
        <v>24</v>
      </c>
      <c r="F228" s="12"/>
      <c r="G228" s="12"/>
      <c r="H228" s="10"/>
      <c r="I228" s="10"/>
      <c r="J228" s="9" t="n">
        <f aca="false">IFERROR(SUMIFS(SalesOrderLines!$I$5:$I$504,SalesOrderLines!$B$5:$B$504,A228),"")</f>
        <v>0</v>
      </c>
      <c r="K228" s="9" t="n">
        <f aca="false">IFERROR(SUMIFS(SalesOrderLines!$J$5:$J$504,SalesOrderLines!$B$5:$B$504,A228),"")</f>
        <v>0</v>
      </c>
      <c r="L228" s="9" t="n">
        <f aca="false">IFERROR(J228+K228,"")</f>
        <v>0</v>
      </c>
      <c r="M228" s="9" t="n">
        <f aca="false">IFERROR(SUMIFS(Payments!$E$5:$E$504,Payments!$D$5:$D$504,A228,Payments!$C$5:$C$504,"In"),"")</f>
        <v>0</v>
      </c>
      <c r="N228" s="9" t="n">
        <f aca="false">IFERROR(L228-M228,"")</f>
        <v>0</v>
      </c>
    </row>
    <row r="229" customFormat="false" ht="15" hidden="false" customHeight="false" outlineLevel="0" collapsed="false">
      <c r="A229" s="10"/>
      <c r="B229" s="12"/>
      <c r="C229" s="10"/>
      <c r="D229" s="14" t="str">
        <f aca="false">IFERROR(IF(C229="","",INDEX(Customers!$B$5:$B$504,MATCH(C229,Customers!$A$5:$A$504,0))),"")</f>
        <v/>
      </c>
      <c r="E229" s="10" t="s">
        <v>24</v>
      </c>
      <c r="F229" s="12"/>
      <c r="G229" s="12"/>
      <c r="H229" s="10"/>
      <c r="I229" s="10"/>
      <c r="J229" s="9" t="n">
        <f aca="false">IFERROR(SUMIFS(SalesOrderLines!$I$5:$I$504,SalesOrderLines!$B$5:$B$504,A229),"")</f>
        <v>0</v>
      </c>
      <c r="K229" s="9" t="n">
        <f aca="false">IFERROR(SUMIFS(SalesOrderLines!$J$5:$J$504,SalesOrderLines!$B$5:$B$504,A229),"")</f>
        <v>0</v>
      </c>
      <c r="L229" s="9" t="n">
        <f aca="false">IFERROR(J229+K229,"")</f>
        <v>0</v>
      </c>
      <c r="M229" s="9" t="n">
        <f aca="false">IFERROR(SUMIFS(Payments!$E$5:$E$504,Payments!$D$5:$D$504,A229,Payments!$C$5:$C$504,"In"),"")</f>
        <v>0</v>
      </c>
      <c r="N229" s="9" t="n">
        <f aca="false">IFERROR(L229-M229,"")</f>
        <v>0</v>
      </c>
    </row>
    <row r="230" customFormat="false" ht="15" hidden="false" customHeight="false" outlineLevel="0" collapsed="false">
      <c r="A230" s="10"/>
      <c r="B230" s="12"/>
      <c r="C230" s="10"/>
      <c r="D230" s="14" t="str">
        <f aca="false">IFERROR(IF(C230="","",INDEX(Customers!$B$5:$B$504,MATCH(C230,Customers!$A$5:$A$504,0))),"")</f>
        <v/>
      </c>
      <c r="E230" s="10" t="s">
        <v>24</v>
      </c>
      <c r="F230" s="12"/>
      <c r="G230" s="12"/>
      <c r="H230" s="10"/>
      <c r="I230" s="10"/>
      <c r="J230" s="9" t="n">
        <f aca="false">IFERROR(SUMIFS(SalesOrderLines!$I$5:$I$504,SalesOrderLines!$B$5:$B$504,A230),"")</f>
        <v>0</v>
      </c>
      <c r="K230" s="9" t="n">
        <f aca="false">IFERROR(SUMIFS(SalesOrderLines!$J$5:$J$504,SalesOrderLines!$B$5:$B$504,A230),"")</f>
        <v>0</v>
      </c>
      <c r="L230" s="9" t="n">
        <f aca="false">IFERROR(J230+K230,"")</f>
        <v>0</v>
      </c>
      <c r="M230" s="9" t="n">
        <f aca="false">IFERROR(SUMIFS(Payments!$E$5:$E$504,Payments!$D$5:$D$504,A230,Payments!$C$5:$C$504,"In"),"")</f>
        <v>0</v>
      </c>
      <c r="N230" s="9" t="n">
        <f aca="false">IFERROR(L230-M230,"")</f>
        <v>0</v>
      </c>
    </row>
    <row r="231" customFormat="false" ht="15" hidden="false" customHeight="false" outlineLevel="0" collapsed="false">
      <c r="A231" s="10"/>
      <c r="B231" s="12"/>
      <c r="C231" s="10"/>
      <c r="D231" s="14" t="str">
        <f aca="false">IFERROR(IF(C231="","",INDEX(Customers!$B$5:$B$504,MATCH(C231,Customers!$A$5:$A$504,0))),"")</f>
        <v/>
      </c>
      <c r="E231" s="10" t="s">
        <v>24</v>
      </c>
      <c r="F231" s="12"/>
      <c r="G231" s="12"/>
      <c r="H231" s="10"/>
      <c r="I231" s="10"/>
      <c r="J231" s="9" t="n">
        <f aca="false">IFERROR(SUMIFS(SalesOrderLines!$I$5:$I$504,SalesOrderLines!$B$5:$B$504,A231),"")</f>
        <v>0</v>
      </c>
      <c r="K231" s="9" t="n">
        <f aca="false">IFERROR(SUMIFS(SalesOrderLines!$J$5:$J$504,SalesOrderLines!$B$5:$B$504,A231),"")</f>
        <v>0</v>
      </c>
      <c r="L231" s="9" t="n">
        <f aca="false">IFERROR(J231+K231,"")</f>
        <v>0</v>
      </c>
      <c r="M231" s="9" t="n">
        <f aca="false">IFERROR(SUMIFS(Payments!$E$5:$E$504,Payments!$D$5:$D$504,A231,Payments!$C$5:$C$504,"In"),"")</f>
        <v>0</v>
      </c>
      <c r="N231" s="9" t="n">
        <f aca="false">IFERROR(L231-M231,"")</f>
        <v>0</v>
      </c>
    </row>
    <row r="232" customFormat="false" ht="15" hidden="false" customHeight="false" outlineLevel="0" collapsed="false">
      <c r="A232" s="10"/>
      <c r="B232" s="12"/>
      <c r="C232" s="10"/>
      <c r="D232" s="14" t="str">
        <f aca="false">IFERROR(IF(C232="","",INDEX(Customers!$B$5:$B$504,MATCH(C232,Customers!$A$5:$A$504,0))),"")</f>
        <v/>
      </c>
      <c r="E232" s="10" t="s">
        <v>24</v>
      </c>
      <c r="F232" s="12"/>
      <c r="G232" s="12"/>
      <c r="H232" s="10"/>
      <c r="I232" s="10"/>
      <c r="J232" s="9" t="n">
        <f aca="false">IFERROR(SUMIFS(SalesOrderLines!$I$5:$I$504,SalesOrderLines!$B$5:$B$504,A232),"")</f>
        <v>0</v>
      </c>
      <c r="K232" s="9" t="n">
        <f aca="false">IFERROR(SUMIFS(SalesOrderLines!$J$5:$J$504,SalesOrderLines!$B$5:$B$504,A232),"")</f>
        <v>0</v>
      </c>
      <c r="L232" s="9" t="n">
        <f aca="false">IFERROR(J232+K232,"")</f>
        <v>0</v>
      </c>
      <c r="M232" s="9" t="n">
        <f aca="false">IFERROR(SUMIFS(Payments!$E$5:$E$504,Payments!$D$5:$D$504,A232,Payments!$C$5:$C$504,"In"),"")</f>
        <v>0</v>
      </c>
      <c r="N232" s="9" t="n">
        <f aca="false">IFERROR(L232-M232,"")</f>
        <v>0</v>
      </c>
    </row>
    <row r="233" customFormat="false" ht="15" hidden="false" customHeight="false" outlineLevel="0" collapsed="false">
      <c r="A233" s="10"/>
      <c r="B233" s="12"/>
      <c r="C233" s="10"/>
      <c r="D233" s="14" t="str">
        <f aca="false">IFERROR(IF(C233="","",INDEX(Customers!$B$5:$B$504,MATCH(C233,Customers!$A$5:$A$504,0))),"")</f>
        <v/>
      </c>
      <c r="E233" s="10" t="s">
        <v>24</v>
      </c>
      <c r="F233" s="12"/>
      <c r="G233" s="12"/>
      <c r="H233" s="10"/>
      <c r="I233" s="10"/>
      <c r="J233" s="9" t="n">
        <f aca="false">IFERROR(SUMIFS(SalesOrderLines!$I$5:$I$504,SalesOrderLines!$B$5:$B$504,A233),"")</f>
        <v>0</v>
      </c>
      <c r="K233" s="9" t="n">
        <f aca="false">IFERROR(SUMIFS(SalesOrderLines!$J$5:$J$504,SalesOrderLines!$B$5:$B$504,A233),"")</f>
        <v>0</v>
      </c>
      <c r="L233" s="9" t="n">
        <f aca="false">IFERROR(J233+K233,"")</f>
        <v>0</v>
      </c>
      <c r="M233" s="9" t="n">
        <f aca="false">IFERROR(SUMIFS(Payments!$E$5:$E$504,Payments!$D$5:$D$504,A233,Payments!$C$5:$C$504,"In"),"")</f>
        <v>0</v>
      </c>
      <c r="N233" s="9" t="n">
        <f aca="false">IFERROR(L233-M233,"")</f>
        <v>0</v>
      </c>
    </row>
    <row r="234" customFormat="false" ht="15" hidden="false" customHeight="false" outlineLevel="0" collapsed="false">
      <c r="A234" s="10"/>
      <c r="B234" s="12"/>
      <c r="C234" s="10"/>
      <c r="D234" s="14" t="str">
        <f aca="false">IFERROR(IF(C234="","",INDEX(Customers!$B$5:$B$504,MATCH(C234,Customers!$A$5:$A$504,0))),"")</f>
        <v/>
      </c>
      <c r="E234" s="10" t="s">
        <v>24</v>
      </c>
      <c r="F234" s="12"/>
      <c r="G234" s="12"/>
      <c r="H234" s="10"/>
      <c r="I234" s="10"/>
      <c r="J234" s="9" t="n">
        <f aca="false">IFERROR(SUMIFS(SalesOrderLines!$I$5:$I$504,SalesOrderLines!$B$5:$B$504,A234),"")</f>
        <v>0</v>
      </c>
      <c r="K234" s="9" t="n">
        <f aca="false">IFERROR(SUMIFS(SalesOrderLines!$J$5:$J$504,SalesOrderLines!$B$5:$B$504,A234),"")</f>
        <v>0</v>
      </c>
      <c r="L234" s="9" t="n">
        <f aca="false">IFERROR(J234+K234,"")</f>
        <v>0</v>
      </c>
      <c r="M234" s="9" t="n">
        <f aca="false">IFERROR(SUMIFS(Payments!$E$5:$E$504,Payments!$D$5:$D$504,A234,Payments!$C$5:$C$504,"In"),"")</f>
        <v>0</v>
      </c>
      <c r="N234" s="9" t="n">
        <f aca="false">IFERROR(L234-M234,"")</f>
        <v>0</v>
      </c>
    </row>
    <row r="235" customFormat="false" ht="15" hidden="false" customHeight="false" outlineLevel="0" collapsed="false">
      <c r="A235" s="10"/>
      <c r="B235" s="12"/>
      <c r="C235" s="10"/>
      <c r="D235" s="14" t="str">
        <f aca="false">IFERROR(IF(C235="","",INDEX(Customers!$B$5:$B$504,MATCH(C235,Customers!$A$5:$A$504,0))),"")</f>
        <v/>
      </c>
      <c r="E235" s="10" t="s">
        <v>24</v>
      </c>
      <c r="F235" s="12"/>
      <c r="G235" s="12"/>
      <c r="H235" s="10"/>
      <c r="I235" s="10"/>
      <c r="J235" s="9" t="n">
        <f aca="false">IFERROR(SUMIFS(SalesOrderLines!$I$5:$I$504,SalesOrderLines!$B$5:$B$504,A235),"")</f>
        <v>0</v>
      </c>
      <c r="K235" s="9" t="n">
        <f aca="false">IFERROR(SUMIFS(SalesOrderLines!$J$5:$J$504,SalesOrderLines!$B$5:$B$504,A235),"")</f>
        <v>0</v>
      </c>
      <c r="L235" s="9" t="n">
        <f aca="false">IFERROR(J235+K235,"")</f>
        <v>0</v>
      </c>
      <c r="M235" s="9" t="n">
        <f aca="false">IFERROR(SUMIFS(Payments!$E$5:$E$504,Payments!$D$5:$D$504,A235,Payments!$C$5:$C$504,"In"),"")</f>
        <v>0</v>
      </c>
      <c r="N235" s="9" t="n">
        <f aca="false">IFERROR(L235-M235,"")</f>
        <v>0</v>
      </c>
    </row>
    <row r="236" customFormat="false" ht="15" hidden="false" customHeight="false" outlineLevel="0" collapsed="false">
      <c r="A236" s="10"/>
      <c r="B236" s="12"/>
      <c r="C236" s="10"/>
      <c r="D236" s="14" t="str">
        <f aca="false">IFERROR(IF(C236="","",INDEX(Customers!$B$5:$B$504,MATCH(C236,Customers!$A$5:$A$504,0))),"")</f>
        <v/>
      </c>
      <c r="E236" s="10" t="s">
        <v>24</v>
      </c>
      <c r="F236" s="12"/>
      <c r="G236" s="12"/>
      <c r="H236" s="10"/>
      <c r="I236" s="10"/>
      <c r="J236" s="9" t="n">
        <f aca="false">IFERROR(SUMIFS(SalesOrderLines!$I$5:$I$504,SalesOrderLines!$B$5:$B$504,A236),"")</f>
        <v>0</v>
      </c>
      <c r="K236" s="9" t="n">
        <f aca="false">IFERROR(SUMIFS(SalesOrderLines!$J$5:$J$504,SalesOrderLines!$B$5:$B$504,A236),"")</f>
        <v>0</v>
      </c>
      <c r="L236" s="9" t="n">
        <f aca="false">IFERROR(J236+K236,"")</f>
        <v>0</v>
      </c>
      <c r="M236" s="9" t="n">
        <f aca="false">IFERROR(SUMIFS(Payments!$E$5:$E$504,Payments!$D$5:$D$504,A236,Payments!$C$5:$C$504,"In"),"")</f>
        <v>0</v>
      </c>
      <c r="N236" s="9" t="n">
        <f aca="false">IFERROR(L236-M236,"")</f>
        <v>0</v>
      </c>
    </row>
    <row r="237" customFormat="false" ht="15" hidden="false" customHeight="false" outlineLevel="0" collapsed="false">
      <c r="A237" s="10"/>
      <c r="B237" s="12"/>
      <c r="C237" s="10"/>
      <c r="D237" s="14" t="str">
        <f aca="false">IFERROR(IF(C237="","",INDEX(Customers!$B$5:$B$504,MATCH(C237,Customers!$A$5:$A$504,0))),"")</f>
        <v/>
      </c>
      <c r="E237" s="10" t="s">
        <v>24</v>
      </c>
      <c r="F237" s="12"/>
      <c r="G237" s="12"/>
      <c r="H237" s="10"/>
      <c r="I237" s="10"/>
      <c r="J237" s="9" t="n">
        <f aca="false">IFERROR(SUMIFS(SalesOrderLines!$I$5:$I$504,SalesOrderLines!$B$5:$B$504,A237),"")</f>
        <v>0</v>
      </c>
      <c r="K237" s="9" t="n">
        <f aca="false">IFERROR(SUMIFS(SalesOrderLines!$J$5:$J$504,SalesOrderLines!$B$5:$B$504,A237),"")</f>
        <v>0</v>
      </c>
      <c r="L237" s="9" t="n">
        <f aca="false">IFERROR(J237+K237,"")</f>
        <v>0</v>
      </c>
      <c r="M237" s="9" t="n">
        <f aca="false">IFERROR(SUMIFS(Payments!$E$5:$E$504,Payments!$D$5:$D$504,A237,Payments!$C$5:$C$504,"In"),"")</f>
        <v>0</v>
      </c>
      <c r="N237" s="9" t="n">
        <f aca="false">IFERROR(L237-M237,"")</f>
        <v>0</v>
      </c>
    </row>
    <row r="238" customFormat="false" ht="15" hidden="false" customHeight="false" outlineLevel="0" collapsed="false">
      <c r="A238" s="10"/>
      <c r="B238" s="12"/>
      <c r="C238" s="10"/>
      <c r="D238" s="14" t="str">
        <f aca="false">IFERROR(IF(C238="","",INDEX(Customers!$B$5:$B$504,MATCH(C238,Customers!$A$5:$A$504,0))),"")</f>
        <v/>
      </c>
      <c r="E238" s="10" t="s">
        <v>24</v>
      </c>
      <c r="F238" s="12"/>
      <c r="G238" s="12"/>
      <c r="H238" s="10"/>
      <c r="I238" s="10"/>
      <c r="J238" s="9" t="n">
        <f aca="false">IFERROR(SUMIFS(SalesOrderLines!$I$5:$I$504,SalesOrderLines!$B$5:$B$504,A238),"")</f>
        <v>0</v>
      </c>
      <c r="K238" s="9" t="n">
        <f aca="false">IFERROR(SUMIFS(SalesOrderLines!$J$5:$J$504,SalesOrderLines!$B$5:$B$504,A238),"")</f>
        <v>0</v>
      </c>
      <c r="L238" s="9" t="n">
        <f aca="false">IFERROR(J238+K238,"")</f>
        <v>0</v>
      </c>
      <c r="M238" s="9" t="n">
        <f aca="false">IFERROR(SUMIFS(Payments!$E$5:$E$504,Payments!$D$5:$D$504,A238,Payments!$C$5:$C$504,"In"),"")</f>
        <v>0</v>
      </c>
      <c r="N238" s="9" t="n">
        <f aca="false">IFERROR(L238-M238,"")</f>
        <v>0</v>
      </c>
    </row>
    <row r="239" customFormat="false" ht="15" hidden="false" customHeight="false" outlineLevel="0" collapsed="false">
      <c r="A239" s="10"/>
      <c r="B239" s="12"/>
      <c r="C239" s="10"/>
      <c r="D239" s="14" t="str">
        <f aca="false">IFERROR(IF(C239="","",INDEX(Customers!$B$5:$B$504,MATCH(C239,Customers!$A$5:$A$504,0))),"")</f>
        <v/>
      </c>
      <c r="E239" s="10" t="s">
        <v>24</v>
      </c>
      <c r="F239" s="12"/>
      <c r="G239" s="12"/>
      <c r="H239" s="10"/>
      <c r="I239" s="10"/>
      <c r="J239" s="9" t="n">
        <f aca="false">IFERROR(SUMIFS(SalesOrderLines!$I$5:$I$504,SalesOrderLines!$B$5:$B$504,A239),"")</f>
        <v>0</v>
      </c>
      <c r="K239" s="9" t="n">
        <f aca="false">IFERROR(SUMIFS(SalesOrderLines!$J$5:$J$504,SalesOrderLines!$B$5:$B$504,A239),"")</f>
        <v>0</v>
      </c>
      <c r="L239" s="9" t="n">
        <f aca="false">IFERROR(J239+K239,"")</f>
        <v>0</v>
      </c>
      <c r="M239" s="9" t="n">
        <f aca="false">IFERROR(SUMIFS(Payments!$E$5:$E$504,Payments!$D$5:$D$504,A239,Payments!$C$5:$C$504,"In"),"")</f>
        <v>0</v>
      </c>
      <c r="N239" s="9" t="n">
        <f aca="false">IFERROR(L239-M239,"")</f>
        <v>0</v>
      </c>
    </row>
    <row r="240" customFormat="false" ht="15" hidden="false" customHeight="false" outlineLevel="0" collapsed="false">
      <c r="A240" s="10"/>
      <c r="B240" s="12"/>
      <c r="C240" s="10"/>
      <c r="D240" s="14" t="str">
        <f aca="false">IFERROR(IF(C240="","",INDEX(Customers!$B$5:$B$504,MATCH(C240,Customers!$A$5:$A$504,0))),"")</f>
        <v/>
      </c>
      <c r="E240" s="10" t="s">
        <v>24</v>
      </c>
      <c r="F240" s="12"/>
      <c r="G240" s="12"/>
      <c r="H240" s="10"/>
      <c r="I240" s="10"/>
      <c r="J240" s="9" t="n">
        <f aca="false">IFERROR(SUMIFS(SalesOrderLines!$I$5:$I$504,SalesOrderLines!$B$5:$B$504,A240),"")</f>
        <v>0</v>
      </c>
      <c r="K240" s="9" t="n">
        <f aca="false">IFERROR(SUMIFS(SalesOrderLines!$J$5:$J$504,SalesOrderLines!$B$5:$B$504,A240),"")</f>
        <v>0</v>
      </c>
      <c r="L240" s="9" t="n">
        <f aca="false">IFERROR(J240+K240,"")</f>
        <v>0</v>
      </c>
      <c r="M240" s="9" t="n">
        <f aca="false">IFERROR(SUMIFS(Payments!$E$5:$E$504,Payments!$D$5:$D$504,A240,Payments!$C$5:$C$504,"In"),"")</f>
        <v>0</v>
      </c>
      <c r="N240" s="9" t="n">
        <f aca="false">IFERROR(L240-M240,"")</f>
        <v>0</v>
      </c>
    </row>
    <row r="241" customFormat="false" ht="15" hidden="false" customHeight="false" outlineLevel="0" collapsed="false">
      <c r="A241" s="10"/>
      <c r="B241" s="12"/>
      <c r="C241" s="10"/>
      <c r="D241" s="14" t="str">
        <f aca="false">IFERROR(IF(C241="","",INDEX(Customers!$B$5:$B$504,MATCH(C241,Customers!$A$5:$A$504,0))),"")</f>
        <v/>
      </c>
      <c r="E241" s="10" t="s">
        <v>24</v>
      </c>
      <c r="F241" s="12"/>
      <c r="G241" s="12"/>
      <c r="H241" s="10"/>
      <c r="I241" s="10"/>
      <c r="J241" s="9" t="n">
        <f aca="false">IFERROR(SUMIFS(SalesOrderLines!$I$5:$I$504,SalesOrderLines!$B$5:$B$504,A241),"")</f>
        <v>0</v>
      </c>
      <c r="K241" s="9" t="n">
        <f aca="false">IFERROR(SUMIFS(SalesOrderLines!$J$5:$J$504,SalesOrderLines!$B$5:$B$504,A241),"")</f>
        <v>0</v>
      </c>
      <c r="L241" s="9" t="n">
        <f aca="false">IFERROR(J241+K241,"")</f>
        <v>0</v>
      </c>
      <c r="M241" s="9" t="n">
        <f aca="false">IFERROR(SUMIFS(Payments!$E$5:$E$504,Payments!$D$5:$D$504,A241,Payments!$C$5:$C$504,"In"),"")</f>
        <v>0</v>
      </c>
      <c r="N241" s="9" t="n">
        <f aca="false">IFERROR(L241-M241,"")</f>
        <v>0</v>
      </c>
    </row>
    <row r="242" customFormat="false" ht="15" hidden="false" customHeight="false" outlineLevel="0" collapsed="false">
      <c r="A242" s="10"/>
      <c r="B242" s="12"/>
      <c r="C242" s="10"/>
      <c r="D242" s="14" t="str">
        <f aca="false">IFERROR(IF(C242="","",INDEX(Customers!$B$5:$B$504,MATCH(C242,Customers!$A$5:$A$504,0))),"")</f>
        <v/>
      </c>
      <c r="E242" s="10" t="s">
        <v>24</v>
      </c>
      <c r="F242" s="12"/>
      <c r="G242" s="12"/>
      <c r="H242" s="10"/>
      <c r="I242" s="10"/>
      <c r="J242" s="9" t="n">
        <f aca="false">IFERROR(SUMIFS(SalesOrderLines!$I$5:$I$504,SalesOrderLines!$B$5:$B$504,A242),"")</f>
        <v>0</v>
      </c>
      <c r="K242" s="9" t="n">
        <f aca="false">IFERROR(SUMIFS(SalesOrderLines!$J$5:$J$504,SalesOrderLines!$B$5:$B$504,A242),"")</f>
        <v>0</v>
      </c>
      <c r="L242" s="9" t="n">
        <f aca="false">IFERROR(J242+K242,"")</f>
        <v>0</v>
      </c>
      <c r="M242" s="9" t="n">
        <f aca="false">IFERROR(SUMIFS(Payments!$E$5:$E$504,Payments!$D$5:$D$504,A242,Payments!$C$5:$C$504,"In"),"")</f>
        <v>0</v>
      </c>
      <c r="N242" s="9" t="n">
        <f aca="false">IFERROR(L242-M242,"")</f>
        <v>0</v>
      </c>
    </row>
    <row r="243" customFormat="false" ht="15" hidden="false" customHeight="false" outlineLevel="0" collapsed="false">
      <c r="A243" s="10"/>
      <c r="B243" s="12"/>
      <c r="C243" s="10"/>
      <c r="D243" s="14" t="str">
        <f aca="false">IFERROR(IF(C243="","",INDEX(Customers!$B$5:$B$504,MATCH(C243,Customers!$A$5:$A$504,0))),"")</f>
        <v/>
      </c>
      <c r="E243" s="10" t="s">
        <v>24</v>
      </c>
      <c r="F243" s="12"/>
      <c r="G243" s="12"/>
      <c r="H243" s="10"/>
      <c r="I243" s="10"/>
      <c r="J243" s="9" t="n">
        <f aca="false">IFERROR(SUMIFS(SalesOrderLines!$I$5:$I$504,SalesOrderLines!$B$5:$B$504,A243),"")</f>
        <v>0</v>
      </c>
      <c r="K243" s="9" t="n">
        <f aca="false">IFERROR(SUMIFS(SalesOrderLines!$J$5:$J$504,SalesOrderLines!$B$5:$B$504,A243),"")</f>
        <v>0</v>
      </c>
      <c r="L243" s="9" t="n">
        <f aca="false">IFERROR(J243+K243,"")</f>
        <v>0</v>
      </c>
      <c r="M243" s="9" t="n">
        <f aca="false">IFERROR(SUMIFS(Payments!$E$5:$E$504,Payments!$D$5:$D$504,A243,Payments!$C$5:$C$504,"In"),"")</f>
        <v>0</v>
      </c>
      <c r="N243" s="9" t="n">
        <f aca="false">IFERROR(L243-M243,"")</f>
        <v>0</v>
      </c>
    </row>
    <row r="244" customFormat="false" ht="15" hidden="false" customHeight="false" outlineLevel="0" collapsed="false">
      <c r="A244" s="10"/>
      <c r="B244" s="12"/>
      <c r="C244" s="10"/>
      <c r="D244" s="14" t="str">
        <f aca="false">IFERROR(IF(C244="","",INDEX(Customers!$B$5:$B$504,MATCH(C244,Customers!$A$5:$A$504,0))),"")</f>
        <v/>
      </c>
      <c r="E244" s="10" t="s">
        <v>24</v>
      </c>
      <c r="F244" s="12"/>
      <c r="G244" s="12"/>
      <c r="H244" s="10"/>
      <c r="I244" s="10"/>
      <c r="J244" s="9" t="n">
        <f aca="false">IFERROR(SUMIFS(SalesOrderLines!$I$5:$I$504,SalesOrderLines!$B$5:$B$504,A244),"")</f>
        <v>0</v>
      </c>
      <c r="K244" s="9" t="n">
        <f aca="false">IFERROR(SUMIFS(SalesOrderLines!$J$5:$J$504,SalesOrderLines!$B$5:$B$504,A244),"")</f>
        <v>0</v>
      </c>
      <c r="L244" s="9" t="n">
        <f aca="false">IFERROR(J244+K244,"")</f>
        <v>0</v>
      </c>
      <c r="M244" s="9" t="n">
        <f aca="false">IFERROR(SUMIFS(Payments!$E$5:$E$504,Payments!$D$5:$D$504,A244,Payments!$C$5:$C$504,"In"),"")</f>
        <v>0</v>
      </c>
      <c r="N244" s="9" t="n">
        <f aca="false">IFERROR(L244-M244,"")</f>
        <v>0</v>
      </c>
    </row>
    <row r="245" customFormat="false" ht="15" hidden="false" customHeight="false" outlineLevel="0" collapsed="false">
      <c r="A245" s="10"/>
      <c r="B245" s="12"/>
      <c r="C245" s="10"/>
      <c r="D245" s="14" t="str">
        <f aca="false">IFERROR(IF(C245="","",INDEX(Customers!$B$5:$B$504,MATCH(C245,Customers!$A$5:$A$504,0))),"")</f>
        <v/>
      </c>
      <c r="E245" s="10" t="s">
        <v>24</v>
      </c>
      <c r="F245" s="12"/>
      <c r="G245" s="12"/>
      <c r="H245" s="10"/>
      <c r="I245" s="10"/>
      <c r="J245" s="9" t="n">
        <f aca="false">IFERROR(SUMIFS(SalesOrderLines!$I$5:$I$504,SalesOrderLines!$B$5:$B$504,A245),"")</f>
        <v>0</v>
      </c>
      <c r="K245" s="9" t="n">
        <f aca="false">IFERROR(SUMIFS(SalesOrderLines!$J$5:$J$504,SalesOrderLines!$B$5:$B$504,A245),"")</f>
        <v>0</v>
      </c>
      <c r="L245" s="9" t="n">
        <f aca="false">IFERROR(J245+K245,"")</f>
        <v>0</v>
      </c>
      <c r="M245" s="9" t="n">
        <f aca="false">IFERROR(SUMIFS(Payments!$E$5:$E$504,Payments!$D$5:$D$504,A245,Payments!$C$5:$C$504,"In"),"")</f>
        <v>0</v>
      </c>
      <c r="N245" s="9" t="n">
        <f aca="false">IFERROR(L245-M245,"")</f>
        <v>0</v>
      </c>
    </row>
    <row r="246" customFormat="false" ht="15" hidden="false" customHeight="false" outlineLevel="0" collapsed="false">
      <c r="A246" s="10"/>
      <c r="B246" s="12"/>
      <c r="C246" s="10"/>
      <c r="D246" s="14" t="str">
        <f aca="false">IFERROR(IF(C246="","",INDEX(Customers!$B$5:$B$504,MATCH(C246,Customers!$A$5:$A$504,0))),"")</f>
        <v/>
      </c>
      <c r="E246" s="10" t="s">
        <v>24</v>
      </c>
      <c r="F246" s="12"/>
      <c r="G246" s="12"/>
      <c r="H246" s="10"/>
      <c r="I246" s="10"/>
      <c r="J246" s="9" t="n">
        <f aca="false">IFERROR(SUMIFS(SalesOrderLines!$I$5:$I$504,SalesOrderLines!$B$5:$B$504,A246),"")</f>
        <v>0</v>
      </c>
      <c r="K246" s="9" t="n">
        <f aca="false">IFERROR(SUMIFS(SalesOrderLines!$J$5:$J$504,SalesOrderLines!$B$5:$B$504,A246),"")</f>
        <v>0</v>
      </c>
      <c r="L246" s="9" t="n">
        <f aca="false">IFERROR(J246+K246,"")</f>
        <v>0</v>
      </c>
      <c r="M246" s="9" t="n">
        <f aca="false">IFERROR(SUMIFS(Payments!$E$5:$E$504,Payments!$D$5:$D$504,A246,Payments!$C$5:$C$504,"In"),"")</f>
        <v>0</v>
      </c>
      <c r="N246" s="9" t="n">
        <f aca="false">IFERROR(L246-M246,"")</f>
        <v>0</v>
      </c>
    </row>
    <row r="247" customFormat="false" ht="15" hidden="false" customHeight="false" outlineLevel="0" collapsed="false">
      <c r="A247" s="10"/>
      <c r="B247" s="12"/>
      <c r="C247" s="10"/>
      <c r="D247" s="14" t="str">
        <f aca="false">IFERROR(IF(C247="","",INDEX(Customers!$B$5:$B$504,MATCH(C247,Customers!$A$5:$A$504,0))),"")</f>
        <v/>
      </c>
      <c r="E247" s="10" t="s">
        <v>24</v>
      </c>
      <c r="F247" s="12"/>
      <c r="G247" s="12"/>
      <c r="H247" s="10"/>
      <c r="I247" s="10"/>
      <c r="J247" s="9" t="n">
        <f aca="false">IFERROR(SUMIFS(SalesOrderLines!$I$5:$I$504,SalesOrderLines!$B$5:$B$504,A247),"")</f>
        <v>0</v>
      </c>
      <c r="K247" s="9" t="n">
        <f aca="false">IFERROR(SUMIFS(SalesOrderLines!$J$5:$J$504,SalesOrderLines!$B$5:$B$504,A247),"")</f>
        <v>0</v>
      </c>
      <c r="L247" s="9" t="n">
        <f aca="false">IFERROR(J247+K247,"")</f>
        <v>0</v>
      </c>
      <c r="M247" s="9" t="n">
        <f aca="false">IFERROR(SUMIFS(Payments!$E$5:$E$504,Payments!$D$5:$D$504,A247,Payments!$C$5:$C$504,"In"),"")</f>
        <v>0</v>
      </c>
      <c r="N247" s="9" t="n">
        <f aca="false">IFERROR(L247-M247,"")</f>
        <v>0</v>
      </c>
    </row>
    <row r="248" customFormat="false" ht="15" hidden="false" customHeight="false" outlineLevel="0" collapsed="false">
      <c r="A248" s="10"/>
      <c r="B248" s="12"/>
      <c r="C248" s="10"/>
      <c r="D248" s="14" t="str">
        <f aca="false">IFERROR(IF(C248="","",INDEX(Customers!$B$5:$B$504,MATCH(C248,Customers!$A$5:$A$504,0))),"")</f>
        <v/>
      </c>
      <c r="E248" s="10" t="s">
        <v>24</v>
      </c>
      <c r="F248" s="12"/>
      <c r="G248" s="12"/>
      <c r="H248" s="10"/>
      <c r="I248" s="10"/>
      <c r="J248" s="9" t="n">
        <f aca="false">IFERROR(SUMIFS(SalesOrderLines!$I$5:$I$504,SalesOrderLines!$B$5:$B$504,A248),"")</f>
        <v>0</v>
      </c>
      <c r="K248" s="9" t="n">
        <f aca="false">IFERROR(SUMIFS(SalesOrderLines!$J$5:$J$504,SalesOrderLines!$B$5:$B$504,A248),"")</f>
        <v>0</v>
      </c>
      <c r="L248" s="9" t="n">
        <f aca="false">IFERROR(J248+K248,"")</f>
        <v>0</v>
      </c>
      <c r="M248" s="9" t="n">
        <f aca="false">IFERROR(SUMIFS(Payments!$E$5:$E$504,Payments!$D$5:$D$504,A248,Payments!$C$5:$C$504,"In"),"")</f>
        <v>0</v>
      </c>
      <c r="N248" s="9" t="n">
        <f aca="false">IFERROR(L248-M248,"")</f>
        <v>0</v>
      </c>
    </row>
    <row r="249" customFormat="false" ht="15" hidden="false" customHeight="false" outlineLevel="0" collapsed="false">
      <c r="A249" s="10"/>
      <c r="B249" s="12"/>
      <c r="C249" s="10"/>
      <c r="D249" s="14" t="str">
        <f aca="false">IFERROR(IF(C249="","",INDEX(Customers!$B$5:$B$504,MATCH(C249,Customers!$A$5:$A$504,0))),"")</f>
        <v/>
      </c>
      <c r="E249" s="10" t="s">
        <v>24</v>
      </c>
      <c r="F249" s="12"/>
      <c r="G249" s="12"/>
      <c r="H249" s="10"/>
      <c r="I249" s="10"/>
      <c r="J249" s="9" t="n">
        <f aca="false">IFERROR(SUMIFS(SalesOrderLines!$I$5:$I$504,SalesOrderLines!$B$5:$B$504,A249),"")</f>
        <v>0</v>
      </c>
      <c r="K249" s="9" t="n">
        <f aca="false">IFERROR(SUMIFS(SalesOrderLines!$J$5:$J$504,SalesOrderLines!$B$5:$B$504,A249),"")</f>
        <v>0</v>
      </c>
      <c r="L249" s="9" t="n">
        <f aca="false">IFERROR(J249+K249,"")</f>
        <v>0</v>
      </c>
      <c r="M249" s="9" t="n">
        <f aca="false">IFERROR(SUMIFS(Payments!$E$5:$E$504,Payments!$D$5:$D$504,A249,Payments!$C$5:$C$504,"In"),"")</f>
        <v>0</v>
      </c>
      <c r="N249" s="9" t="n">
        <f aca="false">IFERROR(L249-M249,"")</f>
        <v>0</v>
      </c>
    </row>
    <row r="250" customFormat="false" ht="15" hidden="false" customHeight="false" outlineLevel="0" collapsed="false">
      <c r="A250" s="10"/>
      <c r="B250" s="12"/>
      <c r="C250" s="10"/>
      <c r="D250" s="14" t="str">
        <f aca="false">IFERROR(IF(C250="","",INDEX(Customers!$B$5:$B$504,MATCH(C250,Customers!$A$5:$A$504,0))),"")</f>
        <v/>
      </c>
      <c r="E250" s="10" t="s">
        <v>24</v>
      </c>
      <c r="F250" s="12"/>
      <c r="G250" s="12"/>
      <c r="H250" s="10"/>
      <c r="I250" s="10"/>
      <c r="J250" s="9" t="n">
        <f aca="false">IFERROR(SUMIFS(SalesOrderLines!$I$5:$I$504,SalesOrderLines!$B$5:$B$504,A250),"")</f>
        <v>0</v>
      </c>
      <c r="K250" s="9" t="n">
        <f aca="false">IFERROR(SUMIFS(SalesOrderLines!$J$5:$J$504,SalesOrderLines!$B$5:$B$504,A250),"")</f>
        <v>0</v>
      </c>
      <c r="L250" s="9" t="n">
        <f aca="false">IFERROR(J250+K250,"")</f>
        <v>0</v>
      </c>
      <c r="M250" s="9" t="n">
        <f aca="false">IFERROR(SUMIFS(Payments!$E$5:$E$504,Payments!$D$5:$D$504,A250,Payments!$C$5:$C$504,"In"),"")</f>
        <v>0</v>
      </c>
      <c r="N250" s="9" t="n">
        <f aca="false">IFERROR(L250-M250,"")</f>
        <v>0</v>
      </c>
    </row>
    <row r="251" customFormat="false" ht="15" hidden="false" customHeight="false" outlineLevel="0" collapsed="false">
      <c r="A251" s="10"/>
      <c r="B251" s="12"/>
      <c r="C251" s="10"/>
      <c r="D251" s="14" t="str">
        <f aca="false">IFERROR(IF(C251="","",INDEX(Customers!$B$5:$B$504,MATCH(C251,Customers!$A$5:$A$504,0))),"")</f>
        <v/>
      </c>
      <c r="E251" s="10" t="s">
        <v>24</v>
      </c>
      <c r="F251" s="12"/>
      <c r="G251" s="12"/>
      <c r="H251" s="10"/>
      <c r="I251" s="10"/>
      <c r="J251" s="9" t="n">
        <f aca="false">IFERROR(SUMIFS(SalesOrderLines!$I$5:$I$504,SalesOrderLines!$B$5:$B$504,A251),"")</f>
        <v>0</v>
      </c>
      <c r="K251" s="9" t="n">
        <f aca="false">IFERROR(SUMIFS(SalesOrderLines!$J$5:$J$504,SalesOrderLines!$B$5:$B$504,A251),"")</f>
        <v>0</v>
      </c>
      <c r="L251" s="9" t="n">
        <f aca="false">IFERROR(J251+K251,"")</f>
        <v>0</v>
      </c>
      <c r="M251" s="9" t="n">
        <f aca="false">IFERROR(SUMIFS(Payments!$E$5:$E$504,Payments!$D$5:$D$504,A251,Payments!$C$5:$C$504,"In"),"")</f>
        <v>0</v>
      </c>
      <c r="N251" s="9" t="n">
        <f aca="false">IFERROR(L251-M251,"")</f>
        <v>0</v>
      </c>
    </row>
    <row r="252" customFormat="false" ht="15" hidden="false" customHeight="false" outlineLevel="0" collapsed="false">
      <c r="A252" s="10"/>
      <c r="B252" s="12"/>
      <c r="C252" s="10"/>
      <c r="D252" s="14" t="str">
        <f aca="false">IFERROR(IF(C252="","",INDEX(Customers!$B$5:$B$504,MATCH(C252,Customers!$A$5:$A$504,0))),"")</f>
        <v/>
      </c>
      <c r="E252" s="10" t="s">
        <v>24</v>
      </c>
      <c r="F252" s="12"/>
      <c r="G252" s="12"/>
      <c r="H252" s="10"/>
      <c r="I252" s="10"/>
      <c r="J252" s="9" t="n">
        <f aca="false">IFERROR(SUMIFS(SalesOrderLines!$I$5:$I$504,SalesOrderLines!$B$5:$B$504,A252),"")</f>
        <v>0</v>
      </c>
      <c r="K252" s="9" t="n">
        <f aca="false">IFERROR(SUMIFS(SalesOrderLines!$J$5:$J$504,SalesOrderLines!$B$5:$B$504,A252),"")</f>
        <v>0</v>
      </c>
      <c r="L252" s="9" t="n">
        <f aca="false">IFERROR(J252+K252,"")</f>
        <v>0</v>
      </c>
      <c r="M252" s="9" t="n">
        <f aca="false">IFERROR(SUMIFS(Payments!$E$5:$E$504,Payments!$D$5:$D$504,A252,Payments!$C$5:$C$504,"In"),"")</f>
        <v>0</v>
      </c>
      <c r="N252" s="9" t="n">
        <f aca="false">IFERROR(L252-M252,"")</f>
        <v>0</v>
      </c>
    </row>
    <row r="253" customFormat="false" ht="15" hidden="false" customHeight="false" outlineLevel="0" collapsed="false">
      <c r="A253" s="10"/>
      <c r="B253" s="12"/>
      <c r="C253" s="10"/>
      <c r="D253" s="14" t="str">
        <f aca="false">IFERROR(IF(C253="","",INDEX(Customers!$B$5:$B$504,MATCH(C253,Customers!$A$5:$A$504,0))),"")</f>
        <v/>
      </c>
      <c r="E253" s="10" t="s">
        <v>24</v>
      </c>
      <c r="F253" s="12"/>
      <c r="G253" s="12"/>
      <c r="H253" s="10"/>
      <c r="I253" s="10"/>
      <c r="J253" s="9" t="n">
        <f aca="false">IFERROR(SUMIFS(SalesOrderLines!$I$5:$I$504,SalesOrderLines!$B$5:$B$504,A253),"")</f>
        <v>0</v>
      </c>
      <c r="K253" s="9" t="n">
        <f aca="false">IFERROR(SUMIFS(SalesOrderLines!$J$5:$J$504,SalesOrderLines!$B$5:$B$504,A253),"")</f>
        <v>0</v>
      </c>
      <c r="L253" s="9" t="n">
        <f aca="false">IFERROR(J253+K253,"")</f>
        <v>0</v>
      </c>
      <c r="M253" s="9" t="n">
        <f aca="false">IFERROR(SUMIFS(Payments!$E$5:$E$504,Payments!$D$5:$D$504,A253,Payments!$C$5:$C$504,"In"),"")</f>
        <v>0</v>
      </c>
      <c r="N253" s="9" t="n">
        <f aca="false">IFERROR(L253-M253,"")</f>
        <v>0</v>
      </c>
    </row>
    <row r="254" customFormat="false" ht="15" hidden="false" customHeight="false" outlineLevel="0" collapsed="false">
      <c r="A254" s="10"/>
      <c r="B254" s="12"/>
      <c r="C254" s="10"/>
      <c r="D254" s="14" t="str">
        <f aca="false">IFERROR(IF(C254="","",INDEX(Customers!$B$5:$B$504,MATCH(C254,Customers!$A$5:$A$504,0))),"")</f>
        <v/>
      </c>
      <c r="E254" s="10" t="s">
        <v>24</v>
      </c>
      <c r="F254" s="12"/>
      <c r="G254" s="12"/>
      <c r="H254" s="10"/>
      <c r="I254" s="10"/>
      <c r="J254" s="9" t="n">
        <f aca="false">IFERROR(SUMIFS(SalesOrderLines!$I$5:$I$504,SalesOrderLines!$B$5:$B$504,A254),"")</f>
        <v>0</v>
      </c>
      <c r="K254" s="9" t="n">
        <f aca="false">IFERROR(SUMIFS(SalesOrderLines!$J$5:$J$504,SalesOrderLines!$B$5:$B$504,A254),"")</f>
        <v>0</v>
      </c>
      <c r="L254" s="9" t="n">
        <f aca="false">IFERROR(J254+K254,"")</f>
        <v>0</v>
      </c>
      <c r="M254" s="9" t="n">
        <f aca="false">IFERROR(SUMIFS(Payments!$E$5:$E$504,Payments!$D$5:$D$504,A254,Payments!$C$5:$C$504,"In"),"")</f>
        <v>0</v>
      </c>
      <c r="N254" s="9" t="n">
        <f aca="false">IFERROR(L254-M254,"")</f>
        <v>0</v>
      </c>
    </row>
    <row r="255" customFormat="false" ht="15" hidden="false" customHeight="false" outlineLevel="0" collapsed="false">
      <c r="A255" s="10"/>
      <c r="B255" s="12"/>
      <c r="C255" s="10"/>
      <c r="D255" s="14" t="str">
        <f aca="false">IFERROR(IF(C255="","",INDEX(Customers!$B$5:$B$504,MATCH(C255,Customers!$A$5:$A$504,0))),"")</f>
        <v/>
      </c>
      <c r="E255" s="10" t="s">
        <v>24</v>
      </c>
      <c r="F255" s="12"/>
      <c r="G255" s="12"/>
      <c r="H255" s="10"/>
      <c r="I255" s="10"/>
      <c r="J255" s="9" t="n">
        <f aca="false">IFERROR(SUMIFS(SalesOrderLines!$I$5:$I$504,SalesOrderLines!$B$5:$B$504,A255),"")</f>
        <v>0</v>
      </c>
      <c r="K255" s="9" t="n">
        <f aca="false">IFERROR(SUMIFS(SalesOrderLines!$J$5:$J$504,SalesOrderLines!$B$5:$B$504,A255),"")</f>
        <v>0</v>
      </c>
      <c r="L255" s="9" t="n">
        <f aca="false">IFERROR(J255+K255,"")</f>
        <v>0</v>
      </c>
      <c r="M255" s="9" t="n">
        <f aca="false">IFERROR(SUMIFS(Payments!$E$5:$E$504,Payments!$D$5:$D$504,A255,Payments!$C$5:$C$504,"In"),"")</f>
        <v>0</v>
      </c>
      <c r="N255" s="9" t="n">
        <f aca="false">IFERROR(L255-M255,"")</f>
        <v>0</v>
      </c>
    </row>
    <row r="256" customFormat="false" ht="15" hidden="false" customHeight="false" outlineLevel="0" collapsed="false">
      <c r="A256" s="10"/>
      <c r="B256" s="12"/>
      <c r="C256" s="10"/>
      <c r="D256" s="14" t="str">
        <f aca="false">IFERROR(IF(C256="","",INDEX(Customers!$B$5:$B$504,MATCH(C256,Customers!$A$5:$A$504,0))),"")</f>
        <v/>
      </c>
      <c r="E256" s="10" t="s">
        <v>24</v>
      </c>
      <c r="F256" s="12"/>
      <c r="G256" s="12"/>
      <c r="H256" s="10"/>
      <c r="I256" s="10"/>
      <c r="J256" s="9" t="n">
        <f aca="false">IFERROR(SUMIFS(SalesOrderLines!$I$5:$I$504,SalesOrderLines!$B$5:$B$504,A256),"")</f>
        <v>0</v>
      </c>
      <c r="K256" s="9" t="n">
        <f aca="false">IFERROR(SUMIFS(SalesOrderLines!$J$5:$J$504,SalesOrderLines!$B$5:$B$504,A256),"")</f>
        <v>0</v>
      </c>
      <c r="L256" s="9" t="n">
        <f aca="false">IFERROR(J256+K256,"")</f>
        <v>0</v>
      </c>
      <c r="M256" s="9" t="n">
        <f aca="false">IFERROR(SUMIFS(Payments!$E$5:$E$504,Payments!$D$5:$D$504,A256,Payments!$C$5:$C$504,"In"),"")</f>
        <v>0</v>
      </c>
      <c r="N256" s="9" t="n">
        <f aca="false">IFERROR(L256-M256,"")</f>
        <v>0</v>
      </c>
    </row>
    <row r="257" customFormat="false" ht="15" hidden="false" customHeight="false" outlineLevel="0" collapsed="false">
      <c r="A257" s="10"/>
      <c r="B257" s="12"/>
      <c r="C257" s="10"/>
      <c r="D257" s="14" t="str">
        <f aca="false">IFERROR(IF(C257="","",INDEX(Customers!$B$5:$B$504,MATCH(C257,Customers!$A$5:$A$504,0))),"")</f>
        <v/>
      </c>
      <c r="E257" s="10" t="s">
        <v>24</v>
      </c>
      <c r="F257" s="12"/>
      <c r="G257" s="12"/>
      <c r="H257" s="10"/>
      <c r="I257" s="10"/>
      <c r="J257" s="9" t="n">
        <f aca="false">IFERROR(SUMIFS(SalesOrderLines!$I$5:$I$504,SalesOrderLines!$B$5:$B$504,A257),"")</f>
        <v>0</v>
      </c>
      <c r="K257" s="9" t="n">
        <f aca="false">IFERROR(SUMIFS(SalesOrderLines!$J$5:$J$504,SalesOrderLines!$B$5:$B$504,A257),"")</f>
        <v>0</v>
      </c>
      <c r="L257" s="9" t="n">
        <f aca="false">IFERROR(J257+K257,"")</f>
        <v>0</v>
      </c>
      <c r="M257" s="9" t="n">
        <f aca="false">IFERROR(SUMIFS(Payments!$E$5:$E$504,Payments!$D$5:$D$504,A257,Payments!$C$5:$C$504,"In"),"")</f>
        <v>0</v>
      </c>
      <c r="N257" s="9" t="n">
        <f aca="false">IFERROR(L257-M257,"")</f>
        <v>0</v>
      </c>
    </row>
    <row r="258" customFormat="false" ht="15" hidden="false" customHeight="false" outlineLevel="0" collapsed="false">
      <c r="A258" s="10"/>
      <c r="B258" s="12"/>
      <c r="C258" s="10"/>
      <c r="D258" s="14" t="str">
        <f aca="false">IFERROR(IF(C258="","",INDEX(Customers!$B$5:$B$504,MATCH(C258,Customers!$A$5:$A$504,0))),"")</f>
        <v/>
      </c>
      <c r="E258" s="10" t="s">
        <v>24</v>
      </c>
      <c r="F258" s="12"/>
      <c r="G258" s="12"/>
      <c r="H258" s="10"/>
      <c r="I258" s="10"/>
      <c r="J258" s="9" t="n">
        <f aca="false">IFERROR(SUMIFS(SalesOrderLines!$I$5:$I$504,SalesOrderLines!$B$5:$B$504,A258),"")</f>
        <v>0</v>
      </c>
      <c r="K258" s="9" t="n">
        <f aca="false">IFERROR(SUMIFS(SalesOrderLines!$J$5:$J$504,SalesOrderLines!$B$5:$B$504,A258),"")</f>
        <v>0</v>
      </c>
      <c r="L258" s="9" t="n">
        <f aca="false">IFERROR(J258+K258,"")</f>
        <v>0</v>
      </c>
      <c r="M258" s="9" t="n">
        <f aca="false">IFERROR(SUMIFS(Payments!$E$5:$E$504,Payments!$D$5:$D$504,A258,Payments!$C$5:$C$504,"In"),"")</f>
        <v>0</v>
      </c>
      <c r="N258" s="9" t="n">
        <f aca="false">IFERROR(L258-M258,"")</f>
        <v>0</v>
      </c>
    </row>
    <row r="259" customFormat="false" ht="15" hidden="false" customHeight="false" outlineLevel="0" collapsed="false">
      <c r="A259" s="10"/>
      <c r="B259" s="12"/>
      <c r="C259" s="10"/>
      <c r="D259" s="14" t="str">
        <f aca="false">IFERROR(IF(C259="","",INDEX(Customers!$B$5:$B$504,MATCH(C259,Customers!$A$5:$A$504,0))),"")</f>
        <v/>
      </c>
      <c r="E259" s="10" t="s">
        <v>24</v>
      </c>
      <c r="F259" s="12"/>
      <c r="G259" s="12"/>
      <c r="H259" s="10"/>
      <c r="I259" s="10"/>
      <c r="J259" s="9" t="n">
        <f aca="false">IFERROR(SUMIFS(SalesOrderLines!$I$5:$I$504,SalesOrderLines!$B$5:$B$504,A259),"")</f>
        <v>0</v>
      </c>
      <c r="K259" s="9" t="n">
        <f aca="false">IFERROR(SUMIFS(SalesOrderLines!$J$5:$J$504,SalesOrderLines!$B$5:$B$504,A259),"")</f>
        <v>0</v>
      </c>
      <c r="L259" s="9" t="n">
        <f aca="false">IFERROR(J259+K259,"")</f>
        <v>0</v>
      </c>
      <c r="M259" s="9" t="n">
        <f aca="false">IFERROR(SUMIFS(Payments!$E$5:$E$504,Payments!$D$5:$D$504,A259,Payments!$C$5:$C$504,"In"),"")</f>
        <v>0</v>
      </c>
      <c r="N259" s="9" t="n">
        <f aca="false">IFERROR(L259-M259,"")</f>
        <v>0</v>
      </c>
    </row>
    <row r="260" customFormat="false" ht="15" hidden="false" customHeight="false" outlineLevel="0" collapsed="false">
      <c r="A260" s="10"/>
      <c r="B260" s="12"/>
      <c r="C260" s="10"/>
      <c r="D260" s="14" t="str">
        <f aca="false">IFERROR(IF(C260="","",INDEX(Customers!$B$5:$B$504,MATCH(C260,Customers!$A$5:$A$504,0))),"")</f>
        <v/>
      </c>
      <c r="E260" s="10" t="s">
        <v>24</v>
      </c>
      <c r="F260" s="12"/>
      <c r="G260" s="12"/>
      <c r="H260" s="10"/>
      <c r="I260" s="10"/>
      <c r="J260" s="9" t="n">
        <f aca="false">IFERROR(SUMIFS(SalesOrderLines!$I$5:$I$504,SalesOrderLines!$B$5:$B$504,A260),"")</f>
        <v>0</v>
      </c>
      <c r="K260" s="9" t="n">
        <f aca="false">IFERROR(SUMIFS(SalesOrderLines!$J$5:$J$504,SalesOrderLines!$B$5:$B$504,A260),"")</f>
        <v>0</v>
      </c>
      <c r="L260" s="9" t="n">
        <f aca="false">IFERROR(J260+K260,"")</f>
        <v>0</v>
      </c>
      <c r="M260" s="9" t="n">
        <f aca="false">IFERROR(SUMIFS(Payments!$E$5:$E$504,Payments!$D$5:$D$504,A260,Payments!$C$5:$C$504,"In"),"")</f>
        <v>0</v>
      </c>
      <c r="N260" s="9" t="n">
        <f aca="false">IFERROR(L260-M260,"")</f>
        <v>0</v>
      </c>
    </row>
    <row r="261" customFormat="false" ht="15" hidden="false" customHeight="false" outlineLevel="0" collapsed="false">
      <c r="A261" s="10"/>
      <c r="B261" s="12"/>
      <c r="C261" s="10"/>
      <c r="D261" s="14" t="str">
        <f aca="false">IFERROR(IF(C261="","",INDEX(Customers!$B$5:$B$504,MATCH(C261,Customers!$A$5:$A$504,0))),"")</f>
        <v/>
      </c>
      <c r="E261" s="10" t="s">
        <v>24</v>
      </c>
      <c r="F261" s="12"/>
      <c r="G261" s="12"/>
      <c r="H261" s="10"/>
      <c r="I261" s="10"/>
      <c r="J261" s="9" t="n">
        <f aca="false">IFERROR(SUMIFS(SalesOrderLines!$I$5:$I$504,SalesOrderLines!$B$5:$B$504,A261),"")</f>
        <v>0</v>
      </c>
      <c r="K261" s="9" t="n">
        <f aca="false">IFERROR(SUMIFS(SalesOrderLines!$J$5:$J$504,SalesOrderLines!$B$5:$B$504,A261),"")</f>
        <v>0</v>
      </c>
      <c r="L261" s="9" t="n">
        <f aca="false">IFERROR(J261+K261,"")</f>
        <v>0</v>
      </c>
      <c r="M261" s="9" t="n">
        <f aca="false">IFERROR(SUMIFS(Payments!$E$5:$E$504,Payments!$D$5:$D$504,A261,Payments!$C$5:$C$504,"In"),"")</f>
        <v>0</v>
      </c>
      <c r="N261" s="9" t="n">
        <f aca="false">IFERROR(L261-M261,"")</f>
        <v>0</v>
      </c>
    </row>
    <row r="262" customFormat="false" ht="15" hidden="false" customHeight="false" outlineLevel="0" collapsed="false">
      <c r="A262" s="10"/>
      <c r="B262" s="12"/>
      <c r="C262" s="10"/>
      <c r="D262" s="14" t="str">
        <f aca="false">IFERROR(IF(C262="","",INDEX(Customers!$B$5:$B$504,MATCH(C262,Customers!$A$5:$A$504,0))),"")</f>
        <v/>
      </c>
      <c r="E262" s="10" t="s">
        <v>24</v>
      </c>
      <c r="F262" s="12"/>
      <c r="G262" s="12"/>
      <c r="H262" s="10"/>
      <c r="I262" s="10"/>
      <c r="J262" s="9" t="n">
        <f aca="false">IFERROR(SUMIFS(SalesOrderLines!$I$5:$I$504,SalesOrderLines!$B$5:$B$504,A262),"")</f>
        <v>0</v>
      </c>
      <c r="K262" s="9" t="n">
        <f aca="false">IFERROR(SUMIFS(SalesOrderLines!$J$5:$J$504,SalesOrderLines!$B$5:$B$504,A262),"")</f>
        <v>0</v>
      </c>
      <c r="L262" s="9" t="n">
        <f aca="false">IFERROR(J262+K262,"")</f>
        <v>0</v>
      </c>
      <c r="M262" s="9" t="n">
        <f aca="false">IFERROR(SUMIFS(Payments!$E$5:$E$504,Payments!$D$5:$D$504,A262,Payments!$C$5:$C$504,"In"),"")</f>
        <v>0</v>
      </c>
      <c r="N262" s="9" t="n">
        <f aca="false">IFERROR(L262-M262,"")</f>
        <v>0</v>
      </c>
    </row>
    <row r="263" customFormat="false" ht="15" hidden="false" customHeight="false" outlineLevel="0" collapsed="false">
      <c r="A263" s="10"/>
      <c r="B263" s="12"/>
      <c r="C263" s="10"/>
      <c r="D263" s="14" t="str">
        <f aca="false">IFERROR(IF(C263="","",INDEX(Customers!$B$5:$B$504,MATCH(C263,Customers!$A$5:$A$504,0))),"")</f>
        <v/>
      </c>
      <c r="E263" s="10" t="s">
        <v>24</v>
      </c>
      <c r="F263" s="12"/>
      <c r="G263" s="12"/>
      <c r="H263" s="10"/>
      <c r="I263" s="10"/>
      <c r="J263" s="9" t="n">
        <f aca="false">IFERROR(SUMIFS(SalesOrderLines!$I$5:$I$504,SalesOrderLines!$B$5:$B$504,A263),"")</f>
        <v>0</v>
      </c>
      <c r="K263" s="9" t="n">
        <f aca="false">IFERROR(SUMIFS(SalesOrderLines!$J$5:$J$504,SalesOrderLines!$B$5:$B$504,A263),"")</f>
        <v>0</v>
      </c>
      <c r="L263" s="9" t="n">
        <f aca="false">IFERROR(J263+K263,"")</f>
        <v>0</v>
      </c>
      <c r="M263" s="9" t="n">
        <f aca="false">IFERROR(SUMIFS(Payments!$E$5:$E$504,Payments!$D$5:$D$504,A263,Payments!$C$5:$C$504,"In"),"")</f>
        <v>0</v>
      </c>
      <c r="N263" s="9" t="n">
        <f aca="false">IFERROR(L263-M263,"")</f>
        <v>0</v>
      </c>
    </row>
    <row r="264" customFormat="false" ht="15" hidden="false" customHeight="false" outlineLevel="0" collapsed="false">
      <c r="A264" s="10"/>
      <c r="B264" s="12"/>
      <c r="C264" s="10"/>
      <c r="D264" s="14" t="str">
        <f aca="false">IFERROR(IF(C264="","",INDEX(Customers!$B$5:$B$504,MATCH(C264,Customers!$A$5:$A$504,0))),"")</f>
        <v/>
      </c>
      <c r="E264" s="10" t="s">
        <v>24</v>
      </c>
      <c r="F264" s="12"/>
      <c r="G264" s="12"/>
      <c r="H264" s="10"/>
      <c r="I264" s="10"/>
      <c r="J264" s="9" t="n">
        <f aca="false">IFERROR(SUMIFS(SalesOrderLines!$I$5:$I$504,SalesOrderLines!$B$5:$B$504,A264),"")</f>
        <v>0</v>
      </c>
      <c r="K264" s="9" t="n">
        <f aca="false">IFERROR(SUMIFS(SalesOrderLines!$J$5:$J$504,SalesOrderLines!$B$5:$B$504,A264),"")</f>
        <v>0</v>
      </c>
      <c r="L264" s="9" t="n">
        <f aca="false">IFERROR(J264+K264,"")</f>
        <v>0</v>
      </c>
      <c r="M264" s="9" t="n">
        <f aca="false">IFERROR(SUMIFS(Payments!$E$5:$E$504,Payments!$D$5:$D$504,A264,Payments!$C$5:$C$504,"In"),"")</f>
        <v>0</v>
      </c>
      <c r="N264" s="9" t="n">
        <f aca="false">IFERROR(L264-M264,"")</f>
        <v>0</v>
      </c>
    </row>
    <row r="265" customFormat="false" ht="15" hidden="false" customHeight="false" outlineLevel="0" collapsed="false">
      <c r="A265" s="10"/>
      <c r="B265" s="12"/>
      <c r="C265" s="10"/>
      <c r="D265" s="14" t="str">
        <f aca="false">IFERROR(IF(C265="","",INDEX(Customers!$B$5:$B$504,MATCH(C265,Customers!$A$5:$A$504,0))),"")</f>
        <v/>
      </c>
      <c r="E265" s="10" t="s">
        <v>24</v>
      </c>
      <c r="F265" s="12"/>
      <c r="G265" s="12"/>
      <c r="H265" s="10"/>
      <c r="I265" s="10"/>
      <c r="J265" s="9" t="n">
        <f aca="false">IFERROR(SUMIFS(SalesOrderLines!$I$5:$I$504,SalesOrderLines!$B$5:$B$504,A265),"")</f>
        <v>0</v>
      </c>
      <c r="K265" s="9" t="n">
        <f aca="false">IFERROR(SUMIFS(SalesOrderLines!$J$5:$J$504,SalesOrderLines!$B$5:$B$504,A265),"")</f>
        <v>0</v>
      </c>
      <c r="L265" s="9" t="n">
        <f aca="false">IFERROR(J265+K265,"")</f>
        <v>0</v>
      </c>
      <c r="M265" s="9" t="n">
        <f aca="false">IFERROR(SUMIFS(Payments!$E$5:$E$504,Payments!$D$5:$D$504,A265,Payments!$C$5:$C$504,"In"),"")</f>
        <v>0</v>
      </c>
      <c r="N265" s="9" t="n">
        <f aca="false">IFERROR(L265-M265,"")</f>
        <v>0</v>
      </c>
    </row>
    <row r="266" customFormat="false" ht="15" hidden="false" customHeight="false" outlineLevel="0" collapsed="false">
      <c r="A266" s="10"/>
      <c r="B266" s="12"/>
      <c r="C266" s="10"/>
      <c r="D266" s="14" t="str">
        <f aca="false">IFERROR(IF(C266="","",INDEX(Customers!$B$5:$B$504,MATCH(C266,Customers!$A$5:$A$504,0))),"")</f>
        <v/>
      </c>
      <c r="E266" s="10" t="s">
        <v>24</v>
      </c>
      <c r="F266" s="12"/>
      <c r="G266" s="12"/>
      <c r="H266" s="10"/>
      <c r="I266" s="10"/>
      <c r="J266" s="9" t="n">
        <f aca="false">IFERROR(SUMIFS(SalesOrderLines!$I$5:$I$504,SalesOrderLines!$B$5:$B$504,A266),"")</f>
        <v>0</v>
      </c>
      <c r="K266" s="9" t="n">
        <f aca="false">IFERROR(SUMIFS(SalesOrderLines!$J$5:$J$504,SalesOrderLines!$B$5:$B$504,A266),"")</f>
        <v>0</v>
      </c>
      <c r="L266" s="9" t="n">
        <f aca="false">IFERROR(J266+K266,"")</f>
        <v>0</v>
      </c>
      <c r="M266" s="9" t="n">
        <f aca="false">IFERROR(SUMIFS(Payments!$E$5:$E$504,Payments!$D$5:$D$504,A266,Payments!$C$5:$C$504,"In"),"")</f>
        <v>0</v>
      </c>
      <c r="N266" s="9" t="n">
        <f aca="false">IFERROR(L266-M266,"")</f>
        <v>0</v>
      </c>
    </row>
    <row r="267" customFormat="false" ht="15" hidden="false" customHeight="false" outlineLevel="0" collapsed="false">
      <c r="A267" s="10"/>
      <c r="B267" s="12"/>
      <c r="C267" s="10"/>
      <c r="D267" s="14" t="str">
        <f aca="false">IFERROR(IF(C267="","",INDEX(Customers!$B$5:$B$504,MATCH(C267,Customers!$A$5:$A$504,0))),"")</f>
        <v/>
      </c>
      <c r="E267" s="10" t="s">
        <v>24</v>
      </c>
      <c r="F267" s="12"/>
      <c r="G267" s="12"/>
      <c r="H267" s="10"/>
      <c r="I267" s="10"/>
      <c r="J267" s="9" t="n">
        <f aca="false">IFERROR(SUMIFS(SalesOrderLines!$I$5:$I$504,SalesOrderLines!$B$5:$B$504,A267),"")</f>
        <v>0</v>
      </c>
      <c r="K267" s="9" t="n">
        <f aca="false">IFERROR(SUMIFS(SalesOrderLines!$J$5:$J$504,SalesOrderLines!$B$5:$B$504,A267),"")</f>
        <v>0</v>
      </c>
      <c r="L267" s="9" t="n">
        <f aca="false">IFERROR(J267+K267,"")</f>
        <v>0</v>
      </c>
      <c r="M267" s="9" t="n">
        <f aca="false">IFERROR(SUMIFS(Payments!$E$5:$E$504,Payments!$D$5:$D$504,A267,Payments!$C$5:$C$504,"In"),"")</f>
        <v>0</v>
      </c>
      <c r="N267" s="9" t="n">
        <f aca="false">IFERROR(L267-M267,"")</f>
        <v>0</v>
      </c>
    </row>
    <row r="268" customFormat="false" ht="15" hidden="false" customHeight="false" outlineLevel="0" collapsed="false">
      <c r="A268" s="10"/>
      <c r="B268" s="12"/>
      <c r="C268" s="10"/>
      <c r="D268" s="14" t="str">
        <f aca="false">IFERROR(IF(C268="","",INDEX(Customers!$B$5:$B$504,MATCH(C268,Customers!$A$5:$A$504,0))),"")</f>
        <v/>
      </c>
      <c r="E268" s="10" t="s">
        <v>24</v>
      </c>
      <c r="F268" s="12"/>
      <c r="G268" s="12"/>
      <c r="H268" s="10"/>
      <c r="I268" s="10"/>
      <c r="J268" s="9" t="n">
        <f aca="false">IFERROR(SUMIFS(SalesOrderLines!$I$5:$I$504,SalesOrderLines!$B$5:$B$504,A268),"")</f>
        <v>0</v>
      </c>
      <c r="K268" s="9" t="n">
        <f aca="false">IFERROR(SUMIFS(SalesOrderLines!$J$5:$J$504,SalesOrderLines!$B$5:$B$504,A268),"")</f>
        <v>0</v>
      </c>
      <c r="L268" s="9" t="n">
        <f aca="false">IFERROR(J268+K268,"")</f>
        <v>0</v>
      </c>
      <c r="M268" s="9" t="n">
        <f aca="false">IFERROR(SUMIFS(Payments!$E$5:$E$504,Payments!$D$5:$D$504,A268,Payments!$C$5:$C$504,"In"),"")</f>
        <v>0</v>
      </c>
      <c r="N268" s="9" t="n">
        <f aca="false">IFERROR(L268-M268,"")</f>
        <v>0</v>
      </c>
    </row>
    <row r="269" customFormat="false" ht="15" hidden="false" customHeight="false" outlineLevel="0" collapsed="false">
      <c r="A269" s="10"/>
      <c r="B269" s="12"/>
      <c r="C269" s="10"/>
      <c r="D269" s="14" t="str">
        <f aca="false">IFERROR(IF(C269="","",INDEX(Customers!$B$5:$B$504,MATCH(C269,Customers!$A$5:$A$504,0))),"")</f>
        <v/>
      </c>
      <c r="E269" s="10" t="s">
        <v>24</v>
      </c>
      <c r="F269" s="12"/>
      <c r="G269" s="12"/>
      <c r="H269" s="10"/>
      <c r="I269" s="10"/>
      <c r="J269" s="9" t="n">
        <f aca="false">IFERROR(SUMIFS(SalesOrderLines!$I$5:$I$504,SalesOrderLines!$B$5:$B$504,A269),"")</f>
        <v>0</v>
      </c>
      <c r="K269" s="9" t="n">
        <f aca="false">IFERROR(SUMIFS(SalesOrderLines!$J$5:$J$504,SalesOrderLines!$B$5:$B$504,A269),"")</f>
        <v>0</v>
      </c>
      <c r="L269" s="9" t="n">
        <f aca="false">IFERROR(J269+K269,"")</f>
        <v>0</v>
      </c>
      <c r="M269" s="9" t="n">
        <f aca="false">IFERROR(SUMIFS(Payments!$E$5:$E$504,Payments!$D$5:$D$504,A269,Payments!$C$5:$C$504,"In"),"")</f>
        <v>0</v>
      </c>
      <c r="N269" s="9" t="n">
        <f aca="false">IFERROR(L269-M269,"")</f>
        <v>0</v>
      </c>
    </row>
    <row r="270" customFormat="false" ht="15" hidden="false" customHeight="false" outlineLevel="0" collapsed="false">
      <c r="A270" s="10"/>
      <c r="B270" s="12"/>
      <c r="C270" s="10"/>
      <c r="D270" s="14" t="str">
        <f aca="false">IFERROR(IF(C270="","",INDEX(Customers!$B$5:$B$504,MATCH(C270,Customers!$A$5:$A$504,0))),"")</f>
        <v/>
      </c>
      <c r="E270" s="10" t="s">
        <v>24</v>
      </c>
      <c r="F270" s="12"/>
      <c r="G270" s="12"/>
      <c r="H270" s="10"/>
      <c r="I270" s="10"/>
      <c r="J270" s="9" t="n">
        <f aca="false">IFERROR(SUMIFS(SalesOrderLines!$I$5:$I$504,SalesOrderLines!$B$5:$B$504,A270),"")</f>
        <v>0</v>
      </c>
      <c r="K270" s="9" t="n">
        <f aca="false">IFERROR(SUMIFS(SalesOrderLines!$J$5:$J$504,SalesOrderLines!$B$5:$B$504,A270),"")</f>
        <v>0</v>
      </c>
      <c r="L270" s="9" t="n">
        <f aca="false">IFERROR(J270+K270,"")</f>
        <v>0</v>
      </c>
      <c r="M270" s="9" t="n">
        <f aca="false">IFERROR(SUMIFS(Payments!$E$5:$E$504,Payments!$D$5:$D$504,A270,Payments!$C$5:$C$504,"In"),"")</f>
        <v>0</v>
      </c>
      <c r="N270" s="9" t="n">
        <f aca="false">IFERROR(L270-M270,"")</f>
        <v>0</v>
      </c>
    </row>
    <row r="271" customFormat="false" ht="15" hidden="false" customHeight="false" outlineLevel="0" collapsed="false">
      <c r="A271" s="10"/>
      <c r="B271" s="12"/>
      <c r="C271" s="10"/>
      <c r="D271" s="14" t="str">
        <f aca="false">IFERROR(IF(C271="","",INDEX(Customers!$B$5:$B$504,MATCH(C271,Customers!$A$5:$A$504,0))),"")</f>
        <v/>
      </c>
      <c r="E271" s="10" t="s">
        <v>24</v>
      </c>
      <c r="F271" s="12"/>
      <c r="G271" s="12"/>
      <c r="H271" s="10"/>
      <c r="I271" s="10"/>
      <c r="J271" s="9" t="n">
        <f aca="false">IFERROR(SUMIFS(SalesOrderLines!$I$5:$I$504,SalesOrderLines!$B$5:$B$504,A271),"")</f>
        <v>0</v>
      </c>
      <c r="K271" s="9" t="n">
        <f aca="false">IFERROR(SUMIFS(SalesOrderLines!$J$5:$J$504,SalesOrderLines!$B$5:$B$504,A271),"")</f>
        <v>0</v>
      </c>
      <c r="L271" s="9" t="n">
        <f aca="false">IFERROR(J271+K271,"")</f>
        <v>0</v>
      </c>
      <c r="M271" s="9" t="n">
        <f aca="false">IFERROR(SUMIFS(Payments!$E$5:$E$504,Payments!$D$5:$D$504,A271,Payments!$C$5:$C$504,"In"),"")</f>
        <v>0</v>
      </c>
      <c r="N271" s="9" t="n">
        <f aca="false">IFERROR(L271-M271,"")</f>
        <v>0</v>
      </c>
    </row>
    <row r="272" customFormat="false" ht="15" hidden="false" customHeight="false" outlineLevel="0" collapsed="false">
      <c r="A272" s="10"/>
      <c r="B272" s="12"/>
      <c r="C272" s="10"/>
      <c r="D272" s="14" t="str">
        <f aca="false">IFERROR(IF(C272="","",INDEX(Customers!$B$5:$B$504,MATCH(C272,Customers!$A$5:$A$504,0))),"")</f>
        <v/>
      </c>
      <c r="E272" s="10" t="s">
        <v>24</v>
      </c>
      <c r="F272" s="12"/>
      <c r="G272" s="12"/>
      <c r="H272" s="10"/>
      <c r="I272" s="10"/>
      <c r="J272" s="9" t="n">
        <f aca="false">IFERROR(SUMIFS(SalesOrderLines!$I$5:$I$504,SalesOrderLines!$B$5:$B$504,A272),"")</f>
        <v>0</v>
      </c>
      <c r="K272" s="9" t="n">
        <f aca="false">IFERROR(SUMIFS(SalesOrderLines!$J$5:$J$504,SalesOrderLines!$B$5:$B$504,A272),"")</f>
        <v>0</v>
      </c>
      <c r="L272" s="9" t="n">
        <f aca="false">IFERROR(J272+K272,"")</f>
        <v>0</v>
      </c>
      <c r="M272" s="9" t="n">
        <f aca="false">IFERROR(SUMIFS(Payments!$E$5:$E$504,Payments!$D$5:$D$504,A272,Payments!$C$5:$C$504,"In"),"")</f>
        <v>0</v>
      </c>
      <c r="N272" s="9" t="n">
        <f aca="false">IFERROR(L272-M272,"")</f>
        <v>0</v>
      </c>
    </row>
    <row r="273" customFormat="false" ht="15" hidden="false" customHeight="false" outlineLevel="0" collapsed="false">
      <c r="A273" s="10"/>
      <c r="B273" s="12"/>
      <c r="C273" s="10"/>
      <c r="D273" s="14" t="str">
        <f aca="false">IFERROR(IF(C273="","",INDEX(Customers!$B$5:$B$504,MATCH(C273,Customers!$A$5:$A$504,0))),"")</f>
        <v/>
      </c>
      <c r="E273" s="10" t="s">
        <v>24</v>
      </c>
      <c r="F273" s="12"/>
      <c r="G273" s="12"/>
      <c r="H273" s="10"/>
      <c r="I273" s="10"/>
      <c r="J273" s="9" t="n">
        <f aca="false">IFERROR(SUMIFS(SalesOrderLines!$I$5:$I$504,SalesOrderLines!$B$5:$B$504,A273),"")</f>
        <v>0</v>
      </c>
      <c r="K273" s="9" t="n">
        <f aca="false">IFERROR(SUMIFS(SalesOrderLines!$J$5:$J$504,SalesOrderLines!$B$5:$B$504,A273),"")</f>
        <v>0</v>
      </c>
      <c r="L273" s="9" t="n">
        <f aca="false">IFERROR(J273+K273,"")</f>
        <v>0</v>
      </c>
      <c r="M273" s="9" t="n">
        <f aca="false">IFERROR(SUMIFS(Payments!$E$5:$E$504,Payments!$D$5:$D$504,A273,Payments!$C$5:$C$504,"In"),"")</f>
        <v>0</v>
      </c>
      <c r="N273" s="9" t="n">
        <f aca="false">IFERROR(L273-M273,"")</f>
        <v>0</v>
      </c>
    </row>
    <row r="274" customFormat="false" ht="15" hidden="false" customHeight="false" outlineLevel="0" collapsed="false">
      <c r="A274" s="10"/>
      <c r="B274" s="12"/>
      <c r="C274" s="10"/>
      <c r="D274" s="14" t="str">
        <f aca="false">IFERROR(IF(C274="","",INDEX(Customers!$B$5:$B$504,MATCH(C274,Customers!$A$5:$A$504,0))),"")</f>
        <v/>
      </c>
      <c r="E274" s="10" t="s">
        <v>24</v>
      </c>
      <c r="F274" s="12"/>
      <c r="G274" s="12"/>
      <c r="H274" s="10"/>
      <c r="I274" s="10"/>
      <c r="J274" s="9" t="n">
        <f aca="false">IFERROR(SUMIFS(SalesOrderLines!$I$5:$I$504,SalesOrderLines!$B$5:$B$504,A274),"")</f>
        <v>0</v>
      </c>
      <c r="K274" s="9" t="n">
        <f aca="false">IFERROR(SUMIFS(SalesOrderLines!$J$5:$J$504,SalesOrderLines!$B$5:$B$504,A274),"")</f>
        <v>0</v>
      </c>
      <c r="L274" s="9" t="n">
        <f aca="false">IFERROR(J274+K274,"")</f>
        <v>0</v>
      </c>
      <c r="M274" s="9" t="n">
        <f aca="false">IFERROR(SUMIFS(Payments!$E$5:$E$504,Payments!$D$5:$D$504,A274,Payments!$C$5:$C$504,"In"),"")</f>
        <v>0</v>
      </c>
      <c r="N274" s="9" t="n">
        <f aca="false">IFERROR(L274-M274,"")</f>
        <v>0</v>
      </c>
    </row>
    <row r="275" customFormat="false" ht="15" hidden="false" customHeight="false" outlineLevel="0" collapsed="false">
      <c r="A275" s="10"/>
      <c r="B275" s="12"/>
      <c r="C275" s="10"/>
      <c r="D275" s="14" t="str">
        <f aca="false">IFERROR(IF(C275="","",INDEX(Customers!$B$5:$B$504,MATCH(C275,Customers!$A$5:$A$504,0))),"")</f>
        <v/>
      </c>
      <c r="E275" s="10" t="s">
        <v>24</v>
      </c>
      <c r="F275" s="12"/>
      <c r="G275" s="12"/>
      <c r="H275" s="10"/>
      <c r="I275" s="10"/>
      <c r="J275" s="9" t="n">
        <f aca="false">IFERROR(SUMIFS(SalesOrderLines!$I$5:$I$504,SalesOrderLines!$B$5:$B$504,A275),"")</f>
        <v>0</v>
      </c>
      <c r="K275" s="9" t="n">
        <f aca="false">IFERROR(SUMIFS(SalesOrderLines!$J$5:$J$504,SalesOrderLines!$B$5:$B$504,A275),"")</f>
        <v>0</v>
      </c>
      <c r="L275" s="9" t="n">
        <f aca="false">IFERROR(J275+K275,"")</f>
        <v>0</v>
      </c>
      <c r="M275" s="9" t="n">
        <f aca="false">IFERROR(SUMIFS(Payments!$E$5:$E$504,Payments!$D$5:$D$504,A275,Payments!$C$5:$C$504,"In"),"")</f>
        <v>0</v>
      </c>
      <c r="N275" s="9" t="n">
        <f aca="false">IFERROR(L275-M275,"")</f>
        <v>0</v>
      </c>
    </row>
    <row r="276" customFormat="false" ht="15" hidden="false" customHeight="false" outlineLevel="0" collapsed="false">
      <c r="A276" s="10"/>
      <c r="B276" s="12"/>
      <c r="C276" s="10"/>
      <c r="D276" s="14" t="str">
        <f aca="false">IFERROR(IF(C276="","",INDEX(Customers!$B$5:$B$504,MATCH(C276,Customers!$A$5:$A$504,0))),"")</f>
        <v/>
      </c>
      <c r="E276" s="10" t="s">
        <v>24</v>
      </c>
      <c r="F276" s="12"/>
      <c r="G276" s="12"/>
      <c r="H276" s="10"/>
      <c r="I276" s="10"/>
      <c r="J276" s="9" t="n">
        <f aca="false">IFERROR(SUMIFS(SalesOrderLines!$I$5:$I$504,SalesOrderLines!$B$5:$B$504,A276),"")</f>
        <v>0</v>
      </c>
      <c r="K276" s="9" t="n">
        <f aca="false">IFERROR(SUMIFS(SalesOrderLines!$J$5:$J$504,SalesOrderLines!$B$5:$B$504,A276),"")</f>
        <v>0</v>
      </c>
      <c r="L276" s="9" t="n">
        <f aca="false">IFERROR(J276+K276,"")</f>
        <v>0</v>
      </c>
      <c r="M276" s="9" t="n">
        <f aca="false">IFERROR(SUMIFS(Payments!$E$5:$E$504,Payments!$D$5:$D$504,A276,Payments!$C$5:$C$504,"In"),"")</f>
        <v>0</v>
      </c>
      <c r="N276" s="9" t="n">
        <f aca="false">IFERROR(L276-M276,"")</f>
        <v>0</v>
      </c>
    </row>
    <row r="277" customFormat="false" ht="15" hidden="false" customHeight="false" outlineLevel="0" collapsed="false">
      <c r="A277" s="10"/>
      <c r="B277" s="12"/>
      <c r="C277" s="10"/>
      <c r="D277" s="14" t="str">
        <f aca="false">IFERROR(IF(C277="","",INDEX(Customers!$B$5:$B$504,MATCH(C277,Customers!$A$5:$A$504,0))),"")</f>
        <v/>
      </c>
      <c r="E277" s="10" t="s">
        <v>24</v>
      </c>
      <c r="F277" s="12"/>
      <c r="G277" s="12"/>
      <c r="H277" s="10"/>
      <c r="I277" s="10"/>
      <c r="J277" s="9" t="n">
        <f aca="false">IFERROR(SUMIFS(SalesOrderLines!$I$5:$I$504,SalesOrderLines!$B$5:$B$504,A277),"")</f>
        <v>0</v>
      </c>
      <c r="K277" s="9" t="n">
        <f aca="false">IFERROR(SUMIFS(SalesOrderLines!$J$5:$J$504,SalesOrderLines!$B$5:$B$504,A277),"")</f>
        <v>0</v>
      </c>
      <c r="L277" s="9" t="n">
        <f aca="false">IFERROR(J277+K277,"")</f>
        <v>0</v>
      </c>
      <c r="M277" s="9" t="n">
        <f aca="false">IFERROR(SUMIFS(Payments!$E$5:$E$504,Payments!$D$5:$D$504,A277,Payments!$C$5:$C$504,"In"),"")</f>
        <v>0</v>
      </c>
      <c r="N277" s="9" t="n">
        <f aca="false">IFERROR(L277-M277,"")</f>
        <v>0</v>
      </c>
    </row>
    <row r="278" customFormat="false" ht="15" hidden="false" customHeight="false" outlineLevel="0" collapsed="false">
      <c r="A278" s="10"/>
      <c r="B278" s="12"/>
      <c r="C278" s="10"/>
      <c r="D278" s="14" t="str">
        <f aca="false">IFERROR(IF(C278="","",INDEX(Customers!$B$5:$B$504,MATCH(C278,Customers!$A$5:$A$504,0))),"")</f>
        <v/>
      </c>
      <c r="E278" s="10" t="s">
        <v>24</v>
      </c>
      <c r="F278" s="12"/>
      <c r="G278" s="12"/>
      <c r="H278" s="10"/>
      <c r="I278" s="10"/>
      <c r="J278" s="9" t="n">
        <f aca="false">IFERROR(SUMIFS(SalesOrderLines!$I$5:$I$504,SalesOrderLines!$B$5:$B$504,A278),"")</f>
        <v>0</v>
      </c>
      <c r="K278" s="9" t="n">
        <f aca="false">IFERROR(SUMIFS(SalesOrderLines!$J$5:$J$504,SalesOrderLines!$B$5:$B$504,A278),"")</f>
        <v>0</v>
      </c>
      <c r="L278" s="9" t="n">
        <f aca="false">IFERROR(J278+K278,"")</f>
        <v>0</v>
      </c>
      <c r="M278" s="9" t="n">
        <f aca="false">IFERROR(SUMIFS(Payments!$E$5:$E$504,Payments!$D$5:$D$504,A278,Payments!$C$5:$C$504,"In"),"")</f>
        <v>0</v>
      </c>
      <c r="N278" s="9" t="n">
        <f aca="false">IFERROR(L278-M278,"")</f>
        <v>0</v>
      </c>
    </row>
    <row r="279" customFormat="false" ht="15" hidden="false" customHeight="false" outlineLevel="0" collapsed="false">
      <c r="A279" s="10"/>
      <c r="B279" s="12"/>
      <c r="C279" s="10"/>
      <c r="D279" s="14" t="str">
        <f aca="false">IFERROR(IF(C279="","",INDEX(Customers!$B$5:$B$504,MATCH(C279,Customers!$A$5:$A$504,0))),"")</f>
        <v/>
      </c>
      <c r="E279" s="10" t="s">
        <v>24</v>
      </c>
      <c r="F279" s="12"/>
      <c r="G279" s="12"/>
      <c r="H279" s="10"/>
      <c r="I279" s="10"/>
      <c r="J279" s="9" t="n">
        <f aca="false">IFERROR(SUMIFS(SalesOrderLines!$I$5:$I$504,SalesOrderLines!$B$5:$B$504,A279),"")</f>
        <v>0</v>
      </c>
      <c r="K279" s="9" t="n">
        <f aca="false">IFERROR(SUMIFS(SalesOrderLines!$J$5:$J$504,SalesOrderLines!$B$5:$B$504,A279),"")</f>
        <v>0</v>
      </c>
      <c r="L279" s="9" t="n">
        <f aca="false">IFERROR(J279+K279,"")</f>
        <v>0</v>
      </c>
      <c r="M279" s="9" t="n">
        <f aca="false">IFERROR(SUMIFS(Payments!$E$5:$E$504,Payments!$D$5:$D$504,A279,Payments!$C$5:$C$504,"In"),"")</f>
        <v>0</v>
      </c>
      <c r="N279" s="9" t="n">
        <f aca="false">IFERROR(L279-M279,"")</f>
        <v>0</v>
      </c>
    </row>
    <row r="280" customFormat="false" ht="15" hidden="false" customHeight="false" outlineLevel="0" collapsed="false">
      <c r="A280" s="10"/>
      <c r="B280" s="12"/>
      <c r="C280" s="10"/>
      <c r="D280" s="14" t="str">
        <f aca="false">IFERROR(IF(C280="","",INDEX(Customers!$B$5:$B$504,MATCH(C280,Customers!$A$5:$A$504,0))),"")</f>
        <v/>
      </c>
      <c r="E280" s="10" t="s">
        <v>24</v>
      </c>
      <c r="F280" s="12"/>
      <c r="G280" s="12"/>
      <c r="H280" s="10"/>
      <c r="I280" s="10"/>
      <c r="J280" s="9" t="n">
        <f aca="false">IFERROR(SUMIFS(SalesOrderLines!$I$5:$I$504,SalesOrderLines!$B$5:$B$504,A280),"")</f>
        <v>0</v>
      </c>
      <c r="K280" s="9" t="n">
        <f aca="false">IFERROR(SUMIFS(SalesOrderLines!$J$5:$J$504,SalesOrderLines!$B$5:$B$504,A280),"")</f>
        <v>0</v>
      </c>
      <c r="L280" s="9" t="n">
        <f aca="false">IFERROR(J280+K280,"")</f>
        <v>0</v>
      </c>
      <c r="M280" s="9" t="n">
        <f aca="false">IFERROR(SUMIFS(Payments!$E$5:$E$504,Payments!$D$5:$D$504,A280,Payments!$C$5:$C$504,"In"),"")</f>
        <v>0</v>
      </c>
      <c r="N280" s="9" t="n">
        <f aca="false">IFERROR(L280-M280,"")</f>
        <v>0</v>
      </c>
    </row>
    <row r="281" customFormat="false" ht="15" hidden="false" customHeight="false" outlineLevel="0" collapsed="false">
      <c r="A281" s="10"/>
      <c r="B281" s="12"/>
      <c r="C281" s="10"/>
      <c r="D281" s="14" t="str">
        <f aca="false">IFERROR(IF(C281="","",INDEX(Customers!$B$5:$B$504,MATCH(C281,Customers!$A$5:$A$504,0))),"")</f>
        <v/>
      </c>
      <c r="E281" s="10" t="s">
        <v>24</v>
      </c>
      <c r="F281" s="12"/>
      <c r="G281" s="12"/>
      <c r="H281" s="10"/>
      <c r="I281" s="10"/>
      <c r="J281" s="9" t="n">
        <f aca="false">IFERROR(SUMIFS(SalesOrderLines!$I$5:$I$504,SalesOrderLines!$B$5:$B$504,A281),"")</f>
        <v>0</v>
      </c>
      <c r="K281" s="9" t="n">
        <f aca="false">IFERROR(SUMIFS(SalesOrderLines!$J$5:$J$504,SalesOrderLines!$B$5:$B$504,A281),"")</f>
        <v>0</v>
      </c>
      <c r="L281" s="9" t="n">
        <f aca="false">IFERROR(J281+K281,"")</f>
        <v>0</v>
      </c>
      <c r="M281" s="9" t="n">
        <f aca="false">IFERROR(SUMIFS(Payments!$E$5:$E$504,Payments!$D$5:$D$504,A281,Payments!$C$5:$C$504,"In"),"")</f>
        <v>0</v>
      </c>
      <c r="N281" s="9" t="n">
        <f aca="false">IFERROR(L281-M281,"")</f>
        <v>0</v>
      </c>
    </row>
    <row r="282" customFormat="false" ht="15" hidden="false" customHeight="false" outlineLevel="0" collapsed="false">
      <c r="A282" s="10"/>
      <c r="B282" s="12"/>
      <c r="C282" s="10"/>
      <c r="D282" s="14" t="str">
        <f aca="false">IFERROR(IF(C282="","",INDEX(Customers!$B$5:$B$504,MATCH(C282,Customers!$A$5:$A$504,0))),"")</f>
        <v/>
      </c>
      <c r="E282" s="10" t="s">
        <v>24</v>
      </c>
      <c r="F282" s="12"/>
      <c r="G282" s="12"/>
      <c r="H282" s="10"/>
      <c r="I282" s="10"/>
      <c r="J282" s="9" t="n">
        <f aca="false">IFERROR(SUMIFS(SalesOrderLines!$I$5:$I$504,SalesOrderLines!$B$5:$B$504,A282),"")</f>
        <v>0</v>
      </c>
      <c r="K282" s="9" t="n">
        <f aca="false">IFERROR(SUMIFS(SalesOrderLines!$J$5:$J$504,SalesOrderLines!$B$5:$B$504,A282),"")</f>
        <v>0</v>
      </c>
      <c r="L282" s="9" t="n">
        <f aca="false">IFERROR(J282+K282,"")</f>
        <v>0</v>
      </c>
      <c r="M282" s="9" t="n">
        <f aca="false">IFERROR(SUMIFS(Payments!$E$5:$E$504,Payments!$D$5:$D$504,A282,Payments!$C$5:$C$504,"In"),"")</f>
        <v>0</v>
      </c>
      <c r="N282" s="9" t="n">
        <f aca="false">IFERROR(L282-M282,"")</f>
        <v>0</v>
      </c>
    </row>
    <row r="283" customFormat="false" ht="15" hidden="false" customHeight="false" outlineLevel="0" collapsed="false">
      <c r="A283" s="10"/>
      <c r="B283" s="12"/>
      <c r="C283" s="10"/>
      <c r="D283" s="14" t="str">
        <f aca="false">IFERROR(IF(C283="","",INDEX(Customers!$B$5:$B$504,MATCH(C283,Customers!$A$5:$A$504,0))),"")</f>
        <v/>
      </c>
      <c r="E283" s="10" t="s">
        <v>24</v>
      </c>
      <c r="F283" s="12"/>
      <c r="G283" s="12"/>
      <c r="H283" s="10"/>
      <c r="I283" s="10"/>
      <c r="J283" s="9" t="n">
        <f aca="false">IFERROR(SUMIFS(SalesOrderLines!$I$5:$I$504,SalesOrderLines!$B$5:$B$504,A283),"")</f>
        <v>0</v>
      </c>
      <c r="K283" s="9" t="n">
        <f aca="false">IFERROR(SUMIFS(SalesOrderLines!$J$5:$J$504,SalesOrderLines!$B$5:$B$504,A283),"")</f>
        <v>0</v>
      </c>
      <c r="L283" s="9" t="n">
        <f aca="false">IFERROR(J283+K283,"")</f>
        <v>0</v>
      </c>
      <c r="M283" s="9" t="n">
        <f aca="false">IFERROR(SUMIFS(Payments!$E$5:$E$504,Payments!$D$5:$D$504,A283,Payments!$C$5:$C$504,"In"),"")</f>
        <v>0</v>
      </c>
      <c r="N283" s="9" t="n">
        <f aca="false">IFERROR(L283-M283,"")</f>
        <v>0</v>
      </c>
    </row>
    <row r="284" customFormat="false" ht="15" hidden="false" customHeight="false" outlineLevel="0" collapsed="false">
      <c r="A284" s="10"/>
      <c r="B284" s="12"/>
      <c r="C284" s="10"/>
      <c r="D284" s="14" t="str">
        <f aca="false">IFERROR(IF(C284="","",INDEX(Customers!$B$5:$B$504,MATCH(C284,Customers!$A$5:$A$504,0))),"")</f>
        <v/>
      </c>
      <c r="E284" s="10" t="s">
        <v>24</v>
      </c>
      <c r="F284" s="12"/>
      <c r="G284" s="12"/>
      <c r="H284" s="10"/>
      <c r="I284" s="10"/>
      <c r="J284" s="9" t="n">
        <f aca="false">IFERROR(SUMIFS(SalesOrderLines!$I$5:$I$504,SalesOrderLines!$B$5:$B$504,A284),"")</f>
        <v>0</v>
      </c>
      <c r="K284" s="9" t="n">
        <f aca="false">IFERROR(SUMIFS(SalesOrderLines!$J$5:$J$504,SalesOrderLines!$B$5:$B$504,A284),"")</f>
        <v>0</v>
      </c>
      <c r="L284" s="9" t="n">
        <f aca="false">IFERROR(J284+K284,"")</f>
        <v>0</v>
      </c>
      <c r="M284" s="9" t="n">
        <f aca="false">IFERROR(SUMIFS(Payments!$E$5:$E$504,Payments!$D$5:$D$504,A284,Payments!$C$5:$C$504,"In"),"")</f>
        <v>0</v>
      </c>
      <c r="N284" s="9" t="n">
        <f aca="false">IFERROR(L284-M284,"")</f>
        <v>0</v>
      </c>
    </row>
    <row r="285" customFormat="false" ht="15" hidden="false" customHeight="false" outlineLevel="0" collapsed="false">
      <c r="A285" s="10"/>
      <c r="B285" s="12"/>
      <c r="C285" s="10"/>
      <c r="D285" s="14" t="str">
        <f aca="false">IFERROR(IF(C285="","",INDEX(Customers!$B$5:$B$504,MATCH(C285,Customers!$A$5:$A$504,0))),"")</f>
        <v/>
      </c>
      <c r="E285" s="10" t="s">
        <v>24</v>
      </c>
      <c r="F285" s="12"/>
      <c r="G285" s="12"/>
      <c r="H285" s="10"/>
      <c r="I285" s="10"/>
      <c r="J285" s="9" t="n">
        <f aca="false">IFERROR(SUMIFS(SalesOrderLines!$I$5:$I$504,SalesOrderLines!$B$5:$B$504,A285),"")</f>
        <v>0</v>
      </c>
      <c r="K285" s="9" t="n">
        <f aca="false">IFERROR(SUMIFS(SalesOrderLines!$J$5:$J$504,SalesOrderLines!$B$5:$B$504,A285),"")</f>
        <v>0</v>
      </c>
      <c r="L285" s="9" t="n">
        <f aca="false">IFERROR(J285+K285,"")</f>
        <v>0</v>
      </c>
      <c r="M285" s="9" t="n">
        <f aca="false">IFERROR(SUMIFS(Payments!$E$5:$E$504,Payments!$D$5:$D$504,A285,Payments!$C$5:$C$504,"In"),"")</f>
        <v>0</v>
      </c>
      <c r="N285" s="9" t="n">
        <f aca="false">IFERROR(L285-M285,"")</f>
        <v>0</v>
      </c>
    </row>
    <row r="286" customFormat="false" ht="15" hidden="false" customHeight="false" outlineLevel="0" collapsed="false">
      <c r="A286" s="10"/>
      <c r="B286" s="12"/>
      <c r="C286" s="10"/>
      <c r="D286" s="14" t="str">
        <f aca="false">IFERROR(IF(C286="","",INDEX(Customers!$B$5:$B$504,MATCH(C286,Customers!$A$5:$A$504,0))),"")</f>
        <v/>
      </c>
      <c r="E286" s="10" t="s">
        <v>24</v>
      </c>
      <c r="F286" s="12"/>
      <c r="G286" s="12"/>
      <c r="H286" s="10"/>
      <c r="I286" s="10"/>
      <c r="J286" s="9" t="n">
        <f aca="false">IFERROR(SUMIFS(SalesOrderLines!$I$5:$I$504,SalesOrderLines!$B$5:$B$504,A286),"")</f>
        <v>0</v>
      </c>
      <c r="K286" s="9" t="n">
        <f aca="false">IFERROR(SUMIFS(SalesOrderLines!$J$5:$J$504,SalesOrderLines!$B$5:$B$504,A286),"")</f>
        <v>0</v>
      </c>
      <c r="L286" s="9" t="n">
        <f aca="false">IFERROR(J286+K286,"")</f>
        <v>0</v>
      </c>
      <c r="M286" s="9" t="n">
        <f aca="false">IFERROR(SUMIFS(Payments!$E$5:$E$504,Payments!$D$5:$D$504,A286,Payments!$C$5:$C$504,"In"),"")</f>
        <v>0</v>
      </c>
      <c r="N286" s="9" t="n">
        <f aca="false">IFERROR(L286-M286,"")</f>
        <v>0</v>
      </c>
    </row>
    <row r="287" customFormat="false" ht="15" hidden="false" customHeight="false" outlineLevel="0" collapsed="false">
      <c r="A287" s="10"/>
      <c r="B287" s="12"/>
      <c r="C287" s="10"/>
      <c r="D287" s="14" t="str">
        <f aca="false">IFERROR(IF(C287="","",INDEX(Customers!$B$5:$B$504,MATCH(C287,Customers!$A$5:$A$504,0))),"")</f>
        <v/>
      </c>
      <c r="E287" s="10" t="s">
        <v>24</v>
      </c>
      <c r="F287" s="12"/>
      <c r="G287" s="12"/>
      <c r="H287" s="10"/>
      <c r="I287" s="10"/>
      <c r="J287" s="9" t="n">
        <f aca="false">IFERROR(SUMIFS(SalesOrderLines!$I$5:$I$504,SalesOrderLines!$B$5:$B$504,A287),"")</f>
        <v>0</v>
      </c>
      <c r="K287" s="9" t="n">
        <f aca="false">IFERROR(SUMIFS(SalesOrderLines!$J$5:$J$504,SalesOrderLines!$B$5:$B$504,A287),"")</f>
        <v>0</v>
      </c>
      <c r="L287" s="9" t="n">
        <f aca="false">IFERROR(J287+K287,"")</f>
        <v>0</v>
      </c>
      <c r="M287" s="9" t="n">
        <f aca="false">IFERROR(SUMIFS(Payments!$E$5:$E$504,Payments!$D$5:$D$504,A287,Payments!$C$5:$C$504,"In"),"")</f>
        <v>0</v>
      </c>
      <c r="N287" s="9" t="n">
        <f aca="false">IFERROR(L287-M287,"")</f>
        <v>0</v>
      </c>
    </row>
    <row r="288" customFormat="false" ht="15" hidden="false" customHeight="false" outlineLevel="0" collapsed="false">
      <c r="A288" s="10"/>
      <c r="B288" s="12"/>
      <c r="C288" s="10"/>
      <c r="D288" s="14" t="str">
        <f aca="false">IFERROR(IF(C288="","",INDEX(Customers!$B$5:$B$504,MATCH(C288,Customers!$A$5:$A$504,0))),"")</f>
        <v/>
      </c>
      <c r="E288" s="10" t="s">
        <v>24</v>
      </c>
      <c r="F288" s="12"/>
      <c r="G288" s="12"/>
      <c r="H288" s="10"/>
      <c r="I288" s="10"/>
      <c r="J288" s="9" t="n">
        <f aca="false">IFERROR(SUMIFS(SalesOrderLines!$I$5:$I$504,SalesOrderLines!$B$5:$B$504,A288),"")</f>
        <v>0</v>
      </c>
      <c r="K288" s="9" t="n">
        <f aca="false">IFERROR(SUMIFS(SalesOrderLines!$J$5:$J$504,SalesOrderLines!$B$5:$B$504,A288),"")</f>
        <v>0</v>
      </c>
      <c r="L288" s="9" t="n">
        <f aca="false">IFERROR(J288+K288,"")</f>
        <v>0</v>
      </c>
      <c r="M288" s="9" t="n">
        <f aca="false">IFERROR(SUMIFS(Payments!$E$5:$E$504,Payments!$D$5:$D$504,A288,Payments!$C$5:$C$504,"In"),"")</f>
        <v>0</v>
      </c>
      <c r="N288" s="9" t="n">
        <f aca="false">IFERROR(L288-M288,"")</f>
        <v>0</v>
      </c>
    </row>
    <row r="289" customFormat="false" ht="15" hidden="false" customHeight="false" outlineLevel="0" collapsed="false">
      <c r="A289" s="10"/>
      <c r="B289" s="12"/>
      <c r="C289" s="10"/>
      <c r="D289" s="14" t="str">
        <f aca="false">IFERROR(IF(C289="","",INDEX(Customers!$B$5:$B$504,MATCH(C289,Customers!$A$5:$A$504,0))),"")</f>
        <v/>
      </c>
      <c r="E289" s="10" t="s">
        <v>24</v>
      </c>
      <c r="F289" s="12"/>
      <c r="G289" s="12"/>
      <c r="H289" s="10"/>
      <c r="I289" s="10"/>
      <c r="J289" s="9" t="n">
        <f aca="false">IFERROR(SUMIFS(SalesOrderLines!$I$5:$I$504,SalesOrderLines!$B$5:$B$504,A289),"")</f>
        <v>0</v>
      </c>
      <c r="K289" s="9" t="n">
        <f aca="false">IFERROR(SUMIFS(SalesOrderLines!$J$5:$J$504,SalesOrderLines!$B$5:$B$504,A289),"")</f>
        <v>0</v>
      </c>
      <c r="L289" s="9" t="n">
        <f aca="false">IFERROR(J289+K289,"")</f>
        <v>0</v>
      </c>
      <c r="M289" s="9" t="n">
        <f aca="false">IFERROR(SUMIFS(Payments!$E$5:$E$504,Payments!$D$5:$D$504,A289,Payments!$C$5:$C$504,"In"),"")</f>
        <v>0</v>
      </c>
      <c r="N289" s="9" t="n">
        <f aca="false">IFERROR(L289-M289,"")</f>
        <v>0</v>
      </c>
    </row>
    <row r="290" customFormat="false" ht="15" hidden="false" customHeight="false" outlineLevel="0" collapsed="false">
      <c r="A290" s="10"/>
      <c r="B290" s="12"/>
      <c r="C290" s="10"/>
      <c r="D290" s="14" t="str">
        <f aca="false">IFERROR(IF(C290="","",INDEX(Customers!$B$5:$B$504,MATCH(C290,Customers!$A$5:$A$504,0))),"")</f>
        <v/>
      </c>
      <c r="E290" s="10" t="s">
        <v>24</v>
      </c>
      <c r="F290" s="12"/>
      <c r="G290" s="12"/>
      <c r="H290" s="10"/>
      <c r="I290" s="10"/>
      <c r="J290" s="9" t="n">
        <f aca="false">IFERROR(SUMIFS(SalesOrderLines!$I$5:$I$504,SalesOrderLines!$B$5:$B$504,A290),"")</f>
        <v>0</v>
      </c>
      <c r="K290" s="9" t="n">
        <f aca="false">IFERROR(SUMIFS(SalesOrderLines!$J$5:$J$504,SalesOrderLines!$B$5:$B$504,A290),"")</f>
        <v>0</v>
      </c>
      <c r="L290" s="9" t="n">
        <f aca="false">IFERROR(J290+K290,"")</f>
        <v>0</v>
      </c>
      <c r="M290" s="9" t="n">
        <f aca="false">IFERROR(SUMIFS(Payments!$E$5:$E$504,Payments!$D$5:$D$504,A290,Payments!$C$5:$C$504,"In"),"")</f>
        <v>0</v>
      </c>
      <c r="N290" s="9" t="n">
        <f aca="false">IFERROR(L290-M290,"")</f>
        <v>0</v>
      </c>
    </row>
    <row r="291" customFormat="false" ht="15" hidden="false" customHeight="false" outlineLevel="0" collapsed="false">
      <c r="A291" s="10"/>
      <c r="B291" s="12"/>
      <c r="C291" s="10"/>
      <c r="D291" s="14" t="str">
        <f aca="false">IFERROR(IF(C291="","",INDEX(Customers!$B$5:$B$504,MATCH(C291,Customers!$A$5:$A$504,0))),"")</f>
        <v/>
      </c>
      <c r="E291" s="10" t="s">
        <v>24</v>
      </c>
      <c r="F291" s="12"/>
      <c r="G291" s="12"/>
      <c r="H291" s="10"/>
      <c r="I291" s="10"/>
      <c r="J291" s="9" t="n">
        <f aca="false">IFERROR(SUMIFS(SalesOrderLines!$I$5:$I$504,SalesOrderLines!$B$5:$B$504,A291),"")</f>
        <v>0</v>
      </c>
      <c r="K291" s="9" t="n">
        <f aca="false">IFERROR(SUMIFS(SalesOrderLines!$J$5:$J$504,SalesOrderLines!$B$5:$B$504,A291),"")</f>
        <v>0</v>
      </c>
      <c r="L291" s="9" t="n">
        <f aca="false">IFERROR(J291+K291,"")</f>
        <v>0</v>
      </c>
      <c r="M291" s="9" t="n">
        <f aca="false">IFERROR(SUMIFS(Payments!$E$5:$E$504,Payments!$D$5:$D$504,A291,Payments!$C$5:$C$504,"In"),"")</f>
        <v>0</v>
      </c>
      <c r="N291" s="9" t="n">
        <f aca="false">IFERROR(L291-M291,"")</f>
        <v>0</v>
      </c>
    </row>
    <row r="292" customFormat="false" ht="15" hidden="false" customHeight="false" outlineLevel="0" collapsed="false">
      <c r="A292" s="10"/>
      <c r="B292" s="12"/>
      <c r="C292" s="10"/>
      <c r="D292" s="14" t="str">
        <f aca="false">IFERROR(IF(C292="","",INDEX(Customers!$B$5:$B$504,MATCH(C292,Customers!$A$5:$A$504,0))),"")</f>
        <v/>
      </c>
      <c r="E292" s="10" t="s">
        <v>24</v>
      </c>
      <c r="F292" s="12"/>
      <c r="G292" s="12"/>
      <c r="H292" s="10"/>
      <c r="I292" s="10"/>
      <c r="J292" s="9" t="n">
        <f aca="false">IFERROR(SUMIFS(SalesOrderLines!$I$5:$I$504,SalesOrderLines!$B$5:$B$504,A292),"")</f>
        <v>0</v>
      </c>
      <c r="K292" s="9" t="n">
        <f aca="false">IFERROR(SUMIFS(SalesOrderLines!$J$5:$J$504,SalesOrderLines!$B$5:$B$504,A292),"")</f>
        <v>0</v>
      </c>
      <c r="L292" s="9" t="n">
        <f aca="false">IFERROR(J292+K292,"")</f>
        <v>0</v>
      </c>
      <c r="M292" s="9" t="n">
        <f aca="false">IFERROR(SUMIFS(Payments!$E$5:$E$504,Payments!$D$5:$D$504,A292,Payments!$C$5:$C$504,"In"),"")</f>
        <v>0</v>
      </c>
      <c r="N292" s="9" t="n">
        <f aca="false">IFERROR(L292-M292,"")</f>
        <v>0</v>
      </c>
    </row>
    <row r="293" customFormat="false" ht="15" hidden="false" customHeight="false" outlineLevel="0" collapsed="false">
      <c r="A293" s="10"/>
      <c r="B293" s="12"/>
      <c r="C293" s="10"/>
      <c r="D293" s="14" t="str">
        <f aca="false">IFERROR(IF(C293="","",INDEX(Customers!$B$5:$B$504,MATCH(C293,Customers!$A$5:$A$504,0))),"")</f>
        <v/>
      </c>
      <c r="E293" s="10" t="s">
        <v>24</v>
      </c>
      <c r="F293" s="12"/>
      <c r="G293" s="12"/>
      <c r="H293" s="10"/>
      <c r="I293" s="10"/>
      <c r="J293" s="9" t="n">
        <f aca="false">IFERROR(SUMIFS(SalesOrderLines!$I$5:$I$504,SalesOrderLines!$B$5:$B$504,A293),"")</f>
        <v>0</v>
      </c>
      <c r="K293" s="9" t="n">
        <f aca="false">IFERROR(SUMIFS(SalesOrderLines!$J$5:$J$504,SalesOrderLines!$B$5:$B$504,A293),"")</f>
        <v>0</v>
      </c>
      <c r="L293" s="9" t="n">
        <f aca="false">IFERROR(J293+K293,"")</f>
        <v>0</v>
      </c>
      <c r="M293" s="9" t="n">
        <f aca="false">IFERROR(SUMIFS(Payments!$E$5:$E$504,Payments!$D$5:$D$504,A293,Payments!$C$5:$C$504,"In"),"")</f>
        <v>0</v>
      </c>
      <c r="N293" s="9" t="n">
        <f aca="false">IFERROR(L293-M293,"")</f>
        <v>0</v>
      </c>
    </row>
    <row r="294" customFormat="false" ht="15" hidden="false" customHeight="false" outlineLevel="0" collapsed="false">
      <c r="A294" s="10"/>
      <c r="B294" s="12"/>
      <c r="C294" s="10"/>
      <c r="D294" s="14" t="str">
        <f aca="false">IFERROR(IF(C294="","",INDEX(Customers!$B$5:$B$504,MATCH(C294,Customers!$A$5:$A$504,0))),"")</f>
        <v/>
      </c>
      <c r="E294" s="10" t="s">
        <v>24</v>
      </c>
      <c r="F294" s="12"/>
      <c r="G294" s="12"/>
      <c r="H294" s="10"/>
      <c r="I294" s="10"/>
      <c r="J294" s="9" t="n">
        <f aca="false">IFERROR(SUMIFS(SalesOrderLines!$I$5:$I$504,SalesOrderLines!$B$5:$B$504,A294),"")</f>
        <v>0</v>
      </c>
      <c r="K294" s="9" t="n">
        <f aca="false">IFERROR(SUMIFS(SalesOrderLines!$J$5:$J$504,SalesOrderLines!$B$5:$B$504,A294),"")</f>
        <v>0</v>
      </c>
      <c r="L294" s="9" t="n">
        <f aca="false">IFERROR(J294+K294,"")</f>
        <v>0</v>
      </c>
      <c r="M294" s="9" t="n">
        <f aca="false">IFERROR(SUMIFS(Payments!$E$5:$E$504,Payments!$D$5:$D$504,A294,Payments!$C$5:$C$504,"In"),"")</f>
        <v>0</v>
      </c>
      <c r="N294" s="9" t="n">
        <f aca="false">IFERROR(L294-M294,"")</f>
        <v>0</v>
      </c>
    </row>
    <row r="295" customFormat="false" ht="15" hidden="false" customHeight="false" outlineLevel="0" collapsed="false">
      <c r="A295" s="10"/>
      <c r="B295" s="12"/>
      <c r="C295" s="10"/>
      <c r="D295" s="14" t="str">
        <f aca="false">IFERROR(IF(C295="","",INDEX(Customers!$B$5:$B$504,MATCH(C295,Customers!$A$5:$A$504,0))),"")</f>
        <v/>
      </c>
      <c r="E295" s="10" t="s">
        <v>24</v>
      </c>
      <c r="F295" s="12"/>
      <c r="G295" s="12"/>
      <c r="H295" s="10"/>
      <c r="I295" s="10"/>
      <c r="J295" s="9" t="n">
        <f aca="false">IFERROR(SUMIFS(SalesOrderLines!$I$5:$I$504,SalesOrderLines!$B$5:$B$504,A295),"")</f>
        <v>0</v>
      </c>
      <c r="K295" s="9" t="n">
        <f aca="false">IFERROR(SUMIFS(SalesOrderLines!$J$5:$J$504,SalesOrderLines!$B$5:$B$504,A295),"")</f>
        <v>0</v>
      </c>
      <c r="L295" s="9" t="n">
        <f aca="false">IFERROR(J295+K295,"")</f>
        <v>0</v>
      </c>
      <c r="M295" s="9" t="n">
        <f aca="false">IFERROR(SUMIFS(Payments!$E$5:$E$504,Payments!$D$5:$D$504,A295,Payments!$C$5:$C$504,"In"),"")</f>
        <v>0</v>
      </c>
      <c r="N295" s="9" t="n">
        <f aca="false">IFERROR(L295-M295,"")</f>
        <v>0</v>
      </c>
    </row>
    <row r="296" customFormat="false" ht="15" hidden="false" customHeight="false" outlineLevel="0" collapsed="false">
      <c r="A296" s="10"/>
      <c r="B296" s="12"/>
      <c r="C296" s="10"/>
      <c r="D296" s="14" t="str">
        <f aca="false">IFERROR(IF(C296="","",INDEX(Customers!$B$5:$B$504,MATCH(C296,Customers!$A$5:$A$504,0))),"")</f>
        <v/>
      </c>
      <c r="E296" s="10" t="s">
        <v>24</v>
      </c>
      <c r="F296" s="12"/>
      <c r="G296" s="12"/>
      <c r="H296" s="10"/>
      <c r="I296" s="10"/>
      <c r="J296" s="9" t="n">
        <f aca="false">IFERROR(SUMIFS(SalesOrderLines!$I$5:$I$504,SalesOrderLines!$B$5:$B$504,A296),"")</f>
        <v>0</v>
      </c>
      <c r="K296" s="9" t="n">
        <f aca="false">IFERROR(SUMIFS(SalesOrderLines!$J$5:$J$504,SalesOrderLines!$B$5:$B$504,A296),"")</f>
        <v>0</v>
      </c>
      <c r="L296" s="9" t="n">
        <f aca="false">IFERROR(J296+K296,"")</f>
        <v>0</v>
      </c>
      <c r="M296" s="9" t="n">
        <f aca="false">IFERROR(SUMIFS(Payments!$E$5:$E$504,Payments!$D$5:$D$504,A296,Payments!$C$5:$C$504,"In"),"")</f>
        <v>0</v>
      </c>
      <c r="N296" s="9" t="n">
        <f aca="false">IFERROR(L296-M296,"")</f>
        <v>0</v>
      </c>
    </row>
    <row r="297" customFormat="false" ht="15" hidden="false" customHeight="false" outlineLevel="0" collapsed="false">
      <c r="A297" s="10"/>
      <c r="B297" s="12"/>
      <c r="C297" s="10"/>
      <c r="D297" s="14" t="str">
        <f aca="false">IFERROR(IF(C297="","",INDEX(Customers!$B$5:$B$504,MATCH(C297,Customers!$A$5:$A$504,0))),"")</f>
        <v/>
      </c>
      <c r="E297" s="10" t="s">
        <v>24</v>
      </c>
      <c r="F297" s="12"/>
      <c r="G297" s="12"/>
      <c r="H297" s="10"/>
      <c r="I297" s="10"/>
      <c r="J297" s="9" t="n">
        <f aca="false">IFERROR(SUMIFS(SalesOrderLines!$I$5:$I$504,SalesOrderLines!$B$5:$B$504,A297),"")</f>
        <v>0</v>
      </c>
      <c r="K297" s="9" t="n">
        <f aca="false">IFERROR(SUMIFS(SalesOrderLines!$J$5:$J$504,SalesOrderLines!$B$5:$B$504,A297),"")</f>
        <v>0</v>
      </c>
      <c r="L297" s="9" t="n">
        <f aca="false">IFERROR(J297+K297,"")</f>
        <v>0</v>
      </c>
      <c r="M297" s="9" t="n">
        <f aca="false">IFERROR(SUMIFS(Payments!$E$5:$E$504,Payments!$D$5:$D$504,A297,Payments!$C$5:$C$504,"In"),"")</f>
        <v>0</v>
      </c>
      <c r="N297" s="9" t="n">
        <f aca="false">IFERROR(L297-M297,"")</f>
        <v>0</v>
      </c>
    </row>
    <row r="298" customFormat="false" ht="15" hidden="false" customHeight="false" outlineLevel="0" collapsed="false">
      <c r="A298" s="10"/>
      <c r="B298" s="12"/>
      <c r="C298" s="10"/>
      <c r="D298" s="14" t="str">
        <f aca="false">IFERROR(IF(C298="","",INDEX(Customers!$B$5:$B$504,MATCH(C298,Customers!$A$5:$A$504,0))),"")</f>
        <v/>
      </c>
      <c r="E298" s="10" t="s">
        <v>24</v>
      </c>
      <c r="F298" s="12"/>
      <c r="G298" s="12"/>
      <c r="H298" s="10"/>
      <c r="I298" s="10"/>
      <c r="J298" s="9" t="n">
        <f aca="false">IFERROR(SUMIFS(SalesOrderLines!$I$5:$I$504,SalesOrderLines!$B$5:$B$504,A298),"")</f>
        <v>0</v>
      </c>
      <c r="K298" s="9" t="n">
        <f aca="false">IFERROR(SUMIFS(SalesOrderLines!$J$5:$J$504,SalesOrderLines!$B$5:$B$504,A298),"")</f>
        <v>0</v>
      </c>
      <c r="L298" s="9" t="n">
        <f aca="false">IFERROR(J298+K298,"")</f>
        <v>0</v>
      </c>
      <c r="M298" s="9" t="n">
        <f aca="false">IFERROR(SUMIFS(Payments!$E$5:$E$504,Payments!$D$5:$D$504,A298,Payments!$C$5:$C$504,"In"),"")</f>
        <v>0</v>
      </c>
      <c r="N298" s="9" t="n">
        <f aca="false">IFERROR(L298-M298,"")</f>
        <v>0</v>
      </c>
    </row>
    <row r="299" customFormat="false" ht="15" hidden="false" customHeight="false" outlineLevel="0" collapsed="false">
      <c r="A299" s="10"/>
      <c r="B299" s="12"/>
      <c r="C299" s="10"/>
      <c r="D299" s="14" t="str">
        <f aca="false">IFERROR(IF(C299="","",INDEX(Customers!$B$5:$B$504,MATCH(C299,Customers!$A$5:$A$504,0))),"")</f>
        <v/>
      </c>
      <c r="E299" s="10" t="s">
        <v>24</v>
      </c>
      <c r="F299" s="12"/>
      <c r="G299" s="12"/>
      <c r="H299" s="10"/>
      <c r="I299" s="10"/>
      <c r="J299" s="9" t="n">
        <f aca="false">IFERROR(SUMIFS(SalesOrderLines!$I$5:$I$504,SalesOrderLines!$B$5:$B$504,A299),"")</f>
        <v>0</v>
      </c>
      <c r="K299" s="9" t="n">
        <f aca="false">IFERROR(SUMIFS(SalesOrderLines!$J$5:$J$504,SalesOrderLines!$B$5:$B$504,A299),"")</f>
        <v>0</v>
      </c>
      <c r="L299" s="9" t="n">
        <f aca="false">IFERROR(J299+K299,"")</f>
        <v>0</v>
      </c>
      <c r="M299" s="9" t="n">
        <f aca="false">IFERROR(SUMIFS(Payments!$E$5:$E$504,Payments!$D$5:$D$504,A299,Payments!$C$5:$C$504,"In"),"")</f>
        <v>0</v>
      </c>
      <c r="N299" s="9" t="n">
        <f aca="false">IFERROR(L299-M299,"")</f>
        <v>0</v>
      </c>
    </row>
    <row r="300" customFormat="false" ht="15" hidden="false" customHeight="false" outlineLevel="0" collapsed="false">
      <c r="A300" s="10"/>
      <c r="B300" s="12"/>
      <c r="C300" s="10"/>
      <c r="D300" s="14" t="str">
        <f aca="false">IFERROR(IF(C300="","",INDEX(Customers!$B$5:$B$504,MATCH(C300,Customers!$A$5:$A$504,0))),"")</f>
        <v/>
      </c>
      <c r="E300" s="10" t="s">
        <v>24</v>
      </c>
      <c r="F300" s="12"/>
      <c r="G300" s="12"/>
      <c r="H300" s="10"/>
      <c r="I300" s="10"/>
      <c r="J300" s="9" t="n">
        <f aca="false">IFERROR(SUMIFS(SalesOrderLines!$I$5:$I$504,SalesOrderLines!$B$5:$B$504,A300),"")</f>
        <v>0</v>
      </c>
      <c r="K300" s="9" t="n">
        <f aca="false">IFERROR(SUMIFS(SalesOrderLines!$J$5:$J$504,SalesOrderLines!$B$5:$B$504,A300),"")</f>
        <v>0</v>
      </c>
      <c r="L300" s="9" t="n">
        <f aca="false">IFERROR(J300+K300,"")</f>
        <v>0</v>
      </c>
      <c r="M300" s="9" t="n">
        <f aca="false">IFERROR(SUMIFS(Payments!$E$5:$E$504,Payments!$D$5:$D$504,A300,Payments!$C$5:$C$504,"In"),"")</f>
        <v>0</v>
      </c>
      <c r="N300" s="9" t="n">
        <f aca="false">IFERROR(L300-M300,"")</f>
        <v>0</v>
      </c>
    </row>
    <row r="301" customFormat="false" ht="15" hidden="false" customHeight="false" outlineLevel="0" collapsed="false">
      <c r="A301" s="10"/>
      <c r="B301" s="12"/>
      <c r="C301" s="10"/>
      <c r="D301" s="14" t="str">
        <f aca="false">IFERROR(IF(C301="","",INDEX(Customers!$B$5:$B$504,MATCH(C301,Customers!$A$5:$A$504,0))),"")</f>
        <v/>
      </c>
      <c r="E301" s="10" t="s">
        <v>24</v>
      </c>
      <c r="F301" s="12"/>
      <c r="G301" s="12"/>
      <c r="H301" s="10"/>
      <c r="I301" s="10"/>
      <c r="J301" s="9" t="n">
        <f aca="false">IFERROR(SUMIFS(SalesOrderLines!$I$5:$I$504,SalesOrderLines!$B$5:$B$504,A301),"")</f>
        <v>0</v>
      </c>
      <c r="K301" s="9" t="n">
        <f aca="false">IFERROR(SUMIFS(SalesOrderLines!$J$5:$J$504,SalesOrderLines!$B$5:$B$504,A301),"")</f>
        <v>0</v>
      </c>
      <c r="L301" s="9" t="n">
        <f aca="false">IFERROR(J301+K301,"")</f>
        <v>0</v>
      </c>
      <c r="M301" s="9" t="n">
        <f aca="false">IFERROR(SUMIFS(Payments!$E$5:$E$504,Payments!$D$5:$D$504,A301,Payments!$C$5:$C$504,"In"),"")</f>
        <v>0</v>
      </c>
      <c r="N301" s="9" t="n">
        <f aca="false">IFERROR(L301-M301,"")</f>
        <v>0</v>
      </c>
    </row>
    <row r="302" customFormat="false" ht="15" hidden="false" customHeight="false" outlineLevel="0" collapsed="false">
      <c r="A302" s="10"/>
      <c r="B302" s="12"/>
      <c r="C302" s="10"/>
      <c r="D302" s="14" t="str">
        <f aca="false">IFERROR(IF(C302="","",INDEX(Customers!$B$5:$B$504,MATCH(C302,Customers!$A$5:$A$504,0))),"")</f>
        <v/>
      </c>
      <c r="E302" s="10" t="s">
        <v>24</v>
      </c>
      <c r="F302" s="12"/>
      <c r="G302" s="12"/>
      <c r="H302" s="10"/>
      <c r="I302" s="10"/>
      <c r="J302" s="9" t="n">
        <f aca="false">IFERROR(SUMIFS(SalesOrderLines!$I$5:$I$504,SalesOrderLines!$B$5:$B$504,A302),"")</f>
        <v>0</v>
      </c>
      <c r="K302" s="9" t="n">
        <f aca="false">IFERROR(SUMIFS(SalesOrderLines!$J$5:$J$504,SalesOrderLines!$B$5:$B$504,A302),"")</f>
        <v>0</v>
      </c>
      <c r="L302" s="9" t="n">
        <f aca="false">IFERROR(J302+K302,"")</f>
        <v>0</v>
      </c>
      <c r="M302" s="9" t="n">
        <f aca="false">IFERROR(SUMIFS(Payments!$E$5:$E$504,Payments!$D$5:$D$504,A302,Payments!$C$5:$C$504,"In"),"")</f>
        <v>0</v>
      </c>
      <c r="N302" s="9" t="n">
        <f aca="false">IFERROR(L302-M302,"")</f>
        <v>0</v>
      </c>
    </row>
    <row r="303" customFormat="false" ht="15" hidden="false" customHeight="false" outlineLevel="0" collapsed="false">
      <c r="A303" s="10"/>
      <c r="B303" s="12"/>
      <c r="C303" s="10"/>
      <c r="D303" s="14" t="str">
        <f aca="false">IFERROR(IF(C303="","",INDEX(Customers!$B$5:$B$504,MATCH(C303,Customers!$A$5:$A$504,0))),"")</f>
        <v/>
      </c>
      <c r="E303" s="10" t="s">
        <v>24</v>
      </c>
      <c r="F303" s="12"/>
      <c r="G303" s="12"/>
      <c r="H303" s="10"/>
      <c r="I303" s="10"/>
      <c r="J303" s="9" t="n">
        <f aca="false">IFERROR(SUMIFS(SalesOrderLines!$I$5:$I$504,SalesOrderLines!$B$5:$B$504,A303),"")</f>
        <v>0</v>
      </c>
      <c r="K303" s="9" t="n">
        <f aca="false">IFERROR(SUMIFS(SalesOrderLines!$J$5:$J$504,SalesOrderLines!$B$5:$B$504,A303),"")</f>
        <v>0</v>
      </c>
      <c r="L303" s="9" t="n">
        <f aca="false">IFERROR(J303+K303,"")</f>
        <v>0</v>
      </c>
      <c r="M303" s="9" t="n">
        <f aca="false">IFERROR(SUMIFS(Payments!$E$5:$E$504,Payments!$D$5:$D$504,A303,Payments!$C$5:$C$504,"In"),"")</f>
        <v>0</v>
      </c>
      <c r="N303" s="9" t="n">
        <f aca="false">IFERROR(L303-M303,"")</f>
        <v>0</v>
      </c>
    </row>
    <row r="304" customFormat="false" ht="15" hidden="false" customHeight="false" outlineLevel="0" collapsed="false">
      <c r="A304" s="10"/>
      <c r="B304" s="12"/>
      <c r="C304" s="10"/>
      <c r="D304" s="14" t="str">
        <f aca="false">IFERROR(IF(C304="","",INDEX(Customers!$B$5:$B$504,MATCH(C304,Customers!$A$5:$A$504,0))),"")</f>
        <v/>
      </c>
      <c r="E304" s="10" t="s">
        <v>24</v>
      </c>
      <c r="F304" s="12"/>
      <c r="G304" s="12"/>
      <c r="H304" s="10"/>
      <c r="I304" s="10"/>
      <c r="J304" s="9" t="n">
        <f aca="false">IFERROR(SUMIFS(SalesOrderLines!$I$5:$I$504,SalesOrderLines!$B$5:$B$504,A304),"")</f>
        <v>0</v>
      </c>
      <c r="K304" s="9" t="n">
        <f aca="false">IFERROR(SUMIFS(SalesOrderLines!$J$5:$J$504,SalesOrderLines!$B$5:$B$504,A304),"")</f>
        <v>0</v>
      </c>
      <c r="L304" s="9" t="n">
        <f aca="false">IFERROR(J304+K304,"")</f>
        <v>0</v>
      </c>
      <c r="M304" s="9" t="n">
        <f aca="false">IFERROR(SUMIFS(Payments!$E$5:$E$504,Payments!$D$5:$D$504,A304,Payments!$C$5:$C$504,"In"),"")</f>
        <v>0</v>
      </c>
      <c r="N304" s="9" t="n">
        <f aca="false">IFERROR(L304-M304,"")</f>
        <v>0</v>
      </c>
    </row>
    <row r="305" customFormat="false" ht="15" hidden="false" customHeight="false" outlineLevel="0" collapsed="false">
      <c r="A305" s="10"/>
      <c r="B305" s="12"/>
      <c r="C305" s="10"/>
      <c r="D305" s="14" t="str">
        <f aca="false">IFERROR(IF(C305="","",INDEX(Customers!$B$5:$B$504,MATCH(C305,Customers!$A$5:$A$504,0))),"")</f>
        <v/>
      </c>
      <c r="E305" s="10" t="s">
        <v>24</v>
      </c>
      <c r="F305" s="12"/>
      <c r="G305" s="12"/>
      <c r="H305" s="10"/>
      <c r="I305" s="10"/>
      <c r="J305" s="9" t="n">
        <f aca="false">IFERROR(SUMIFS(SalesOrderLines!$I$5:$I$504,SalesOrderLines!$B$5:$B$504,A305),"")</f>
        <v>0</v>
      </c>
      <c r="K305" s="9" t="n">
        <f aca="false">IFERROR(SUMIFS(SalesOrderLines!$J$5:$J$504,SalesOrderLines!$B$5:$B$504,A305),"")</f>
        <v>0</v>
      </c>
      <c r="L305" s="9" t="n">
        <f aca="false">IFERROR(J305+K305,"")</f>
        <v>0</v>
      </c>
      <c r="M305" s="9" t="n">
        <f aca="false">IFERROR(SUMIFS(Payments!$E$5:$E$504,Payments!$D$5:$D$504,A305,Payments!$C$5:$C$504,"In"),"")</f>
        <v>0</v>
      </c>
      <c r="N305" s="9" t="n">
        <f aca="false">IFERROR(L305-M305,"")</f>
        <v>0</v>
      </c>
    </row>
    <row r="306" customFormat="false" ht="15" hidden="false" customHeight="false" outlineLevel="0" collapsed="false">
      <c r="A306" s="10"/>
      <c r="B306" s="12"/>
      <c r="C306" s="10"/>
      <c r="D306" s="14" t="str">
        <f aca="false">IFERROR(IF(C306="","",INDEX(Customers!$B$5:$B$504,MATCH(C306,Customers!$A$5:$A$504,0))),"")</f>
        <v/>
      </c>
      <c r="E306" s="10" t="s">
        <v>24</v>
      </c>
      <c r="F306" s="12"/>
      <c r="G306" s="12"/>
      <c r="H306" s="10"/>
      <c r="I306" s="10"/>
      <c r="J306" s="9" t="n">
        <f aca="false">IFERROR(SUMIFS(SalesOrderLines!$I$5:$I$504,SalesOrderLines!$B$5:$B$504,A306),"")</f>
        <v>0</v>
      </c>
      <c r="K306" s="9" t="n">
        <f aca="false">IFERROR(SUMIFS(SalesOrderLines!$J$5:$J$504,SalesOrderLines!$B$5:$B$504,A306),"")</f>
        <v>0</v>
      </c>
      <c r="L306" s="9" t="n">
        <f aca="false">IFERROR(J306+K306,"")</f>
        <v>0</v>
      </c>
      <c r="M306" s="9" t="n">
        <f aca="false">IFERROR(SUMIFS(Payments!$E$5:$E$504,Payments!$D$5:$D$504,A306,Payments!$C$5:$C$504,"In"),"")</f>
        <v>0</v>
      </c>
      <c r="N306" s="9" t="n">
        <f aca="false">IFERROR(L306-M306,"")</f>
        <v>0</v>
      </c>
    </row>
    <row r="307" customFormat="false" ht="15" hidden="false" customHeight="false" outlineLevel="0" collapsed="false">
      <c r="A307" s="10"/>
      <c r="B307" s="12"/>
      <c r="C307" s="10"/>
      <c r="D307" s="14" t="str">
        <f aca="false">IFERROR(IF(C307="","",INDEX(Customers!$B$5:$B$504,MATCH(C307,Customers!$A$5:$A$504,0))),"")</f>
        <v/>
      </c>
      <c r="E307" s="10" t="s">
        <v>24</v>
      </c>
      <c r="F307" s="12"/>
      <c r="G307" s="12"/>
      <c r="H307" s="10"/>
      <c r="I307" s="10"/>
      <c r="J307" s="9" t="n">
        <f aca="false">IFERROR(SUMIFS(SalesOrderLines!$I$5:$I$504,SalesOrderLines!$B$5:$B$504,A307),"")</f>
        <v>0</v>
      </c>
      <c r="K307" s="9" t="n">
        <f aca="false">IFERROR(SUMIFS(SalesOrderLines!$J$5:$J$504,SalesOrderLines!$B$5:$B$504,A307),"")</f>
        <v>0</v>
      </c>
      <c r="L307" s="9" t="n">
        <f aca="false">IFERROR(J307+K307,"")</f>
        <v>0</v>
      </c>
      <c r="M307" s="9" t="n">
        <f aca="false">IFERROR(SUMIFS(Payments!$E$5:$E$504,Payments!$D$5:$D$504,A307,Payments!$C$5:$C$504,"In"),"")</f>
        <v>0</v>
      </c>
      <c r="N307" s="9" t="n">
        <f aca="false">IFERROR(L307-M307,"")</f>
        <v>0</v>
      </c>
    </row>
    <row r="308" customFormat="false" ht="15" hidden="false" customHeight="false" outlineLevel="0" collapsed="false">
      <c r="A308" s="10"/>
      <c r="B308" s="12"/>
      <c r="C308" s="10"/>
      <c r="D308" s="14" t="str">
        <f aca="false">IFERROR(IF(C308="","",INDEX(Customers!$B$5:$B$504,MATCH(C308,Customers!$A$5:$A$504,0))),"")</f>
        <v/>
      </c>
      <c r="E308" s="10" t="s">
        <v>24</v>
      </c>
      <c r="F308" s="12"/>
      <c r="G308" s="12"/>
      <c r="H308" s="10"/>
      <c r="I308" s="10"/>
      <c r="J308" s="9" t="n">
        <f aca="false">IFERROR(SUMIFS(SalesOrderLines!$I$5:$I$504,SalesOrderLines!$B$5:$B$504,A308),"")</f>
        <v>0</v>
      </c>
      <c r="K308" s="9" t="n">
        <f aca="false">IFERROR(SUMIFS(SalesOrderLines!$J$5:$J$504,SalesOrderLines!$B$5:$B$504,A308),"")</f>
        <v>0</v>
      </c>
      <c r="L308" s="9" t="n">
        <f aca="false">IFERROR(J308+K308,"")</f>
        <v>0</v>
      </c>
      <c r="M308" s="9" t="n">
        <f aca="false">IFERROR(SUMIFS(Payments!$E$5:$E$504,Payments!$D$5:$D$504,A308,Payments!$C$5:$C$504,"In"),"")</f>
        <v>0</v>
      </c>
      <c r="N308" s="9" t="n">
        <f aca="false">IFERROR(L308-M308,"")</f>
        <v>0</v>
      </c>
    </row>
    <row r="309" customFormat="false" ht="15" hidden="false" customHeight="false" outlineLevel="0" collapsed="false">
      <c r="A309" s="10"/>
      <c r="B309" s="12"/>
      <c r="C309" s="10"/>
      <c r="D309" s="14" t="str">
        <f aca="false">IFERROR(IF(C309="","",INDEX(Customers!$B$5:$B$504,MATCH(C309,Customers!$A$5:$A$504,0))),"")</f>
        <v/>
      </c>
      <c r="E309" s="10" t="s">
        <v>24</v>
      </c>
      <c r="F309" s="12"/>
      <c r="G309" s="12"/>
      <c r="H309" s="10"/>
      <c r="I309" s="10"/>
      <c r="J309" s="9" t="n">
        <f aca="false">IFERROR(SUMIFS(SalesOrderLines!$I$5:$I$504,SalesOrderLines!$B$5:$B$504,A309),"")</f>
        <v>0</v>
      </c>
      <c r="K309" s="9" t="n">
        <f aca="false">IFERROR(SUMIFS(SalesOrderLines!$J$5:$J$504,SalesOrderLines!$B$5:$B$504,A309),"")</f>
        <v>0</v>
      </c>
      <c r="L309" s="9" t="n">
        <f aca="false">IFERROR(J309+K309,"")</f>
        <v>0</v>
      </c>
      <c r="M309" s="9" t="n">
        <f aca="false">IFERROR(SUMIFS(Payments!$E$5:$E$504,Payments!$D$5:$D$504,A309,Payments!$C$5:$C$504,"In"),"")</f>
        <v>0</v>
      </c>
      <c r="N309" s="9" t="n">
        <f aca="false">IFERROR(L309-M309,"")</f>
        <v>0</v>
      </c>
    </row>
    <row r="310" customFormat="false" ht="15" hidden="false" customHeight="false" outlineLevel="0" collapsed="false">
      <c r="A310" s="10"/>
      <c r="B310" s="12"/>
      <c r="C310" s="10"/>
      <c r="D310" s="14" t="str">
        <f aca="false">IFERROR(IF(C310="","",INDEX(Customers!$B$5:$B$504,MATCH(C310,Customers!$A$5:$A$504,0))),"")</f>
        <v/>
      </c>
      <c r="E310" s="10" t="s">
        <v>24</v>
      </c>
      <c r="F310" s="12"/>
      <c r="G310" s="12"/>
      <c r="H310" s="10"/>
      <c r="I310" s="10"/>
      <c r="J310" s="9" t="n">
        <f aca="false">IFERROR(SUMIFS(SalesOrderLines!$I$5:$I$504,SalesOrderLines!$B$5:$B$504,A310),"")</f>
        <v>0</v>
      </c>
      <c r="K310" s="9" t="n">
        <f aca="false">IFERROR(SUMIFS(SalesOrderLines!$J$5:$J$504,SalesOrderLines!$B$5:$B$504,A310),"")</f>
        <v>0</v>
      </c>
      <c r="L310" s="9" t="n">
        <f aca="false">IFERROR(J310+K310,"")</f>
        <v>0</v>
      </c>
      <c r="M310" s="9" t="n">
        <f aca="false">IFERROR(SUMIFS(Payments!$E$5:$E$504,Payments!$D$5:$D$504,A310,Payments!$C$5:$C$504,"In"),"")</f>
        <v>0</v>
      </c>
      <c r="N310" s="9" t="n">
        <f aca="false">IFERROR(L310-M310,"")</f>
        <v>0</v>
      </c>
    </row>
    <row r="311" customFormat="false" ht="15" hidden="false" customHeight="false" outlineLevel="0" collapsed="false">
      <c r="A311" s="10"/>
      <c r="B311" s="12"/>
      <c r="C311" s="10"/>
      <c r="D311" s="14" t="str">
        <f aca="false">IFERROR(IF(C311="","",INDEX(Customers!$B$5:$B$504,MATCH(C311,Customers!$A$5:$A$504,0))),"")</f>
        <v/>
      </c>
      <c r="E311" s="10" t="s">
        <v>24</v>
      </c>
      <c r="F311" s="12"/>
      <c r="G311" s="12"/>
      <c r="H311" s="10"/>
      <c r="I311" s="10"/>
      <c r="J311" s="9" t="n">
        <f aca="false">IFERROR(SUMIFS(SalesOrderLines!$I$5:$I$504,SalesOrderLines!$B$5:$B$504,A311),"")</f>
        <v>0</v>
      </c>
      <c r="K311" s="9" t="n">
        <f aca="false">IFERROR(SUMIFS(SalesOrderLines!$J$5:$J$504,SalesOrderLines!$B$5:$B$504,A311),"")</f>
        <v>0</v>
      </c>
      <c r="L311" s="9" t="n">
        <f aca="false">IFERROR(J311+K311,"")</f>
        <v>0</v>
      </c>
      <c r="M311" s="9" t="n">
        <f aca="false">IFERROR(SUMIFS(Payments!$E$5:$E$504,Payments!$D$5:$D$504,A311,Payments!$C$5:$C$504,"In"),"")</f>
        <v>0</v>
      </c>
      <c r="N311" s="9" t="n">
        <f aca="false">IFERROR(L311-M311,"")</f>
        <v>0</v>
      </c>
    </row>
    <row r="312" customFormat="false" ht="15" hidden="false" customHeight="false" outlineLevel="0" collapsed="false">
      <c r="A312" s="10"/>
      <c r="B312" s="12"/>
      <c r="C312" s="10"/>
      <c r="D312" s="14" t="str">
        <f aca="false">IFERROR(IF(C312="","",INDEX(Customers!$B$5:$B$504,MATCH(C312,Customers!$A$5:$A$504,0))),"")</f>
        <v/>
      </c>
      <c r="E312" s="10" t="s">
        <v>24</v>
      </c>
      <c r="F312" s="12"/>
      <c r="G312" s="12"/>
      <c r="H312" s="10"/>
      <c r="I312" s="10"/>
      <c r="J312" s="9" t="n">
        <f aca="false">IFERROR(SUMIFS(SalesOrderLines!$I$5:$I$504,SalesOrderLines!$B$5:$B$504,A312),"")</f>
        <v>0</v>
      </c>
      <c r="K312" s="9" t="n">
        <f aca="false">IFERROR(SUMIFS(SalesOrderLines!$J$5:$J$504,SalesOrderLines!$B$5:$B$504,A312),"")</f>
        <v>0</v>
      </c>
      <c r="L312" s="9" t="n">
        <f aca="false">IFERROR(J312+K312,"")</f>
        <v>0</v>
      </c>
      <c r="M312" s="9" t="n">
        <f aca="false">IFERROR(SUMIFS(Payments!$E$5:$E$504,Payments!$D$5:$D$504,A312,Payments!$C$5:$C$504,"In"),"")</f>
        <v>0</v>
      </c>
      <c r="N312" s="9" t="n">
        <f aca="false">IFERROR(L312-M312,"")</f>
        <v>0</v>
      </c>
    </row>
    <row r="313" customFormat="false" ht="15" hidden="false" customHeight="false" outlineLevel="0" collapsed="false">
      <c r="A313" s="10"/>
      <c r="B313" s="12"/>
      <c r="C313" s="10"/>
      <c r="D313" s="14" t="str">
        <f aca="false">IFERROR(IF(C313="","",INDEX(Customers!$B$5:$B$504,MATCH(C313,Customers!$A$5:$A$504,0))),"")</f>
        <v/>
      </c>
      <c r="E313" s="10" t="s">
        <v>24</v>
      </c>
      <c r="F313" s="12"/>
      <c r="G313" s="12"/>
      <c r="H313" s="10"/>
      <c r="I313" s="10"/>
      <c r="J313" s="9" t="n">
        <f aca="false">IFERROR(SUMIFS(SalesOrderLines!$I$5:$I$504,SalesOrderLines!$B$5:$B$504,A313),"")</f>
        <v>0</v>
      </c>
      <c r="K313" s="9" t="n">
        <f aca="false">IFERROR(SUMIFS(SalesOrderLines!$J$5:$J$504,SalesOrderLines!$B$5:$B$504,A313),"")</f>
        <v>0</v>
      </c>
      <c r="L313" s="9" t="n">
        <f aca="false">IFERROR(J313+K313,"")</f>
        <v>0</v>
      </c>
      <c r="M313" s="9" t="n">
        <f aca="false">IFERROR(SUMIFS(Payments!$E$5:$E$504,Payments!$D$5:$D$504,A313,Payments!$C$5:$C$504,"In"),"")</f>
        <v>0</v>
      </c>
      <c r="N313" s="9" t="n">
        <f aca="false">IFERROR(L313-M313,"")</f>
        <v>0</v>
      </c>
    </row>
    <row r="314" customFormat="false" ht="15" hidden="false" customHeight="false" outlineLevel="0" collapsed="false">
      <c r="A314" s="10"/>
      <c r="B314" s="12"/>
      <c r="C314" s="10"/>
      <c r="D314" s="14" t="str">
        <f aca="false">IFERROR(IF(C314="","",INDEX(Customers!$B$5:$B$504,MATCH(C314,Customers!$A$5:$A$504,0))),"")</f>
        <v/>
      </c>
      <c r="E314" s="10" t="s">
        <v>24</v>
      </c>
      <c r="F314" s="12"/>
      <c r="G314" s="12"/>
      <c r="H314" s="10"/>
      <c r="I314" s="10"/>
      <c r="J314" s="9" t="n">
        <f aca="false">IFERROR(SUMIFS(SalesOrderLines!$I$5:$I$504,SalesOrderLines!$B$5:$B$504,A314),"")</f>
        <v>0</v>
      </c>
      <c r="K314" s="9" t="n">
        <f aca="false">IFERROR(SUMIFS(SalesOrderLines!$J$5:$J$504,SalesOrderLines!$B$5:$B$504,A314),"")</f>
        <v>0</v>
      </c>
      <c r="L314" s="9" t="n">
        <f aca="false">IFERROR(J314+K314,"")</f>
        <v>0</v>
      </c>
      <c r="M314" s="9" t="n">
        <f aca="false">IFERROR(SUMIFS(Payments!$E$5:$E$504,Payments!$D$5:$D$504,A314,Payments!$C$5:$C$504,"In"),"")</f>
        <v>0</v>
      </c>
      <c r="N314" s="9" t="n">
        <f aca="false">IFERROR(L314-M314,"")</f>
        <v>0</v>
      </c>
    </row>
    <row r="315" customFormat="false" ht="15" hidden="false" customHeight="false" outlineLevel="0" collapsed="false">
      <c r="A315" s="10"/>
      <c r="B315" s="12"/>
      <c r="C315" s="10"/>
      <c r="D315" s="14" t="str">
        <f aca="false">IFERROR(IF(C315="","",INDEX(Customers!$B$5:$B$504,MATCH(C315,Customers!$A$5:$A$504,0))),"")</f>
        <v/>
      </c>
      <c r="E315" s="10" t="s">
        <v>24</v>
      </c>
      <c r="F315" s="12"/>
      <c r="G315" s="12"/>
      <c r="H315" s="10"/>
      <c r="I315" s="10"/>
      <c r="J315" s="9" t="n">
        <f aca="false">IFERROR(SUMIFS(SalesOrderLines!$I$5:$I$504,SalesOrderLines!$B$5:$B$504,A315),"")</f>
        <v>0</v>
      </c>
      <c r="K315" s="9" t="n">
        <f aca="false">IFERROR(SUMIFS(SalesOrderLines!$J$5:$J$504,SalesOrderLines!$B$5:$B$504,A315),"")</f>
        <v>0</v>
      </c>
      <c r="L315" s="9" t="n">
        <f aca="false">IFERROR(J315+K315,"")</f>
        <v>0</v>
      </c>
      <c r="M315" s="9" t="n">
        <f aca="false">IFERROR(SUMIFS(Payments!$E$5:$E$504,Payments!$D$5:$D$504,A315,Payments!$C$5:$C$504,"In"),"")</f>
        <v>0</v>
      </c>
      <c r="N315" s="9" t="n">
        <f aca="false">IFERROR(L315-M315,"")</f>
        <v>0</v>
      </c>
    </row>
    <row r="316" customFormat="false" ht="15" hidden="false" customHeight="false" outlineLevel="0" collapsed="false">
      <c r="A316" s="10"/>
      <c r="B316" s="12"/>
      <c r="C316" s="10"/>
      <c r="D316" s="14" t="str">
        <f aca="false">IFERROR(IF(C316="","",INDEX(Customers!$B$5:$B$504,MATCH(C316,Customers!$A$5:$A$504,0))),"")</f>
        <v/>
      </c>
      <c r="E316" s="10" t="s">
        <v>24</v>
      </c>
      <c r="F316" s="12"/>
      <c r="G316" s="12"/>
      <c r="H316" s="10"/>
      <c r="I316" s="10"/>
      <c r="J316" s="9" t="n">
        <f aca="false">IFERROR(SUMIFS(SalesOrderLines!$I$5:$I$504,SalesOrderLines!$B$5:$B$504,A316),"")</f>
        <v>0</v>
      </c>
      <c r="K316" s="9" t="n">
        <f aca="false">IFERROR(SUMIFS(SalesOrderLines!$J$5:$J$504,SalesOrderLines!$B$5:$B$504,A316),"")</f>
        <v>0</v>
      </c>
      <c r="L316" s="9" t="n">
        <f aca="false">IFERROR(J316+K316,"")</f>
        <v>0</v>
      </c>
      <c r="M316" s="9" t="n">
        <f aca="false">IFERROR(SUMIFS(Payments!$E$5:$E$504,Payments!$D$5:$D$504,A316,Payments!$C$5:$C$504,"In"),"")</f>
        <v>0</v>
      </c>
      <c r="N316" s="9" t="n">
        <f aca="false">IFERROR(L316-M316,"")</f>
        <v>0</v>
      </c>
    </row>
    <row r="317" customFormat="false" ht="15" hidden="false" customHeight="false" outlineLevel="0" collapsed="false">
      <c r="A317" s="10"/>
      <c r="B317" s="12"/>
      <c r="C317" s="10"/>
      <c r="D317" s="14" t="str">
        <f aca="false">IFERROR(IF(C317="","",INDEX(Customers!$B$5:$B$504,MATCH(C317,Customers!$A$5:$A$504,0))),"")</f>
        <v/>
      </c>
      <c r="E317" s="10" t="s">
        <v>24</v>
      </c>
      <c r="F317" s="12"/>
      <c r="G317" s="12"/>
      <c r="H317" s="10"/>
      <c r="I317" s="10"/>
      <c r="J317" s="9" t="n">
        <f aca="false">IFERROR(SUMIFS(SalesOrderLines!$I$5:$I$504,SalesOrderLines!$B$5:$B$504,A317),"")</f>
        <v>0</v>
      </c>
      <c r="K317" s="9" t="n">
        <f aca="false">IFERROR(SUMIFS(SalesOrderLines!$J$5:$J$504,SalesOrderLines!$B$5:$B$504,A317),"")</f>
        <v>0</v>
      </c>
      <c r="L317" s="9" t="n">
        <f aca="false">IFERROR(J317+K317,"")</f>
        <v>0</v>
      </c>
      <c r="M317" s="9" t="n">
        <f aca="false">IFERROR(SUMIFS(Payments!$E$5:$E$504,Payments!$D$5:$D$504,A317,Payments!$C$5:$C$504,"In"),"")</f>
        <v>0</v>
      </c>
      <c r="N317" s="9" t="n">
        <f aca="false">IFERROR(L317-M317,"")</f>
        <v>0</v>
      </c>
    </row>
    <row r="318" customFormat="false" ht="15" hidden="false" customHeight="false" outlineLevel="0" collapsed="false">
      <c r="A318" s="10"/>
      <c r="B318" s="12"/>
      <c r="C318" s="10"/>
      <c r="D318" s="14" t="str">
        <f aca="false">IFERROR(IF(C318="","",INDEX(Customers!$B$5:$B$504,MATCH(C318,Customers!$A$5:$A$504,0))),"")</f>
        <v/>
      </c>
      <c r="E318" s="10" t="s">
        <v>24</v>
      </c>
      <c r="F318" s="12"/>
      <c r="G318" s="12"/>
      <c r="H318" s="10"/>
      <c r="I318" s="10"/>
      <c r="J318" s="9" t="n">
        <f aca="false">IFERROR(SUMIFS(SalesOrderLines!$I$5:$I$504,SalesOrderLines!$B$5:$B$504,A318),"")</f>
        <v>0</v>
      </c>
      <c r="K318" s="9" t="n">
        <f aca="false">IFERROR(SUMIFS(SalesOrderLines!$J$5:$J$504,SalesOrderLines!$B$5:$B$504,A318),"")</f>
        <v>0</v>
      </c>
      <c r="L318" s="9" t="n">
        <f aca="false">IFERROR(J318+K318,"")</f>
        <v>0</v>
      </c>
      <c r="M318" s="9" t="n">
        <f aca="false">IFERROR(SUMIFS(Payments!$E$5:$E$504,Payments!$D$5:$D$504,A318,Payments!$C$5:$C$504,"In"),"")</f>
        <v>0</v>
      </c>
      <c r="N318" s="9" t="n">
        <f aca="false">IFERROR(L318-M318,"")</f>
        <v>0</v>
      </c>
    </row>
    <row r="319" customFormat="false" ht="15" hidden="false" customHeight="false" outlineLevel="0" collapsed="false">
      <c r="A319" s="10"/>
      <c r="B319" s="12"/>
      <c r="C319" s="10"/>
      <c r="D319" s="14" t="str">
        <f aca="false">IFERROR(IF(C319="","",INDEX(Customers!$B$5:$B$504,MATCH(C319,Customers!$A$5:$A$504,0))),"")</f>
        <v/>
      </c>
      <c r="E319" s="10" t="s">
        <v>24</v>
      </c>
      <c r="F319" s="12"/>
      <c r="G319" s="12"/>
      <c r="H319" s="10"/>
      <c r="I319" s="10"/>
      <c r="J319" s="9" t="n">
        <f aca="false">IFERROR(SUMIFS(SalesOrderLines!$I$5:$I$504,SalesOrderLines!$B$5:$B$504,A319),"")</f>
        <v>0</v>
      </c>
      <c r="K319" s="9" t="n">
        <f aca="false">IFERROR(SUMIFS(SalesOrderLines!$J$5:$J$504,SalesOrderLines!$B$5:$B$504,A319),"")</f>
        <v>0</v>
      </c>
      <c r="L319" s="9" t="n">
        <f aca="false">IFERROR(J319+K319,"")</f>
        <v>0</v>
      </c>
      <c r="M319" s="9" t="n">
        <f aca="false">IFERROR(SUMIFS(Payments!$E$5:$E$504,Payments!$D$5:$D$504,A319,Payments!$C$5:$C$504,"In"),"")</f>
        <v>0</v>
      </c>
      <c r="N319" s="9" t="n">
        <f aca="false">IFERROR(L319-M319,"")</f>
        <v>0</v>
      </c>
    </row>
    <row r="320" customFormat="false" ht="15" hidden="false" customHeight="false" outlineLevel="0" collapsed="false">
      <c r="A320" s="10"/>
      <c r="B320" s="12"/>
      <c r="C320" s="10"/>
      <c r="D320" s="14" t="str">
        <f aca="false">IFERROR(IF(C320="","",INDEX(Customers!$B$5:$B$504,MATCH(C320,Customers!$A$5:$A$504,0))),"")</f>
        <v/>
      </c>
      <c r="E320" s="10" t="s">
        <v>24</v>
      </c>
      <c r="F320" s="12"/>
      <c r="G320" s="12"/>
      <c r="H320" s="10"/>
      <c r="I320" s="10"/>
      <c r="J320" s="9" t="n">
        <f aca="false">IFERROR(SUMIFS(SalesOrderLines!$I$5:$I$504,SalesOrderLines!$B$5:$B$504,A320),"")</f>
        <v>0</v>
      </c>
      <c r="K320" s="9" t="n">
        <f aca="false">IFERROR(SUMIFS(SalesOrderLines!$J$5:$J$504,SalesOrderLines!$B$5:$B$504,A320),"")</f>
        <v>0</v>
      </c>
      <c r="L320" s="9" t="n">
        <f aca="false">IFERROR(J320+K320,"")</f>
        <v>0</v>
      </c>
      <c r="M320" s="9" t="n">
        <f aca="false">IFERROR(SUMIFS(Payments!$E$5:$E$504,Payments!$D$5:$D$504,A320,Payments!$C$5:$C$504,"In"),"")</f>
        <v>0</v>
      </c>
      <c r="N320" s="9" t="n">
        <f aca="false">IFERROR(L320-M320,"")</f>
        <v>0</v>
      </c>
    </row>
    <row r="321" customFormat="false" ht="15" hidden="false" customHeight="false" outlineLevel="0" collapsed="false">
      <c r="A321" s="10"/>
      <c r="B321" s="12"/>
      <c r="C321" s="10"/>
      <c r="D321" s="14" t="str">
        <f aca="false">IFERROR(IF(C321="","",INDEX(Customers!$B$5:$B$504,MATCH(C321,Customers!$A$5:$A$504,0))),"")</f>
        <v/>
      </c>
      <c r="E321" s="10" t="s">
        <v>24</v>
      </c>
      <c r="F321" s="12"/>
      <c r="G321" s="12"/>
      <c r="H321" s="10"/>
      <c r="I321" s="10"/>
      <c r="J321" s="9" t="n">
        <f aca="false">IFERROR(SUMIFS(SalesOrderLines!$I$5:$I$504,SalesOrderLines!$B$5:$B$504,A321),"")</f>
        <v>0</v>
      </c>
      <c r="K321" s="9" t="n">
        <f aca="false">IFERROR(SUMIFS(SalesOrderLines!$J$5:$J$504,SalesOrderLines!$B$5:$B$504,A321),"")</f>
        <v>0</v>
      </c>
      <c r="L321" s="9" t="n">
        <f aca="false">IFERROR(J321+K321,"")</f>
        <v>0</v>
      </c>
      <c r="M321" s="9" t="n">
        <f aca="false">IFERROR(SUMIFS(Payments!$E$5:$E$504,Payments!$D$5:$D$504,A321,Payments!$C$5:$C$504,"In"),"")</f>
        <v>0</v>
      </c>
      <c r="N321" s="9" t="n">
        <f aca="false">IFERROR(L321-M321,"")</f>
        <v>0</v>
      </c>
    </row>
    <row r="322" customFormat="false" ht="15" hidden="false" customHeight="false" outlineLevel="0" collapsed="false">
      <c r="A322" s="10"/>
      <c r="B322" s="12"/>
      <c r="C322" s="10"/>
      <c r="D322" s="14" t="str">
        <f aca="false">IFERROR(IF(C322="","",INDEX(Customers!$B$5:$B$504,MATCH(C322,Customers!$A$5:$A$504,0))),"")</f>
        <v/>
      </c>
      <c r="E322" s="10" t="s">
        <v>24</v>
      </c>
      <c r="F322" s="12"/>
      <c r="G322" s="12"/>
      <c r="H322" s="10"/>
      <c r="I322" s="10"/>
      <c r="J322" s="9" t="n">
        <f aca="false">IFERROR(SUMIFS(SalesOrderLines!$I$5:$I$504,SalesOrderLines!$B$5:$B$504,A322),"")</f>
        <v>0</v>
      </c>
      <c r="K322" s="9" t="n">
        <f aca="false">IFERROR(SUMIFS(SalesOrderLines!$J$5:$J$504,SalesOrderLines!$B$5:$B$504,A322),"")</f>
        <v>0</v>
      </c>
      <c r="L322" s="9" t="n">
        <f aca="false">IFERROR(J322+K322,"")</f>
        <v>0</v>
      </c>
      <c r="M322" s="9" t="n">
        <f aca="false">IFERROR(SUMIFS(Payments!$E$5:$E$504,Payments!$D$5:$D$504,A322,Payments!$C$5:$C$504,"In"),"")</f>
        <v>0</v>
      </c>
      <c r="N322" s="9" t="n">
        <f aca="false">IFERROR(L322-M322,"")</f>
        <v>0</v>
      </c>
    </row>
    <row r="323" customFormat="false" ht="15" hidden="false" customHeight="false" outlineLevel="0" collapsed="false">
      <c r="A323" s="10"/>
      <c r="B323" s="12"/>
      <c r="C323" s="10"/>
      <c r="D323" s="14" t="str">
        <f aca="false">IFERROR(IF(C323="","",INDEX(Customers!$B$5:$B$504,MATCH(C323,Customers!$A$5:$A$504,0))),"")</f>
        <v/>
      </c>
      <c r="E323" s="10" t="s">
        <v>24</v>
      </c>
      <c r="F323" s="12"/>
      <c r="G323" s="12"/>
      <c r="H323" s="10"/>
      <c r="I323" s="10"/>
      <c r="J323" s="9" t="n">
        <f aca="false">IFERROR(SUMIFS(SalesOrderLines!$I$5:$I$504,SalesOrderLines!$B$5:$B$504,A323),"")</f>
        <v>0</v>
      </c>
      <c r="K323" s="9" t="n">
        <f aca="false">IFERROR(SUMIFS(SalesOrderLines!$J$5:$J$504,SalesOrderLines!$B$5:$B$504,A323),"")</f>
        <v>0</v>
      </c>
      <c r="L323" s="9" t="n">
        <f aca="false">IFERROR(J323+K323,"")</f>
        <v>0</v>
      </c>
      <c r="M323" s="9" t="n">
        <f aca="false">IFERROR(SUMIFS(Payments!$E$5:$E$504,Payments!$D$5:$D$504,A323,Payments!$C$5:$C$504,"In"),"")</f>
        <v>0</v>
      </c>
      <c r="N323" s="9" t="n">
        <f aca="false">IFERROR(L323-M323,"")</f>
        <v>0</v>
      </c>
    </row>
    <row r="324" customFormat="false" ht="15" hidden="false" customHeight="false" outlineLevel="0" collapsed="false">
      <c r="A324" s="10"/>
      <c r="B324" s="12"/>
      <c r="C324" s="10"/>
      <c r="D324" s="14" t="str">
        <f aca="false">IFERROR(IF(C324="","",INDEX(Customers!$B$5:$B$504,MATCH(C324,Customers!$A$5:$A$504,0))),"")</f>
        <v/>
      </c>
      <c r="E324" s="10" t="s">
        <v>24</v>
      </c>
      <c r="F324" s="12"/>
      <c r="G324" s="12"/>
      <c r="H324" s="10"/>
      <c r="I324" s="10"/>
      <c r="J324" s="9" t="n">
        <f aca="false">IFERROR(SUMIFS(SalesOrderLines!$I$5:$I$504,SalesOrderLines!$B$5:$B$504,A324),"")</f>
        <v>0</v>
      </c>
      <c r="K324" s="9" t="n">
        <f aca="false">IFERROR(SUMIFS(SalesOrderLines!$J$5:$J$504,SalesOrderLines!$B$5:$B$504,A324),"")</f>
        <v>0</v>
      </c>
      <c r="L324" s="9" t="n">
        <f aca="false">IFERROR(J324+K324,"")</f>
        <v>0</v>
      </c>
      <c r="M324" s="9" t="n">
        <f aca="false">IFERROR(SUMIFS(Payments!$E$5:$E$504,Payments!$D$5:$D$504,A324,Payments!$C$5:$C$504,"In"),"")</f>
        <v>0</v>
      </c>
      <c r="N324" s="9" t="n">
        <f aca="false">IFERROR(L324-M324,"")</f>
        <v>0</v>
      </c>
    </row>
    <row r="325" customFormat="false" ht="15" hidden="false" customHeight="false" outlineLevel="0" collapsed="false">
      <c r="A325" s="10"/>
      <c r="B325" s="12"/>
      <c r="C325" s="10"/>
      <c r="D325" s="14" t="str">
        <f aca="false">IFERROR(IF(C325="","",INDEX(Customers!$B$5:$B$504,MATCH(C325,Customers!$A$5:$A$504,0))),"")</f>
        <v/>
      </c>
      <c r="E325" s="10" t="s">
        <v>24</v>
      </c>
      <c r="F325" s="12"/>
      <c r="G325" s="12"/>
      <c r="H325" s="10"/>
      <c r="I325" s="10"/>
      <c r="J325" s="9" t="n">
        <f aca="false">IFERROR(SUMIFS(SalesOrderLines!$I$5:$I$504,SalesOrderLines!$B$5:$B$504,A325),"")</f>
        <v>0</v>
      </c>
      <c r="K325" s="9" t="n">
        <f aca="false">IFERROR(SUMIFS(SalesOrderLines!$J$5:$J$504,SalesOrderLines!$B$5:$B$504,A325),"")</f>
        <v>0</v>
      </c>
      <c r="L325" s="9" t="n">
        <f aca="false">IFERROR(J325+K325,"")</f>
        <v>0</v>
      </c>
      <c r="M325" s="9" t="n">
        <f aca="false">IFERROR(SUMIFS(Payments!$E$5:$E$504,Payments!$D$5:$D$504,A325,Payments!$C$5:$C$504,"In"),"")</f>
        <v>0</v>
      </c>
      <c r="N325" s="9" t="n">
        <f aca="false">IFERROR(L325-M325,"")</f>
        <v>0</v>
      </c>
    </row>
    <row r="326" customFormat="false" ht="15" hidden="false" customHeight="false" outlineLevel="0" collapsed="false">
      <c r="A326" s="10"/>
      <c r="B326" s="12"/>
      <c r="C326" s="10"/>
      <c r="D326" s="14" t="str">
        <f aca="false">IFERROR(IF(C326="","",INDEX(Customers!$B$5:$B$504,MATCH(C326,Customers!$A$5:$A$504,0))),"")</f>
        <v/>
      </c>
      <c r="E326" s="10" t="s">
        <v>24</v>
      </c>
      <c r="F326" s="12"/>
      <c r="G326" s="12"/>
      <c r="H326" s="10"/>
      <c r="I326" s="10"/>
      <c r="J326" s="9" t="n">
        <f aca="false">IFERROR(SUMIFS(SalesOrderLines!$I$5:$I$504,SalesOrderLines!$B$5:$B$504,A326),"")</f>
        <v>0</v>
      </c>
      <c r="K326" s="9" t="n">
        <f aca="false">IFERROR(SUMIFS(SalesOrderLines!$J$5:$J$504,SalesOrderLines!$B$5:$B$504,A326),"")</f>
        <v>0</v>
      </c>
      <c r="L326" s="9" t="n">
        <f aca="false">IFERROR(J326+K326,"")</f>
        <v>0</v>
      </c>
      <c r="M326" s="9" t="n">
        <f aca="false">IFERROR(SUMIFS(Payments!$E$5:$E$504,Payments!$D$5:$D$504,A326,Payments!$C$5:$C$504,"In"),"")</f>
        <v>0</v>
      </c>
      <c r="N326" s="9" t="n">
        <f aca="false">IFERROR(L326-M326,"")</f>
        <v>0</v>
      </c>
    </row>
    <row r="327" customFormat="false" ht="15" hidden="false" customHeight="false" outlineLevel="0" collapsed="false">
      <c r="A327" s="10"/>
      <c r="B327" s="12"/>
      <c r="C327" s="10"/>
      <c r="D327" s="14" t="str">
        <f aca="false">IFERROR(IF(C327="","",INDEX(Customers!$B$5:$B$504,MATCH(C327,Customers!$A$5:$A$504,0))),"")</f>
        <v/>
      </c>
      <c r="E327" s="10" t="s">
        <v>24</v>
      </c>
      <c r="F327" s="12"/>
      <c r="G327" s="12"/>
      <c r="H327" s="10"/>
      <c r="I327" s="10"/>
      <c r="J327" s="9" t="n">
        <f aca="false">IFERROR(SUMIFS(SalesOrderLines!$I$5:$I$504,SalesOrderLines!$B$5:$B$504,A327),"")</f>
        <v>0</v>
      </c>
      <c r="K327" s="9" t="n">
        <f aca="false">IFERROR(SUMIFS(SalesOrderLines!$J$5:$J$504,SalesOrderLines!$B$5:$B$504,A327),"")</f>
        <v>0</v>
      </c>
      <c r="L327" s="9" t="n">
        <f aca="false">IFERROR(J327+K327,"")</f>
        <v>0</v>
      </c>
      <c r="M327" s="9" t="n">
        <f aca="false">IFERROR(SUMIFS(Payments!$E$5:$E$504,Payments!$D$5:$D$504,A327,Payments!$C$5:$C$504,"In"),"")</f>
        <v>0</v>
      </c>
      <c r="N327" s="9" t="n">
        <f aca="false">IFERROR(L327-M327,"")</f>
        <v>0</v>
      </c>
    </row>
    <row r="328" customFormat="false" ht="15" hidden="false" customHeight="false" outlineLevel="0" collapsed="false">
      <c r="A328" s="10"/>
      <c r="B328" s="12"/>
      <c r="C328" s="10"/>
      <c r="D328" s="14" t="str">
        <f aca="false">IFERROR(IF(C328="","",INDEX(Customers!$B$5:$B$504,MATCH(C328,Customers!$A$5:$A$504,0))),"")</f>
        <v/>
      </c>
      <c r="E328" s="10" t="s">
        <v>24</v>
      </c>
      <c r="F328" s="12"/>
      <c r="G328" s="12"/>
      <c r="H328" s="10"/>
      <c r="I328" s="10"/>
      <c r="J328" s="9" t="n">
        <f aca="false">IFERROR(SUMIFS(SalesOrderLines!$I$5:$I$504,SalesOrderLines!$B$5:$B$504,A328),"")</f>
        <v>0</v>
      </c>
      <c r="K328" s="9" t="n">
        <f aca="false">IFERROR(SUMIFS(SalesOrderLines!$J$5:$J$504,SalesOrderLines!$B$5:$B$504,A328),"")</f>
        <v>0</v>
      </c>
      <c r="L328" s="9" t="n">
        <f aca="false">IFERROR(J328+K328,"")</f>
        <v>0</v>
      </c>
      <c r="M328" s="9" t="n">
        <f aca="false">IFERROR(SUMIFS(Payments!$E$5:$E$504,Payments!$D$5:$D$504,A328,Payments!$C$5:$C$504,"In"),"")</f>
        <v>0</v>
      </c>
      <c r="N328" s="9" t="n">
        <f aca="false">IFERROR(L328-M328,"")</f>
        <v>0</v>
      </c>
    </row>
    <row r="329" customFormat="false" ht="15" hidden="false" customHeight="false" outlineLevel="0" collapsed="false">
      <c r="A329" s="10"/>
      <c r="B329" s="12"/>
      <c r="C329" s="10"/>
      <c r="D329" s="14" t="str">
        <f aca="false">IFERROR(IF(C329="","",INDEX(Customers!$B$5:$B$504,MATCH(C329,Customers!$A$5:$A$504,0))),"")</f>
        <v/>
      </c>
      <c r="E329" s="10" t="s">
        <v>24</v>
      </c>
      <c r="F329" s="12"/>
      <c r="G329" s="12"/>
      <c r="H329" s="10"/>
      <c r="I329" s="10"/>
      <c r="J329" s="9" t="n">
        <f aca="false">IFERROR(SUMIFS(SalesOrderLines!$I$5:$I$504,SalesOrderLines!$B$5:$B$504,A329),"")</f>
        <v>0</v>
      </c>
      <c r="K329" s="9" t="n">
        <f aca="false">IFERROR(SUMIFS(SalesOrderLines!$J$5:$J$504,SalesOrderLines!$B$5:$B$504,A329),"")</f>
        <v>0</v>
      </c>
      <c r="L329" s="9" t="n">
        <f aca="false">IFERROR(J329+K329,"")</f>
        <v>0</v>
      </c>
      <c r="M329" s="9" t="n">
        <f aca="false">IFERROR(SUMIFS(Payments!$E$5:$E$504,Payments!$D$5:$D$504,A329,Payments!$C$5:$C$504,"In"),"")</f>
        <v>0</v>
      </c>
      <c r="N329" s="9" t="n">
        <f aca="false">IFERROR(L329-M329,"")</f>
        <v>0</v>
      </c>
    </row>
    <row r="330" customFormat="false" ht="15" hidden="false" customHeight="false" outlineLevel="0" collapsed="false">
      <c r="A330" s="10"/>
      <c r="B330" s="12"/>
      <c r="C330" s="10"/>
      <c r="D330" s="14" t="str">
        <f aca="false">IFERROR(IF(C330="","",INDEX(Customers!$B$5:$B$504,MATCH(C330,Customers!$A$5:$A$504,0))),"")</f>
        <v/>
      </c>
      <c r="E330" s="10" t="s">
        <v>24</v>
      </c>
      <c r="F330" s="12"/>
      <c r="G330" s="12"/>
      <c r="H330" s="10"/>
      <c r="I330" s="10"/>
      <c r="J330" s="9" t="n">
        <f aca="false">IFERROR(SUMIFS(SalesOrderLines!$I$5:$I$504,SalesOrderLines!$B$5:$B$504,A330),"")</f>
        <v>0</v>
      </c>
      <c r="K330" s="9" t="n">
        <f aca="false">IFERROR(SUMIFS(SalesOrderLines!$J$5:$J$504,SalesOrderLines!$B$5:$B$504,A330),"")</f>
        <v>0</v>
      </c>
      <c r="L330" s="9" t="n">
        <f aca="false">IFERROR(J330+K330,"")</f>
        <v>0</v>
      </c>
      <c r="M330" s="9" t="n">
        <f aca="false">IFERROR(SUMIFS(Payments!$E$5:$E$504,Payments!$D$5:$D$504,A330,Payments!$C$5:$C$504,"In"),"")</f>
        <v>0</v>
      </c>
      <c r="N330" s="9" t="n">
        <f aca="false">IFERROR(L330-M330,"")</f>
        <v>0</v>
      </c>
    </row>
    <row r="331" customFormat="false" ht="15" hidden="false" customHeight="false" outlineLevel="0" collapsed="false">
      <c r="A331" s="10"/>
      <c r="B331" s="12"/>
      <c r="C331" s="10"/>
      <c r="D331" s="14" t="str">
        <f aca="false">IFERROR(IF(C331="","",INDEX(Customers!$B$5:$B$504,MATCH(C331,Customers!$A$5:$A$504,0))),"")</f>
        <v/>
      </c>
      <c r="E331" s="10" t="s">
        <v>24</v>
      </c>
      <c r="F331" s="12"/>
      <c r="G331" s="12"/>
      <c r="H331" s="10"/>
      <c r="I331" s="10"/>
      <c r="J331" s="9" t="n">
        <f aca="false">IFERROR(SUMIFS(SalesOrderLines!$I$5:$I$504,SalesOrderLines!$B$5:$B$504,A331),"")</f>
        <v>0</v>
      </c>
      <c r="K331" s="9" t="n">
        <f aca="false">IFERROR(SUMIFS(SalesOrderLines!$J$5:$J$504,SalesOrderLines!$B$5:$B$504,A331),"")</f>
        <v>0</v>
      </c>
      <c r="L331" s="9" t="n">
        <f aca="false">IFERROR(J331+K331,"")</f>
        <v>0</v>
      </c>
      <c r="M331" s="9" t="n">
        <f aca="false">IFERROR(SUMIFS(Payments!$E$5:$E$504,Payments!$D$5:$D$504,A331,Payments!$C$5:$C$504,"In"),"")</f>
        <v>0</v>
      </c>
      <c r="N331" s="9" t="n">
        <f aca="false">IFERROR(L331-M331,"")</f>
        <v>0</v>
      </c>
    </row>
    <row r="332" customFormat="false" ht="15" hidden="false" customHeight="false" outlineLevel="0" collapsed="false">
      <c r="A332" s="10"/>
      <c r="B332" s="12"/>
      <c r="C332" s="10"/>
      <c r="D332" s="14" t="str">
        <f aca="false">IFERROR(IF(C332="","",INDEX(Customers!$B$5:$B$504,MATCH(C332,Customers!$A$5:$A$504,0))),"")</f>
        <v/>
      </c>
      <c r="E332" s="10" t="s">
        <v>24</v>
      </c>
      <c r="F332" s="12"/>
      <c r="G332" s="12"/>
      <c r="H332" s="10"/>
      <c r="I332" s="10"/>
      <c r="J332" s="9" t="n">
        <f aca="false">IFERROR(SUMIFS(SalesOrderLines!$I$5:$I$504,SalesOrderLines!$B$5:$B$504,A332),"")</f>
        <v>0</v>
      </c>
      <c r="K332" s="9" t="n">
        <f aca="false">IFERROR(SUMIFS(SalesOrderLines!$J$5:$J$504,SalesOrderLines!$B$5:$B$504,A332),"")</f>
        <v>0</v>
      </c>
      <c r="L332" s="9" t="n">
        <f aca="false">IFERROR(J332+K332,"")</f>
        <v>0</v>
      </c>
      <c r="M332" s="9" t="n">
        <f aca="false">IFERROR(SUMIFS(Payments!$E$5:$E$504,Payments!$D$5:$D$504,A332,Payments!$C$5:$C$504,"In"),"")</f>
        <v>0</v>
      </c>
      <c r="N332" s="9" t="n">
        <f aca="false">IFERROR(L332-M332,"")</f>
        <v>0</v>
      </c>
    </row>
    <row r="333" customFormat="false" ht="15" hidden="false" customHeight="false" outlineLevel="0" collapsed="false">
      <c r="A333" s="10"/>
      <c r="B333" s="12"/>
      <c r="C333" s="10"/>
      <c r="D333" s="14" t="str">
        <f aca="false">IFERROR(IF(C333="","",INDEX(Customers!$B$5:$B$504,MATCH(C333,Customers!$A$5:$A$504,0))),"")</f>
        <v/>
      </c>
      <c r="E333" s="10" t="s">
        <v>24</v>
      </c>
      <c r="F333" s="12"/>
      <c r="G333" s="12"/>
      <c r="H333" s="10"/>
      <c r="I333" s="10"/>
      <c r="J333" s="9" t="n">
        <f aca="false">IFERROR(SUMIFS(SalesOrderLines!$I$5:$I$504,SalesOrderLines!$B$5:$B$504,A333),"")</f>
        <v>0</v>
      </c>
      <c r="K333" s="9" t="n">
        <f aca="false">IFERROR(SUMIFS(SalesOrderLines!$J$5:$J$504,SalesOrderLines!$B$5:$B$504,A333),"")</f>
        <v>0</v>
      </c>
      <c r="L333" s="9" t="n">
        <f aca="false">IFERROR(J333+K333,"")</f>
        <v>0</v>
      </c>
      <c r="M333" s="9" t="n">
        <f aca="false">IFERROR(SUMIFS(Payments!$E$5:$E$504,Payments!$D$5:$D$504,A333,Payments!$C$5:$C$504,"In"),"")</f>
        <v>0</v>
      </c>
      <c r="N333" s="9" t="n">
        <f aca="false">IFERROR(L333-M333,"")</f>
        <v>0</v>
      </c>
    </row>
    <row r="334" customFormat="false" ht="15" hidden="false" customHeight="false" outlineLevel="0" collapsed="false">
      <c r="A334" s="10"/>
      <c r="B334" s="12"/>
      <c r="C334" s="10"/>
      <c r="D334" s="14" t="str">
        <f aca="false">IFERROR(IF(C334="","",INDEX(Customers!$B$5:$B$504,MATCH(C334,Customers!$A$5:$A$504,0))),"")</f>
        <v/>
      </c>
      <c r="E334" s="10" t="s">
        <v>24</v>
      </c>
      <c r="F334" s="12"/>
      <c r="G334" s="12"/>
      <c r="H334" s="10"/>
      <c r="I334" s="10"/>
      <c r="J334" s="9" t="n">
        <f aca="false">IFERROR(SUMIFS(SalesOrderLines!$I$5:$I$504,SalesOrderLines!$B$5:$B$504,A334),"")</f>
        <v>0</v>
      </c>
      <c r="K334" s="9" t="n">
        <f aca="false">IFERROR(SUMIFS(SalesOrderLines!$J$5:$J$504,SalesOrderLines!$B$5:$B$504,A334),"")</f>
        <v>0</v>
      </c>
      <c r="L334" s="9" t="n">
        <f aca="false">IFERROR(J334+K334,"")</f>
        <v>0</v>
      </c>
      <c r="M334" s="9" t="n">
        <f aca="false">IFERROR(SUMIFS(Payments!$E$5:$E$504,Payments!$D$5:$D$504,A334,Payments!$C$5:$C$504,"In"),"")</f>
        <v>0</v>
      </c>
      <c r="N334" s="9" t="n">
        <f aca="false">IFERROR(L334-M334,"")</f>
        <v>0</v>
      </c>
    </row>
    <row r="335" customFormat="false" ht="15" hidden="false" customHeight="false" outlineLevel="0" collapsed="false">
      <c r="A335" s="10"/>
      <c r="B335" s="12"/>
      <c r="C335" s="10"/>
      <c r="D335" s="14" t="str">
        <f aca="false">IFERROR(IF(C335="","",INDEX(Customers!$B$5:$B$504,MATCH(C335,Customers!$A$5:$A$504,0))),"")</f>
        <v/>
      </c>
      <c r="E335" s="10" t="s">
        <v>24</v>
      </c>
      <c r="F335" s="12"/>
      <c r="G335" s="12"/>
      <c r="H335" s="10"/>
      <c r="I335" s="10"/>
      <c r="J335" s="9" t="n">
        <f aca="false">IFERROR(SUMIFS(SalesOrderLines!$I$5:$I$504,SalesOrderLines!$B$5:$B$504,A335),"")</f>
        <v>0</v>
      </c>
      <c r="K335" s="9" t="n">
        <f aca="false">IFERROR(SUMIFS(SalesOrderLines!$J$5:$J$504,SalesOrderLines!$B$5:$B$504,A335),"")</f>
        <v>0</v>
      </c>
      <c r="L335" s="9" t="n">
        <f aca="false">IFERROR(J335+K335,"")</f>
        <v>0</v>
      </c>
      <c r="M335" s="9" t="n">
        <f aca="false">IFERROR(SUMIFS(Payments!$E$5:$E$504,Payments!$D$5:$D$504,A335,Payments!$C$5:$C$504,"In"),"")</f>
        <v>0</v>
      </c>
      <c r="N335" s="9" t="n">
        <f aca="false">IFERROR(L335-M335,"")</f>
        <v>0</v>
      </c>
    </row>
    <row r="336" customFormat="false" ht="15" hidden="false" customHeight="false" outlineLevel="0" collapsed="false">
      <c r="A336" s="10"/>
      <c r="B336" s="12"/>
      <c r="C336" s="10"/>
      <c r="D336" s="14" t="str">
        <f aca="false">IFERROR(IF(C336="","",INDEX(Customers!$B$5:$B$504,MATCH(C336,Customers!$A$5:$A$504,0))),"")</f>
        <v/>
      </c>
      <c r="E336" s="10" t="s">
        <v>24</v>
      </c>
      <c r="F336" s="12"/>
      <c r="G336" s="12"/>
      <c r="H336" s="10"/>
      <c r="I336" s="10"/>
      <c r="J336" s="9" t="n">
        <f aca="false">IFERROR(SUMIFS(SalesOrderLines!$I$5:$I$504,SalesOrderLines!$B$5:$B$504,A336),"")</f>
        <v>0</v>
      </c>
      <c r="K336" s="9" t="n">
        <f aca="false">IFERROR(SUMIFS(SalesOrderLines!$J$5:$J$504,SalesOrderLines!$B$5:$B$504,A336),"")</f>
        <v>0</v>
      </c>
      <c r="L336" s="9" t="n">
        <f aca="false">IFERROR(J336+K336,"")</f>
        <v>0</v>
      </c>
      <c r="M336" s="9" t="n">
        <f aca="false">IFERROR(SUMIFS(Payments!$E$5:$E$504,Payments!$D$5:$D$504,A336,Payments!$C$5:$C$504,"In"),"")</f>
        <v>0</v>
      </c>
      <c r="N336" s="9" t="n">
        <f aca="false">IFERROR(L336-M336,"")</f>
        <v>0</v>
      </c>
    </row>
    <row r="337" customFormat="false" ht="15" hidden="false" customHeight="false" outlineLevel="0" collapsed="false">
      <c r="A337" s="10"/>
      <c r="B337" s="12"/>
      <c r="C337" s="10"/>
      <c r="D337" s="14" t="str">
        <f aca="false">IFERROR(IF(C337="","",INDEX(Customers!$B$5:$B$504,MATCH(C337,Customers!$A$5:$A$504,0))),"")</f>
        <v/>
      </c>
      <c r="E337" s="10" t="s">
        <v>24</v>
      </c>
      <c r="F337" s="12"/>
      <c r="G337" s="12"/>
      <c r="H337" s="10"/>
      <c r="I337" s="10"/>
      <c r="J337" s="9" t="n">
        <f aca="false">IFERROR(SUMIFS(SalesOrderLines!$I$5:$I$504,SalesOrderLines!$B$5:$B$504,A337),"")</f>
        <v>0</v>
      </c>
      <c r="K337" s="9" t="n">
        <f aca="false">IFERROR(SUMIFS(SalesOrderLines!$J$5:$J$504,SalesOrderLines!$B$5:$B$504,A337),"")</f>
        <v>0</v>
      </c>
      <c r="L337" s="9" t="n">
        <f aca="false">IFERROR(J337+K337,"")</f>
        <v>0</v>
      </c>
      <c r="M337" s="9" t="n">
        <f aca="false">IFERROR(SUMIFS(Payments!$E$5:$E$504,Payments!$D$5:$D$504,A337,Payments!$C$5:$C$504,"In"),"")</f>
        <v>0</v>
      </c>
      <c r="N337" s="9" t="n">
        <f aca="false">IFERROR(L337-M337,"")</f>
        <v>0</v>
      </c>
    </row>
    <row r="338" customFormat="false" ht="15" hidden="false" customHeight="false" outlineLevel="0" collapsed="false">
      <c r="A338" s="10"/>
      <c r="B338" s="12"/>
      <c r="C338" s="10"/>
      <c r="D338" s="14" t="str">
        <f aca="false">IFERROR(IF(C338="","",INDEX(Customers!$B$5:$B$504,MATCH(C338,Customers!$A$5:$A$504,0))),"")</f>
        <v/>
      </c>
      <c r="E338" s="10" t="s">
        <v>24</v>
      </c>
      <c r="F338" s="12"/>
      <c r="G338" s="12"/>
      <c r="H338" s="10"/>
      <c r="I338" s="10"/>
      <c r="J338" s="9" t="n">
        <f aca="false">IFERROR(SUMIFS(SalesOrderLines!$I$5:$I$504,SalesOrderLines!$B$5:$B$504,A338),"")</f>
        <v>0</v>
      </c>
      <c r="K338" s="9" t="n">
        <f aca="false">IFERROR(SUMIFS(SalesOrderLines!$J$5:$J$504,SalesOrderLines!$B$5:$B$504,A338),"")</f>
        <v>0</v>
      </c>
      <c r="L338" s="9" t="n">
        <f aca="false">IFERROR(J338+K338,"")</f>
        <v>0</v>
      </c>
      <c r="M338" s="9" t="n">
        <f aca="false">IFERROR(SUMIFS(Payments!$E$5:$E$504,Payments!$D$5:$D$504,A338,Payments!$C$5:$C$504,"In"),"")</f>
        <v>0</v>
      </c>
      <c r="N338" s="9" t="n">
        <f aca="false">IFERROR(L338-M338,"")</f>
        <v>0</v>
      </c>
    </row>
    <row r="339" customFormat="false" ht="15" hidden="false" customHeight="false" outlineLevel="0" collapsed="false">
      <c r="A339" s="10"/>
      <c r="B339" s="12"/>
      <c r="C339" s="10"/>
      <c r="D339" s="14" t="str">
        <f aca="false">IFERROR(IF(C339="","",INDEX(Customers!$B$5:$B$504,MATCH(C339,Customers!$A$5:$A$504,0))),"")</f>
        <v/>
      </c>
      <c r="E339" s="10" t="s">
        <v>24</v>
      </c>
      <c r="F339" s="12"/>
      <c r="G339" s="12"/>
      <c r="H339" s="10"/>
      <c r="I339" s="10"/>
      <c r="J339" s="9" t="n">
        <f aca="false">IFERROR(SUMIFS(SalesOrderLines!$I$5:$I$504,SalesOrderLines!$B$5:$B$504,A339),"")</f>
        <v>0</v>
      </c>
      <c r="K339" s="9" t="n">
        <f aca="false">IFERROR(SUMIFS(SalesOrderLines!$J$5:$J$504,SalesOrderLines!$B$5:$B$504,A339),"")</f>
        <v>0</v>
      </c>
      <c r="L339" s="9" t="n">
        <f aca="false">IFERROR(J339+K339,"")</f>
        <v>0</v>
      </c>
      <c r="M339" s="9" t="n">
        <f aca="false">IFERROR(SUMIFS(Payments!$E$5:$E$504,Payments!$D$5:$D$504,A339,Payments!$C$5:$C$504,"In"),"")</f>
        <v>0</v>
      </c>
      <c r="N339" s="9" t="n">
        <f aca="false">IFERROR(L339-M339,"")</f>
        <v>0</v>
      </c>
    </row>
    <row r="340" customFormat="false" ht="15" hidden="false" customHeight="false" outlineLevel="0" collapsed="false">
      <c r="A340" s="10"/>
      <c r="B340" s="12"/>
      <c r="C340" s="10"/>
      <c r="D340" s="14" t="str">
        <f aca="false">IFERROR(IF(C340="","",INDEX(Customers!$B$5:$B$504,MATCH(C340,Customers!$A$5:$A$504,0))),"")</f>
        <v/>
      </c>
      <c r="E340" s="10" t="s">
        <v>24</v>
      </c>
      <c r="F340" s="12"/>
      <c r="G340" s="12"/>
      <c r="H340" s="10"/>
      <c r="I340" s="10"/>
      <c r="J340" s="9" t="n">
        <f aca="false">IFERROR(SUMIFS(SalesOrderLines!$I$5:$I$504,SalesOrderLines!$B$5:$B$504,A340),"")</f>
        <v>0</v>
      </c>
      <c r="K340" s="9" t="n">
        <f aca="false">IFERROR(SUMIFS(SalesOrderLines!$J$5:$J$504,SalesOrderLines!$B$5:$B$504,A340),"")</f>
        <v>0</v>
      </c>
      <c r="L340" s="9" t="n">
        <f aca="false">IFERROR(J340+K340,"")</f>
        <v>0</v>
      </c>
      <c r="M340" s="9" t="n">
        <f aca="false">IFERROR(SUMIFS(Payments!$E$5:$E$504,Payments!$D$5:$D$504,A340,Payments!$C$5:$C$504,"In"),"")</f>
        <v>0</v>
      </c>
      <c r="N340" s="9" t="n">
        <f aca="false">IFERROR(L340-M340,"")</f>
        <v>0</v>
      </c>
    </row>
    <row r="341" customFormat="false" ht="15" hidden="false" customHeight="false" outlineLevel="0" collapsed="false">
      <c r="A341" s="10"/>
      <c r="B341" s="12"/>
      <c r="C341" s="10"/>
      <c r="D341" s="14" t="str">
        <f aca="false">IFERROR(IF(C341="","",INDEX(Customers!$B$5:$B$504,MATCH(C341,Customers!$A$5:$A$504,0))),"")</f>
        <v/>
      </c>
      <c r="E341" s="10" t="s">
        <v>24</v>
      </c>
      <c r="F341" s="12"/>
      <c r="G341" s="12"/>
      <c r="H341" s="10"/>
      <c r="I341" s="10"/>
      <c r="J341" s="9" t="n">
        <f aca="false">IFERROR(SUMIFS(SalesOrderLines!$I$5:$I$504,SalesOrderLines!$B$5:$B$504,A341),"")</f>
        <v>0</v>
      </c>
      <c r="K341" s="9" t="n">
        <f aca="false">IFERROR(SUMIFS(SalesOrderLines!$J$5:$J$504,SalesOrderLines!$B$5:$B$504,A341),"")</f>
        <v>0</v>
      </c>
      <c r="L341" s="9" t="n">
        <f aca="false">IFERROR(J341+K341,"")</f>
        <v>0</v>
      </c>
      <c r="M341" s="9" t="n">
        <f aca="false">IFERROR(SUMIFS(Payments!$E$5:$E$504,Payments!$D$5:$D$504,A341,Payments!$C$5:$C$504,"In"),"")</f>
        <v>0</v>
      </c>
      <c r="N341" s="9" t="n">
        <f aca="false">IFERROR(L341-M341,"")</f>
        <v>0</v>
      </c>
    </row>
    <row r="342" customFormat="false" ht="15" hidden="false" customHeight="false" outlineLevel="0" collapsed="false">
      <c r="A342" s="10"/>
      <c r="B342" s="12"/>
      <c r="C342" s="10"/>
      <c r="D342" s="14" t="str">
        <f aca="false">IFERROR(IF(C342="","",INDEX(Customers!$B$5:$B$504,MATCH(C342,Customers!$A$5:$A$504,0))),"")</f>
        <v/>
      </c>
      <c r="E342" s="10" t="s">
        <v>24</v>
      </c>
      <c r="F342" s="12"/>
      <c r="G342" s="12"/>
      <c r="H342" s="10"/>
      <c r="I342" s="10"/>
      <c r="J342" s="9" t="n">
        <f aca="false">IFERROR(SUMIFS(SalesOrderLines!$I$5:$I$504,SalesOrderLines!$B$5:$B$504,A342),"")</f>
        <v>0</v>
      </c>
      <c r="K342" s="9" t="n">
        <f aca="false">IFERROR(SUMIFS(SalesOrderLines!$J$5:$J$504,SalesOrderLines!$B$5:$B$504,A342),"")</f>
        <v>0</v>
      </c>
      <c r="L342" s="9" t="n">
        <f aca="false">IFERROR(J342+K342,"")</f>
        <v>0</v>
      </c>
      <c r="M342" s="9" t="n">
        <f aca="false">IFERROR(SUMIFS(Payments!$E$5:$E$504,Payments!$D$5:$D$504,A342,Payments!$C$5:$C$504,"In"),"")</f>
        <v>0</v>
      </c>
      <c r="N342" s="9" t="n">
        <f aca="false">IFERROR(L342-M342,"")</f>
        <v>0</v>
      </c>
    </row>
    <row r="343" customFormat="false" ht="15" hidden="false" customHeight="false" outlineLevel="0" collapsed="false">
      <c r="A343" s="10"/>
      <c r="B343" s="12"/>
      <c r="C343" s="10"/>
      <c r="D343" s="14" t="str">
        <f aca="false">IFERROR(IF(C343="","",INDEX(Customers!$B$5:$B$504,MATCH(C343,Customers!$A$5:$A$504,0))),"")</f>
        <v/>
      </c>
      <c r="E343" s="10" t="s">
        <v>24</v>
      </c>
      <c r="F343" s="12"/>
      <c r="G343" s="12"/>
      <c r="H343" s="10"/>
      <c r="I343" s="10"/>
      <c r="J343" s="9" t="n">
        <f aca="false">IFERROR(SUMIFS(SalesOrderLines!$I$5:$I$504,SalesOrderLines!$B$5:$B$504,A343),"")</f>
        <v>0</v>
      </c>
      <c r="K343" s="9" t="n">
        <f aca="false">IFERROR(SUMIFS(SalesOrderLines!$J$5:$J$504,SalesOrderLines!$B$5:$B$504,A343),"")</f>
        <v>0</v>
      </c>
      <c r="L343" s="9" t="n">
        <f aca="false">IFERROR(J343+K343,"")</f>
        <v>0</v>
      </c>
      <c r="M343" s="9" t="n">
        <f aca="false">IFERROR(SUMIFS(Payments!$E$5:$E$504,Payments!$D$5:$D$504,A343,Payments!$C$5:$C$504,"In"),"")</f>
        <v>0</v>
      </c>
      <c r="N343" s="9" t="n">
        <f aca="false">IFERROR(L343-M343,"")</f>
        <v>0</v>
      </c>
    </row>
    <row r="344" customFormat="false" ht="15" hidden="false" customHeight="false" outlineLevel="0" collapsed="false">
      <c r="A344" s="10"/>
      <c r="B344" s="12"/>
      <c r="C344" s="10"/>
      <c r="D344" s="14" t="str">
        <f aca="false">IFERROR(IF(C344="","",INDEX(Customers!$B$5:$B$504,MATCH(C344,Customers!$A$5:$A$504,0))),"")</f>
        <v/>
      </c>
      <c r="E344" s="10" t="s">
        <v>24</v>
      </c>
      <c r="F344" s="12"/>
      <c r="G344" s="12"/>
      <c r="H344" s="10"/>
      <c r="I344" s="10"/>
      <c r="J344" s="9" t="n">
        <f aca="false">IFERROR(SUMIFS(SalesOrderLines!$I$5:$I$504,SalesOrderLines!$B$5:$B$504,A344),"")</f>
        <v>0</v>
      </c>
      <c r="K344" s="9" t="n">
        <f aca="false">IFERROR(SUMIFS(SalesOrderLines!$J$5:$J$504,SalesOrderLines!$B$5:$B$504,A344),"")</f>
        <v>0</v>
      </c>
      <c r="L344" s="9" t="n">
        <f aca="false">IFERROR(J344+K344,"")</f>
        <v>0</v>
      </c>
      <c r="M344" s="9" t="n">
        <f aca="false">IFERROR(SUMIFS(Payments!$E$5:$E$504,Payments!$D$5:$D$504,A344,Payments!$C$5:$C$504,"In"),"")</f>
        <v>0</v>
      </c>
      <c r="N344" s="9" t="n">
        <f aca="false">IFERROR(L344-M344,"")</f>
        <v>0</v>
      </c>
    </row>
    <row r="345" customFormat="false" ht="15" hidden="false" customHeight="false" outlineLevel="0" collapsed="false">
      <c r="A345" s="10"/>
      <c r="B345" s="12"/>
      <c r="C345" s="10"/>
      <c r="D345" s="14" t="str">
        <f aca="false">IFERROR(IF(C345="","",INDEX(Customers!$B$5:$B$504,MATCH(C345,Customers!$A$5:$A$504,0))),"")</f>
        <v/>
      </c>
      <c r="E345" s="10" t="s">
        <v>24</v>
      </c>
      <c r="F345" s="12"/>
      <c r="G345" s="12"/>
      <c r="H345" s="10"/>
      <c r="I345" s="10"/>
      <c r="J345" s="9" t="n">
        <f aca="false">IFERROR(SUMIFS(SalesOrderLines!$I$5:$I$504,SalesOrderLines!$B$5:$B$504,A345),"")</f>
        <v>0</v>
      </c>
      <c r="K345" s="9" t="n">
        <f aca="false">IFERROR(SUMIFS(SalesOrderLines!$J$5:$J$504,SalesOrderLines!$B$5:$B$504,A345),"")</f>
        <v>0</v>
      </c>
      <c r="L345" s="9" t="n">
        <f aca="false">IFERROR(J345+K345,"")</f>
        <v>0</v>
      </c>
      <c r="M345" s="9" t="n">
        <f aca="false">IFERROR(SUMIFS(Payments!$E$5:$E$504,Payments!$D$5:$D$504,A345,Payments!$C$5:$C$504,"In"),"")</f>
        <v>0</v>
      </c>
      <c r="N345" s="9" t="n">
        <f aca="false">IFERROR(L345-M345,"")</f>
        <v>0</v>
      </c>
    </row>
    <row r="346" customFormat="false" ht="15" hidden="false" customHeight="false" outlineLevel="0" collapsed="false">
      <c r="A346" s="10"/>
      <c r="B346" s="12"/>
      <c r="C346" s="10"/>
      <c r="D346" s="14" t="str">
        <f aca="false">IFERROR(IF(C346="","",INDEX(Customers!$B$5:$B$504,MATCH(C346,Customers!$A$5:$A$504,0))),"")</f>
        <v/>
      </c>
      <c r="E346" s="10" t="s">
        <v>24</v>
      </c>
      <c r="F346" s="12"/>
      <c r="G346" s="12"/>
      <c r="H346" s="10"/>
      <c r="I346" s="10"/>
      <c r="J346" s="9" t="n">
        <f aca="false">IFERROR(SUMIFS(SalesOrderLines!$I$5:$I$504,SalesOrderLines!$B$5:$B$504,A346),"")</f>
        <v>0</v>
      </c>
      <c r="K346" s="9" t="n">
        <f aca="false">IFERROR(SUMIFS(SalesOrderLines!$J$5:$J$504,SalesOrderLines!$B$5:$B$504,A346),"")</f>
        <v>0</v>
      </c>
      <c r="L346" s="9" t="n">
        <f aca="false">IFERROR(J346+K346,"")</f>
        <v>0</v>
      </c>
      <c r="M346" s="9" t="n">
        <f aca="false">IFERROR(SUMIFS(Payments!$E$5:$E$504,Payments!$D$5:$D$504,A346,Payments!$C$5:$C$504,"In"),"")</f>
        <v>0</v>
      </c>
      <c r="N346" s="9" t="n">
        <f aca="false">IFERROR(L346-M346,"")</f>
        <v>0</v>
      </c>
    </row>
    <row r="347" customFormat="false" ht="15" hidden="false" customHeight="false" outlineLevel="0" collapsed="false">
      <c r="A347" s="10"/>
      <c r="B347" s="12"/>
      <c r="C347" s="10"/>
      <c r="D347" s="14" t="str">
        <f aca="false">IFERROR(IF(C347="","",INDEX(Customers!$B$5:$B$504,MATCH(C347,Customers!$A$5:$A$504,0))),"")</f>
        <v/>
      </c>
      <c r="E347" s="10" t="s">
        <v>24</v>
      </c>
      <c r="F347" s="12"/>
      <c r="G347" s="12"/>
      <c r="H347" s="10"/>
      <c r="I347" s="10"/>
      <c r="J347" s="9" t="n">
        <f aca="false">IFERROR(SUMIFS(SalesOrderLines!$I$5:$I$504,SalesOrderLines!$B$5:$B$504,A347),"")</f>
        <v>0</v>
      </c>
      <c r="K347" s="9" t="n">
        <f aca="false">IFERROR(SUMIFS(SalesOrderLines!$J$5:$J$504,SalesOrderLines!$B$5:$B$504,A347),"")</f>
        <v>0</v>
      </c>
      <c r="L347" s="9" t="n">
        <f aca="false">IFERROR(J347+K347,"")</f>
        <v>0</v>
      </c>
      <c r="M347" s="9" t="n">
        <f aca="false">IFERROR(SUMIFS(Payments!$E$5:$E$504,Payments!$D$5:$D$504,A347,Payments!$C$5:$C$504,"In"),"")</f>
        <v>0</v>
      </c>
      <c r="N347" s="9" t="n">
        <f aca="false">IFERROR(L347-M347,"")</f>
        <v>0</v>
      </c>
    </row>
    <row r="348" customFormat="false" ht="15" hidden="false" customHeight="false" outlineLevel="0" collapsed="false">
      <c r="A348" s="10"/>
      <c r="B348" s="12"/>
      <c r="C348" s="10"/>
      <c r="D348" s="14" t="str">
        <f aca="false">IFERROR(IF(C348="","",INDEX(Customers!$B$5:$B$504,MATCH(C348,Customers!$A$5:$A$504,0))),"")</f>
        <v/>
      </c>
      <c r="E348" s="10" t="s">
        <v>24</v>
      </c>
      <c r="F348" s="12"/>
      <c r="G348" s="12"/>
      <c r="H348" s="10"/>
      <c r="I348" s="10"/>
      <c r="J348" s="9" t="n">
        <f aca="false">IFERROR(SUMIFS(SalesOrderLines!$I$5:$I$504,SalesOrderLines!$B$5:$B$504,A348),"")</f>
        <v>0</v>
      </c>
      <c r="K348" s="9" t="n">
        <f aca="false">IFERROR(SUMIFS(SalesOrderLines!$J$5:$J$504,SalesOrderLines!$B$5:$B$504,A348),"")</f>
        <v>0</v>
      </c>
      <c r="L348" s="9" t="n">
        <f aca="false">IFERROR(J348+K348,"")</f>
        <v>0</v>
      </c>
      <c r="M348" s="9" t="n">
        <f aca="false">IFERROR(SUMIFS(Payments!$E$5:$E$504,Payments!$D$5:$D$504,A348,Payments!$C$5:$C$504,"In"),"")</f>
        <v>0</v>
      </c>
      <c r="N348" s="9" t="n">
        <f aca="false">IFERROR(L348-M348,"")</f>
        <v>0</v>
      </c>
    </row>
    <row r="349" customFormat="false" ht="15" hidden="false" customHeight="false" outlineLevel="0" collapsed="false">
      <c r="A349" s="10"/>
      <c r="B349" s="12"/>
      <c r="C349" s="10"/>
      <c r="D349" s="14" t="str">
        <f aca="false">IFERROR(IF(C349="","",INDEX(Customers!$B$5:$B$504,MATCH(C349,Customers!$A$5:$A$504,0))),"")</f>
        <v/>
      </c>
      <c r="E349" s="10" t="s">
        <v>24</v>
      </c>
      <c r="F349" s="12"/>
      <c r="G349" s="12"/>
      <c r="H349" s="10"/>
      <c r="I349" s="10"/>
      <c r="J349" s="9" t="n">
        <f aca="false">IFERROR(SUMIFS(SalesOrderLines!$I$5:$I$504,SalesOrderLines!$B$5:$B$504,A349),"")</f>
        <v>0</v>
      </c>
      <c r="K349" s="9" t="n">
        <f aca="false">IFERROR(SUMIFS(SalesOrderLines!$J$5:$J$504,SalesOrderLines!$B$5:$B$504,A349),"")</f>
        <v>0</v>
      </c>
      <c r="L349" s="9" t="n">
        <f aca="false">IFERROR(J349+K349,"")</f>
        <v>0</v>
      </c>
      <c r="M349" s="9" t="n">
        <f aca="false">IFERROR(SUMIFS(Payments!$E$5:$E$504,Payments!$D$5:$D$504,A349,Payments!$C$5:$C$504,"In"),"")</f>
        <v>0</v>
      </c>
      <c r="N349" s="9" t="n">
        <f aca="false">IFERROR(L349-M349,"")</f>
        <v>0</v>
      </c>
    </row>
    <row r="350" customFormat="false" ht="15" hidden="false" customHeight="false" outlineLevel="0" collapsed="false">
      <c r="A350" s="10"/>
      <c r="B350" s="12"/>
      <c r="C350" s="10"/>
      <c r="D350" s="14" t="str">
        <f aca="false">IFERROR(IF(C350="","",INDEX(Customers!$B$5:$B$504,MATCH(C350,Customers!$A$5:$A$504,0))),"")</f>
        <v/>
      </c>
      <c r="E350" s="10" t="s">
        <v>24</v>
      </c>
      <c r="F350" s="12"/>
      <c r="G350" s="12"/>
      <c r="H350" s="10"/>
      <c r="I350" s="10"/>
      <c r="J350" s="9" t="n">
        <f aca="false">IFERROR(SUMIFS(SalesOrderLines!$I$5:$I$504,SalesOrderLines!$B$5:$B$504,A350),"")</f>
        <v>0</v>
      </c>
      <c r="K350" s="9" t="n">
        <f aca="false">IFERROR(SUMIFS(SalesOrderLines!$J$5:$J$504,SalesOrderLines!$B$5:$B$504,A350),"")</f>
        <v>0</v>
      </c>
      <c r="L350" s="9" t="n">
        <f aca="false">IFERROR(J350+K350,"")</f>
        <v>0</v>
      </c>
      <c r="M350" s="9" t="n">
        <f aca="false">IFERROR(SUMIFS(Payments!$E$5:$E$504,Payments!$D$5:$D$504,A350,Payments!$C$5:$C$504,"In"),"")</f>
        <v>0</v>
      </c>
      <c r="N350" s="9" t="n">
        <f aca="false">IFERROR(L350-M350,"")</f>
        <v>0</v>
      </c>
    </row>
    <row r="351" customFormat="false" ht="15" hidden="false" customHeight="false" outlineLevel="0" collapsed="false">
      <c r="A351" s="10"/>
      <c r="B351" s="12"/>
      <c r="C351" s="10"/>
      <c r="D351" s="14" t="str">
        <f aca="false">IFERROR(IF(C351="","",INDEX(Customers!$B$5:$B$504,MATCH(C351,Customers!$A$5:$A$504,0))),"")</f>
        <v/>
      </c>
      <c r="E351" s="10" t="s">
        <v>24</v>
      </c>
      <c r="F351" s="12"/>
      <c r="G351" s="12"/>
      <c r="H351" s="10"/>
      <c r="I351" s="10"/>
      <c r="J351" s="9" t="n">
        <f aca="false">IFERROR(SUMIFS(SalesOrderLines!$I$5:$I$504,SalesOrderLines!$B$5:$B$504,A351),"")</f>
        <v>0</v>
      </c>
      <c r="K351" s="9" t="n">
        <f aca="false">IFERROR(SUMIFS(SalesOrderLines!$J$5:$J$504,SalesOrderLines!$B$5:$B$504,A351),"")</f>
        <v>0</v>
      </c>
      <c r="L351" s="9" t="n">
        <f aca="false">IFERROR(J351+K351,"")</f>
        <v>0</v>
      </c>
      <c r="M351" s="9" t="n">
        <f aca="false">IFERROR(SUMIFS(Payments!$E$5:$E$504,Payments!$D$5:$D$504,A351,Payments!$C$5:$C$504,"In"),"")</f>
        <v>0</v>
      </c>
      <c r="N351" s="9" t="n">
        <f aca="false">IFERROR(L351-M351,"")</f>
        <v>0</v>
      </c>
    </row>
    <row r="352" customFormat="false" ht="15" hidden="false" customHeight="false" outlineLevel="0" collapsed="false">
      <c r="A352" s="10"/>
      <c r="B352" s="12"/>
      <c r="C352" s="10"/>
      <c r="D352" s="14" t="str">
        <f aca="false">IFERROR(IF(C352="","",INDEX(Customers!$B$5:$B$504,MATCH(C352,Customers!$A$5:$A$504,0))),"")</f>
        <v/>
      </c>
      <c r="E352" s="10" t="s">
        <v>24</v>
      </c>
      <c r="F352" s="12"/>
      <c r="G352" s="12"/>
      <c r="H352" s="10"/>
      <c r="I352" s="10"/>
      <c r="J352" s="9" t="n">
        <f aca="false">IFERROR(SUMIFS(SalesOrderLines!$I$5:$I$504,SalesOrderLines!$B$5:$B$504,A352),"")</f>
        <v>0</v>
      </c>
      <c r="K352" s="9" t="n">
        <f aca="false">IFERROR(SUMIFS(SalesOrderLines!$J$5:$J$504,SalesOrderLines!$B$5:$B$504,A352),"")</f>
        <v>0</v>
      </c>
      <c r="L352" s="9" t="n">
        <f aca="false">IFERROR(J352+K352,"")</f>
        <v>0</v>
      </c>
      <c r="M352" s="9" t="n">
        <f aca="false">IFERROR(SUMIFS(Payments!$E$5:$E$504,Payments!$D$5:$D$504,A352,Payments!$C$5:$C$504,"In"),"")</f>
        <v>0</v>
      </c>
      <c r="N352" s="9" t="n">
        <f aca="false">IFERROR(L352-M352,"")</f>
        <v>0</v>
      </c>
    </row>
    <row r="353" customFormat="false" ht="15" hidden="false" customHeight="false" outlineLevel="0" collapsed="false">
      <c r="A353" s="10"/>
      <c r="B353" s="12"/>
      <c r="C353" s="10"/>
      <c r="D353" s="14" t="str">
        <f aca="false">IFERROR(IF(C353="","",INDEX(Customers!$B$5:$B$504,MATCH(C353,Customers!$A$5:$A$504,0))),"")</f>
        <v/>
      </c>
      <c r="E353" s="10" t="s">
        <v>24</v>
      </c>
      <c r="F353" s="12"/>
      <c r="G353" s="12"/>
      <c r="H353" s="10"/>
      <c r="I353" s="10"/>
      <c r="J353" s="9" t="n">
        <f aca="false">IFERROR(SUMIFS(SalesOrderLines!$I$5:$I$504,SalesOrderLines!$B$5:$B$504,A353),"")</f>
        <v>0</v>
      </c>
      <c r="K353" s="9" t="n">
        <f aca="false">IFERROR(SUMIFS(SalesOrderLines!$J$5:$J$504,SalesOrderLines!$B$5:$B$504,A353),"")</f>
        <v>0</v>
      </c>
      <c r="L353" s="9" t="n">
        <f aca="false">IFERROR(J353+K353,"")</f>
        <v>0</v>
      </c>
      <c r="M353" s="9" t="n">
        <f aca="false">IFERROR(SUMIFS(Payments!$E$5:$E$504,Payments!$D$5:$D$504,A353,Payments!$C$5:$C$504,"In"),"")</f>
        <v>0</v>
      </c>
      <c r="N353" s="9" t="n">
        <f aca="false">IFERROR(L353-M353,"")</f>
        <v>0</v>
      </c>
    </row>
    <row r="354" customFormat="false" ht="15" hidden="false" customHeight="false" outlineLevel="0" collapsed="false">
      <c r="A354" s="10"/>
      <c r="B354" s="12"/>
      <c r="C354" s="10"/>
      <c r="D354" s="14" t="str">
        <f aca="false">IFERROR(IF(C354="","",INDEX(Customers!$B$5:$B$504,MATCH(C354,Customers!$A$5:$A$504,0))),"")</f>
        <v/>
      </c>
      <c r="E354" s="10" t="s">
        <v>24</v>
      </c>
      <c r="F354" s="12"/>
      <c r="G354" s="12"/>
      <c r="H354" s="10"/>
      <c r="I354" s="10"/>
      <c r="J354" s="9" t="n">
        <f aca="false">IFERROR(SUMIFS(SalesOrderLines!$I$5:$I$504,SalesOrderLines!$B$5:$B$504,A354),"")</f>
        <v>0</v>
      </c>
      <c r="K354" s="9" t="n">
        <f aca="false">IFERROR(SUMIFS(SalesOrderLines!$J$5:$J$504,SalesOrderLines!$B$5:$B$504,A354),"")</f>
        <v>0</v>
      </c>
      <c r="L354" s="9" t="n">
        <f aca="false">IFERROR(J354+K354,"")</f>
        <v>0</v>
      </c>
      <c r="M354" s="9" t="n">
        <f aca="false">IFERROR(SUMIFS(Payments!$E$5:$E$504,Payments!$D$5:$D$504,A354,Payments!$C$5:$C$504,"In"),"")</f>
        <v>0</v>
      </c>
      <c r="N354" s="9" t="n">
        <f aca="false">IFERROR(L354-M354,"")</f>
        <v>0</v>
      </c>
    </row>
    <row r="355" customFormat="false" ht="15" hidden="false" customHeight="false" outlineLevel="0" collapsed="false">
      <c r="A355" s="10"/>
      <c r="B355" s="12"/>
      <c r="C355" s="10"/>
      <c r="D355" s="14" t="str">
        <f aca="false">IFERROR(IF(C355="","",INDEX(Customers!$B$5:$B$504,MATCH(C355,Customers!$A$5:$A$504,0))),"")</f>
        <v/>
      </c>
      <c r="E355" s="10" t="s">
        <v>24</v>
      </c>
      <c r="F355" s="12"/>
      <c r="G355" s="12"/>
      <c r="H355" s="10"/>
      <c r="I355" s="10"/>
      <c r="J355" s="9" t="n">
        <f aca="false">IFERROR(SUMIFS(SalesOrderLines!$I$5:$I$504,SalesOrderLines!$B$5:$B$504,A355),"")</f>
        <v>0</v>
      </c>
      <c r="K355" s="9" t="n">
        <f aca="false">IFERROR(SUMIFS(SalesOrderLines!$J$5:$J$504,SalesOrderLines!$B$5:$B$504,A355),"")</f>
        <v>0</v>
      </c>
      <c r="L355" s="9" t="n">
        <f aca="false">IFERROR(J355+K355,"")</f>
        <v>0</v>
      </c>
      <c r="M355" s="9" t="n">
        <f aca="false">IFERROR(SUMIFS(Payments!$E$5:$E$504,Payments!$D$5:$D$504,A355,Payments!$C$5:$C$504,"In"),"")</f>
        <v>0</v>
      </c>
      <c r="N355" s="9" t="n">
        <f aca="false">IFERROR(L355-M355,"")</f>
        <v>0</v>
      </c>
    </row>
    <row r="356" customFormat="false" ht="15" hidden="false" customHeight="false" outlineLevel="0" collapsed="false">
      <c r="A356" s="10"/>
      <c r="B356" s="12"/>
      <c r="C356" s="10"/>
      <c r="D356" s="14" t="str">
        <f aca="false">IFERROR(IF(C356="","",INDEX(Customers!$B$5:$B$504,MATCH(C356,Customers!$A$5:$A$504,0))),"")</f>
        <v/>
      </c>
      <c r="E356" s="10" t="s">
        <v>24</v>
      </c>
      <c r="F356" s="12"/>
      <c r="G356" s="12"/>
      <c r="H356" s="10"/>
      <c r="I356" s="10"/>
      <c r="J356" s="9" t="n">
        <f aca="false">IFERROR(SUMIFS(SalesOrderLines!$I$5:$I$504,SalesOrderLines!$B$5:$B$504,A356),"")</f>
        <v>0</v>
      </c>
      <c r="K356" s="9" t="n">
        <f aca="false">IFERROR(SUMIFS(SalesOrderLines!$J$5:$J$504,SalesOrderLines!$B$5:$B$504,A356),"")</f>
        <v>0</v>
      </c>
      <c r="L356" s="9" t="n">
        <f aca="false">IFERROR(J356+K356,"")</f>
        <v>0</v>
      </c>
      <c r="M356" s="9" t="n">
        <f aca="false">IFERROR(SUMIFS(Payments!$E$5:$E$504,Payments!$D$5:$D$504,A356,Payments!$C$5:$C$504,"In"),"")</f>
        <v>0</v>
      </c>
      <c r="N356" s="9" t="n">
        <f aca="false">IFERROR(L356-M356,"")</f>
        <v>0</v>
      </c>
    </row>
    <row r="357" customFormat="false" ht="15" hidden="false" customHeight="false" outlineLevel="0" collapsed="false">
      <c r="A357" s="10"/>
      <c r="B357" s="12"/>
      <c r="C357" s="10"/>
      <c r="D357" s="14" t="str">
        <f aca="false">IFERROR(IF(C357="","",INDEX(Customers!$B$5:$B$504,MATCH(C357,Customers!$A$5:$A$504,0))),"")</f>
        <v/>
      </c>
      <c r="E357" s="10" t="s">
        <v>24</v>
      </c>
      <c r="F357" s="12"/>
      <c r="G357" s="12"/>
      <c r="H357" s="10"/>
      <c r="I357" s="10"/>
      <c r="J357" s="9" t="n">
        <f aca="false">IFERROR(SUMIFS(SalesOrderLines!$I$5:$I$504,SalesOrderLines!$B$5:$B$504,A357),"")</f>
        <v>0</v>
      </c>
      <c r="K357" s="9" t="n">
        <f aca="false">IFERROR(SUMIFS(SalesOrderLines!$J$5:$J$504,SalesOrderLines!$B$5:$B$504,A357),"")</f>
        <v>0</v>
      </c>
      <c r="L357" s="9" t="n">
        <f aca="false">IFERROR(J357+K357,"")</f>
        <v>0</v>
      </c>
      <c r="M357" s="9" t="n">
        <f aca="false">IFERROR(SUMIFS(Payments!$E$5:$E$504,Payments!$D$5:$D$504,A357,Payments!$C$5:$C$504,"In"),"")</f>
        <v>0</v>
      </c>
      <c r="N357" s="9" t="n">
        <f aca="false">IFERROR(L357-M357,"")</f>
        <v>0</v>
      </c>
    </row>
    <row r="358" customFormat="false" ht="15" hidden="false" customHeight="false" outlineLevel="0" collapsed="false">
      <c r="A358" s="10"/>
      <c r="B358" s="12"/>
      <c r="C358" s="10"/>
      <c r="D358" s="14" t="str">
        <f aca="false">IFERROR(IF(C358="","",INDEX(Customers!$B$5:$B$504,MATCH(C358,Customers!$A$5:$A$504,0))),"")</f>
        <v/>
      </c>
      <c r="E358" s="10" t="s">
        <v>24</v>
      </c>
      <c r="F358" s="12"/>
      <c r="G358" s="12"/>
      <c r="H358" s="10"/>
      <c r="I358" s="10"/>
      <c r="J358" s="9" t="n">
        <f aca="false">IFERROR(SUMIFS(SalesOrderLines!$I$5:$I$504,SalesOrderLines!$B$5:$B$504,A358),"")</f>
        <v>0</v>
      </c>
      <c r="K358" s="9" t="n">
        <f aca="false">IFERROR(SUMIFS(SalesOrderLines!$J$5:$J$504,SalesOrderLines!$B$5:$B$504,A358),"")</f>
        <v>0</v>
      </c>
      <c r="L358" s="9" t="n">
        <f aca="false">IFERROR(J358+K358,"")</f>
        <v>0</v>
      </c>
      <c r="M358" s="9" t="n">
        <f aca="false">IFERROR(SUMIFS(Payments!$E$5:$E$504,Payments!$D$5:$D$504,A358,Payments!$C$5:$C$504,"In"),"")</f>
        <v>0</v>
      </c>
      <c r="N358" s="9" t="n">
        <f aca="false">IFERROR(L358-M358,"")</f>
        <v>0</v>
      </c>
    </row>
    <row r="359" customFormat="false" ht="15" hidden="false" customHeight="false" outlineLevel="0" collapsed="false">
      <c r="A359" s="10"/>
      <c r="B359" s="12"/>
      <c r="C359" s="10"/>
      <c r="D359" s="14" t="str">
        <f aca="false">IFERROR(IF(C359="","",INDEX(Customers!$B$5:$B$504,MATCH(C359,Customers!$A$5:$A$504,0))),"")</f>
        <v/>
      </c>
      <c r="E359" s="10" t="s">
        <v>24</v>
      </c>
      <c r="F359" s="12"/>
      <c r="G359" s="12"/>
      <c r="H359" s="10"/>
      <c r="I359" s="10"/>
      <c r="J359" s="9" t="n">
        <f aca="false">IFERROR(SUMIFS(SalesOrderLines!$I$5:$I$504,SalesOrderLines!$B$5:$B$504,A359),"")</f>
        <v>0</v>
      </c>
      <c r="K359" s="9" t="n">
        <f aca="false">IFERROR(SUMIFS(SalesOrderLines!$J$5:$J$504,SalesOrderLines!$B$5:$B$504,A359),"")</f>
        <v>0</v>
      </c>
      <c r="L359" s="9" t="n">
        <f aca="false">IFERROR(J359+K359,"")</f>
        <v>0</v>
      </c>
      <c r="M359" s="9" t="n">
        <f aca="false">IFERROR(SUMIFS(Payments!$E$5:$E$504,Payments!$D$5:$D$504,A359,Payments!$C$5:$C$504,"In"),"")</f>
        <v>0</v>
      </c>
      <c r="N359" s="9" t="n">
        <f aca="false">IFERROR(L359-M359,"")</f>
        <v>0</v>
      </c>
    </row>
    <row r="360" customFormat="false" ht="15" hidden="false" customHeight="false" outlineLevel="0" collapsed="false">
      <c r="A360" s="10"/>
      <c r="B360" s="12"/>
      <c r="C360" s="10"/>
      <c r="D360" s="14" t="str">
        <f aca="false">IFERROR(IF(C360="","",INDEX(Customers!$B$5:$B$504,MATCH(C360,Customers!$A$5:$A$504,0))),"")</f>
        <v/>
      </c>
      <c r="E360" s="10" t="s">
        <v>24</v>
      </c>
      <c r="F360" s="12"/>
      <c r="G360" s="12"/>
      <c r="H360" s="10"/>
      <c r="I360" s="10"/>
      <c r="J360" s="9" t="n">
        <f aca="false">IFERROR(SUMIFS(SalesOrderLines!$I$5:$I$504,SalesOrderLines!$B$5:$B$504,A360),"")</f>
        <v>0</v>
      </c>
      <c r="K360" s="9" t="n">
        <f aca="false">IFERROR(SUMIFS(SalesOrderLines!$J$5:$J$504,SalesOrderLines!$B$5:$B$504,A360),"")</f>
        <v>0</v>
      </c>
      <c r="L360" s="9" t="n">
        <f aca="false">IFERROR(J360+K360,"")</f>
        <v>0</v>
      </c>
      <c r="M360" s="9" t="n">
        <f aca="false">IFERROR(SUMIFS(Payments!$E$5:$E$504,Payments!$D$5:$D$504,A360,Payments!$C$5:$C$504,"In"),"")</f>
        <v>0</v>
      </c>
      <c r="N360" s="9" t="n">
        <f aca="false">IFERROR(L360-M360,"")</f>
        <v>0</v>
      </c>
    </row>
    <row r="361" customFormat="false" ht="15" hidden="false" customHeight="false" outlineLevel="0" collapsed="false">
      <c r="A361" s="10"/>
      <c r="B361" s="12"/>
      <c r="C361" s="10"/>
      <c r="D361" s="14" t="str">
        <f aca="false">IFERROR(IF(C361="","",INDEX(Customers!$B$5:$B$504,MATCH(C361,Customers!$A$5:$A$504,0))),"")</f>
        <v/>
      </c>
      <c r="E361" s="10" t="s">
        <v>24</v>
      </c>
      <c r="F361" s="12"/>
      <c r="G361" s="12"/>
      <c r="H361" s="10"/>
      <c r="I361" s="10"/>
      <c r="J361" s="9" t="n">
        <f aca="false">IFERROR(SUMIFS(SalesOrderLines!$I$5:$I$504,SalesOrderLines!$B$5:$B$504,A361),"")</f>
        <v>0</v>
      </c>
      <c r="K361" s="9" t="n">
        <f aca="false">IFERROR(SUMIFS(SalesOrderLines!$J$5:$J$504,SalesOrderLines!$B$5:$B$504,A361),"")</f>
        <v>0</v>
      </c>
      <c r="L361" s="9" t="n">
        <f aca="false">IFERROR(J361+K361,"")</f>
        <v>0</v>
      </c>
      <c r="M361" s="9" t="n">
        <f aca="false">IFERROR(SUMIFS(Payments!$E$5:$E$504,Payments!$D$5:$D$504,A361,Payments!$C$5:$C$504,"In"),"")</f>
        <v>0</v>
      </c>
      <c r="N361" s="9" t="n">
        <f aca="false">IFERROR(L361-M361,"")</f>
        <v>0</v>
      </c>
    </row>
    <row r="362" customFormat="false" ht="15" hidden="false" customHeight="false" outlineLevel="0" collapsed="false">
      <c r="A362" s="10"/>
      <c r="B362" s="12"/>
      <c r="C362" s="10"/>
      <c r="D362" s="14" t="str">
        <f aca="false">IFERROR(IF(C362="","",INDEX(Customers!$B$5:$B$504,MATCH(C362,Customers!$A$5:$A$504,0))),"")</f>
        <v/>
      </c>
      <c r="E362" s="10" t="s">
        <v>24</v>
      </c>
      <c r="F362" s="12"/>
      <c r="G362" s="12"/>
      <c r="H362" s="10"/>
      <c r="I362" s="10"/>
      <c r="J362" s="9" t="n">
        <f aca="false">IFERROR(SUMIFS(SalesOrderLines!$I$5:$I$504,SalesOrderLines!$B$5:$B$504,A362),"")</f>
        <v>0</v>
      </c>
      <c r="K362" s="9" t="n">
        <f aca="false">IFERROR(SUMIFS(SalesOrderLines!$J$5:$J$504,SalesOrderLines!$B$5:$B$504,A362),"")</f>
        <v>0</v>
      </c>
      <c r="L362" s="9" t="n">
        <f aca="false">IFERROR(J362+K362,"")</f>
        <v>0</v>
      </c>
      <c r="M362" s="9" t="n">
        <f aca="false">IFERROR(SUMIFS(Payments!$E$5:$E$504,Payments!$D$5:$D$504,A362,Payments!$C$5:$C$504,"In"),"")</f>
        <v>0</v>
      </c>
      <c r="N362" s="9" t="n">
        <f aca="false">IFERROR(L362-M362,"")</f>
        <v>0</v>
      </c>
    </row>
    <row r="363" customFormat="false" ht="15" hidden="false" customHeight="false" outlineLevel="0" collapsed="false">
      <c r="A363" s="10"/>
      <c r="B363" s="12"/>
      <c r="C363" s="10"/>
      <c r="D363" s="14" t="str">
        <f aca="false">IFERROR(IF(C363="","",INDEX(Customers!$B$5:$B$504,MATCH(C363,Customers!$A$5:$A$504,0))),"")</f>
        <v/>
      </c>
      <c r="E363" s="10" t="s">
        <v>24</v>
      </c>
      <c r="F363" s="12"/>
      <c r="G363" s="12"/>
      <c r="H363" s="10"/>
      <c r="I363" s="10"/>
      <c r="J363" s="9" t="n">
        <f aca="false">IFERROR(SUMIFS(SalesOrderLines!$I$5:$I$504,SalesOrderLines!$B$5:$B$504,A363),"")</f>
        <v>0</v>
      </c>
      <c r="K363" s="9" t="n">
        <f aca="false">IFERROR(SUMIFS(SalesOrderLines!$J$5:$J$504,SalesOrderLines!$B$5:$B$504,A363),"")</f>
        <v>0</v>
      </c>
      <c r="L363" s="9" t="n">
        <f aca="false">IFERROR(J363+K363,"")</f>
        <v>0</v>
      </c>
      <c r="M363" s="9" t="n">
        <f aca="false">IFERROR(SUMIFS(Payments!$E$5:$E$504,Payments!$D$5:$D$504,A363,Payments!$C$5:$C$504,"In"),"")</f>
        <v>0</v>
      </c>
      <c r="N363" s="9" t="n">
        <f aca="false">IFERROR(L363-M363,"")</f>
        <v>0</v>
      </c>
    </row>
    <row r="364" customFormat="false" ht="15" hidden="false" customHeight="false" outlineLevel="0" collapsed="false">
      <c r="A364" s="10"/>
      <c r="B364" s="12"/>
      <c r="C364" s="10"/>
      <c r="D364" s="14" t="str">
        <f aca="false">IFERROR(IF(C364="","",INDEX(Customers!$B$5:$B$504,MATCH(C364,Customers!$A$5:$A$504,0))),"")</f>
        <v/>
      </c>
      <c r="E364" s="10" t="s">
        <v>24</v>
      </c>
      <c r="F364" s="12"/>
      <c r="G364" s="12"/>
      <c r="H364" s="10"/>
      <c r="I364" s="10"/>
      <c r="J364" s="9" t="n">
        <f aca="false">IFERROR(SUMIFS(SalesOrderLines!$I$5:$I$504,SalesOrderLines!$B$5:$B$504,A364),"")</f>
        <v>0</v>
      </c>
      <c r="K364" s="9" t="n">
        <f aca="false">IFERROR(SUMIFS(SalesOrderLines!$J$5:$J$504,SalesOrderLines!$B$5:$B$504,A364),"")</f>
        <v>0</v>
      </c>
      <c r="L364" s="9" t="n">
        <f aca="false">IFERROR(J364+K364,"")</f>
        <v>0</v>
      </c>
      <c r="M364" s="9" t="n">
        <f aca="false">IFERROR(SUMIFS(Payments!$E$5:$E$504,Payments!$D$5:$D$504,A364,Payments!$C$5:$C$504,"In"),"")</f>
        <v>0</v>
      </c>
      <c r="N364" s="9" t="n">
        <f aca="false">IFERROR(L364-M364,"")</f>
        <v>0</v>
      </c>
    </row>
    <row r="365" customFormat="false" ht="15" hidden="false" customHeight="false" outlineLevel="0" collapsed="false">
      <c r="A365" s="10"/>
      <c r="B365" s="12"/>
      <c r="C365" s="10"/>
      <c r="D365" s="14" t="str">
        <f aca="false">IFERROR(IF(C365="","",INDEX(Customers!$B$5:$B$504,MATCH(C365,Customers!$A$5:$A$504,0))),"")</f>
        <v/>
      </c>
      <c r="E365" s="10" t="s">
        <v>24</v>
      </c>
      <c r="F365" s="12"/>
      <c r="G365" s="12"/>
      <c r="H365" s="10"/>
      <c r="I365" s="10"/>
      <c r="J365" s="9" t="n">
        <f aca="false">IFERROR(SUMIFS(SalesOrderLines!$I$5:$I$504,SalesOrderLines!$B$5:$B$504,A365),"")</f>
        <v>0</v>
      </c>
      <c r="K365" s="9" t="n">
        <f aca="false">IFERROR(SUMIFS(SalesOrderLines!$J$5:$J$504,SalesOrderLines!$B$5:$B$504,A365),"")</f>
        <v>0</v>
      </c>
      <c r="L365" s="9" t="n">
        <f aca="false">IFERROR(J365+K365,"")</f>
        <v>0</v>
      </c>
      <c r="M365" s="9" t="n">
        <f aca="false">IFERROR(SUMIFS(Payments!$E$5:$E$504,Payments!$D$5:$D$504,A365,Payments!$C$5:$C$504,"In"),"")</f>
        <v>0</v>
      </c>
      <c r="N365" s="9" t="n">
        <f aca="false">IFERROR(L365-M365,"")</f>
        <v>0</v>
      </c>
    </row>
    <row r="366" customFormat="false" ht="15" hidden="false" customHeight="false" outlineLevel="0" collapsed="false">
      <c r="A366" s="10"/>
      <c r="B366" s="12"/>
      <c r="C366" s="10"/>
      <c r="D366" s="14" t="str">
        <f aca="false">IFERROR(IF(C366="","",INDEX(Customers!$B$5:$B$504,MATCH(C366,Customers!$A$5:$A$504,0))),"")</f>
        <v/>
      </c>
      <c r="E366" s="10" t="s">
        <v>24</v>
      </c>
      <c r="F366" s="12"/>
      <c r="G366" s="12"/>
      <c r="H366" s="10"/>
      <c r="I366" s="10"/>
      <c r="J366" s="9" t="n">
        <f aca="false">IFERROR(SUMIFS(SalesOrderLines!$I$5:$I$504,SalesOrderLines!$B$5:$B$504,A366),"")</f>
        <v>0</v>
      </c>
      <c r="K366" s="9" t="n">
        <f aca="false">IFERROR(SUMIFS(SalesOrderLines!$J$5:$J$504,SalesOrderLines!$B$5:$B$504,A366),"")</f>
        <v>0</v>
      </c>
      <c r="L366" s="9" t="n">
        <f aca="false">IFERROR(J366+K366,"")</f>
        <v>0</v>
      </c>
      <c r="M366" s="9" t="n">
        <f aca="false">IFERROR(SUMIFS(Payments!$E$5:$E$504,Payments!$D$5:$D$504,A366,Payments!$C$5:$C$504,"In"),"")</f>
        <v>0</v>
      </c>
      <c r="N366" s="9" t="n">
        <f aca="false">IFERROR(L366-M366,"")</f>
        <v>0</v>
      </c>
    </row>
    <row r="367" customFormat="false" ht="15" hidden="false" customHeight="false" outlineLevel="0" collapsed="false">
      <c r="A367" s="10"/>
      <c r="B367" s="12"/>
      <c r="C367" s="10"/>
      <c r="D367" s="14" t="str">
        <f aca="false">IFERROR(IF(C367="","",INDEX(Customers!$B$5:$B$504,MATCH(C367,Customers!$A$5:$A$504,0))),"")</f>
        <v/>
      </c>
      <c r="E367" s="10" t="s">
        <v>24</v>
      </c>
      <c r="F367" s="12"/>
      <c r="G367" s="12"/>
      <c r="H367" s="10"/>
      <c r="I367" s="10"/>
      <c r="J367" s="9" t="n">
        <f aca="false">IFERROR(SUMIFS(SalesOrderLines!$I$5:$I$504,SalesOrderLines!$B$5:$B$504,A367),"")</f>
        <v>0</v>
      </c>
      <c r="K367" s="9" t="n">
        <f aca="false">IFERROR(SUMIFS(SalesOrderLines!$J$5:$J$504,SalesOrderLines!$B$5:$B$504,A367),"")</f>
        <v>0</v>
      </c>
      <c r="L367" s="9" t="n">
        <f aca="false">IFERROR(J367+K367,"")</f>
        <v>0</v>
      </c>
      <c r="M367" s="9" t="n">
        <f aca="false">IFERROR(SUMIFS(Payments!$E$5:$E$504,Payments!$D$5:$D$504,A367,Payments!$C$5:$C$504,"In"),"")</f>
        <v>0</v>
      </c>
      <c r="N367" s="9" t="n">
        <f aca="false">IFERROR(L367-M367,"")</f>
        <v>0</v>
      </c>
    </row>
    <row r="368" customFormat="false" ht="15" hidden="false" customHeight="false" outlineLevel="0" collapsed="false">
      <c r="A368" s="10"/>
      <c r="B368" s="12"/>
      <c r="C368" s="10"/>
      <c r="D368" s="14" t="str">
        <f aca="false">IFERROR(IF(C368="","",INDEX(Customers!$B$5:$B$504,MATCH(C368,Customers!$A$5:$A$504,0))),"")</f>
        <v/>
      </c>
      <c r="E368" s="10" t="s">
        <v>24</v>
      </c>
      <c r="F368" s="12"/>
      <c r="G368" s="12"/>
      <c r="H368" s="10"/>
      <c r="I368" s="10"/>
      <c r="J368" s="9" t="n">
        <f aca="false">IFERROR(SUMIFS(SalesOrderLines!$I$5:$I$504,SalesOrderLines!$B$5:$B$504,A368),"")</f>
        <v>0</v>
      </c>
      <c r="K368" s="9" t="n">
        <f aca="false">IFERROR(SUMIFS(SalesOrderLines!$J$5:$J$504,SalesOrderLines!$B$5:$B$504,A368),"")</f>
        <v>0</v>
      </c>
      <c r="L368" s="9" t="n">
        <f aca="false">IFERROR(J368+K368,"")</f>
        <v>0</v>
      </c>
      <c r="M368" s="9" t="n">
        <f aca="false">IFERROR(SUMIFS(Payments!$E$5:$E$504,Payments!$D$5:$D$504,A368,Payments!$C$5:$C$504,"In"),"")</f>
        <v>0</v>
      </c>
      <c r="N368" s="9" t="n">
        <f aca="false">IFERROR(L368-M368,"")</f>
        <v>0</v>
      </c>
    </row>
    <row r="369" customFormat="false" ht="15" hidden="false" customHeight="false" outlineLevel="0" collapsed="false">
      <c r="A369" s="10"/>
      <c r="B369" s="12"/>
      <c r="C369" s="10"/>
      <c r="D369" s="14" t="str">
        <f aca="false">IFERROR(IF(C369="","",INDEX(Customers!$B$5:$B$504,MATCH(C369,Customers!$A$5:$A$504,0))),"")</f>
        <v/>
      </c>
      <c r="E369" s="10" t="s">
        <v>24</v>
      </c>
      <c r="F369" s="12"/>
      <c r="G369" s="12"/>
      <c r="H369" s="10"/>
      <c r="I369" s="10"/>
      <c r="J369" s="9" t="n">
        <f aca="false">IFERROR(SUMIFS(SalesOrderLines!$I$5:$I$504,SalesOrderLines!$B$5:$B$504,A369),"")</f>
        <v>0</v>
      </c>
      <c r="K369" s="9" t="n">
        <f aca="false">IFERROR(SUMIFS(SalesOrderLines!$J$5:$J$504,SalesOrderLines!$B$5:$B$504,A369),"")</f>
        <v>0</v>
      </c>
      <c r="L369" s="9" t="n">
        <f aca="false">IFERROR(J369+K369,"")</f>
        <v>0</v>
      </c>
      <c r="M369" s="9" t="n">
        <f aca="false">IFERROR(SUMIFS(Payments!$E$5:$E$504,Payments!$D$5:$D$504,A369,Payments!$C$5:$C$504,"In"),"")</f>
        <v>0</v>
      </c>
      <c r="N369" s="9" t="n">
        <f aca="false">IFERROR(L369-M369,"")</f>
        <v>0</v>
      </c>
    </row>
    <row r="370" customFormat="false" ht="15" hidden="false" customHeight="false" outlineLevel="0" collapsed="false">
      <c r="A370" s="10"/>
      <c r="B370" s="12"/>
      <c r="C370" s="10"/>
      <c r="D370" s="14" t="str">
        <f aca="false">IFERROR(IF(C370="","",INDEX(Customers!$B$5:$B$504,MATCH(C370,Customers!$A$5:$A$504,0))),"")</f>
        <v/>
      </c>
      <c r="E370" s="10" t="s">
        <v>24</v>
      </c>
      <c r="F370" s="12"/>
      <c r="G370" s="12"/>
      <c r="H370" s="10"/>
      <c r="I370" s="10"/>
      <c r="J370" s="9" t="n">
        <f aca="false">IFERROR(SUMIFS(SalesOrderLines!$I$5:$I$504,SalesOrderLines!$B$5:$B$504,A370),"")</f>
        <v>0</v>
      </c>
      <c r="K370" s="9" t="n">
        <f aca="false">IFERROR(SUMIFS(SalesOrderLines!$J$5:$J$504,SalesOrderLines!$B$5:$B$504,A370),"")</f>
        <v>0</v>
      </c>
      <c r="L370" s="9" t="n">
        <f aca="false">IFERROR(J370+K370,"")</f>
        <v>0</v>
      </c>
      <c r="M370" s="9" t="n">
        <f aca="false">IFERROR(SUMIFS(Payments!$E$5:$E$504,Payments!$D$5:$D$504,A370,Payments!$C$5:$C$504,"In"),"")</f>
        <v>0</v>
      </c>
      <c r="N370" s="9" t="n">
        <f aca="false">IFERROR(L370-M370,"")</f>
        <v>0</v>
      </c>
    </row>
    <row r="371" customFormat="false" ht="15" hidden="false" customHeight="false" outlineLevel="0" collapsed="false">
      <c r="A371" s="10"/>
      <c r="B371" s="12"/>
      <c r="C371" s="10"/>
      <c r="D371" s="14" t="str">
        <f aca="false">IFERROR(IF(C371="","",INDEX(Customers!$B$5:$B$504,MATCH(C371,Customers!$A$5:$A$504,0))),"")</f>
        <v/>
      </c>
      <c r="E371" s="10" t="s">
        <v>24</v>
      </c>
      <c r="F371" s="12"/>
      <c r="G371" s="12"/>
      <c r="H371" s="10"/>
      <c r="I371" s="10"/>
      <c r="J371" s="9" t="n">
        <f aca="false">IFERROR(SUMIFS(SalesOrderLines!$I$5:$I$504,SalesOrderLines!$B$5:$B$504,A371),"")</f>
        <v>0</v>
      </c>
      <c r="K371" s="9" t="n">
        <f aca="false">IFERROR(SUMIFS(SalesOrderLines!$J$5:$J$504,SalesOrderLines!$B$5:$B$504,A371),"")</f>
        <v>0</v>
      </c>
      <c r="L371" s="9" t="n">
        <f aca="false">IFERROR(J371+K371,"")</f>
        <v>0</v>
      </c>
      <c r="M371" s="9" t="n">
        <f aca="false">IFERROR(SUMIFS(Payments!$E$5:$E$504,Payments!$D$5:$D$504,A371,Payments!$C$5:$C$504,"In"),"")</f>
        <v>0</v>
      </c>
      <c r="N371" s="9" t="n">
        <f aca="false">IFERROR(L371-M371,"")</f>
        <v>0</v>
      </c>
    </row>
    <row r="372" customFormat="false" ht="15" hidden="false" customHeight="false" outlineLevel="0" collapsed="false">
      <c r="A372" s="10"/>
      <c r="B372" s="12"/>
      <c r="C372" s="10"/>
      <c r="D372" s="14" t="str">
        <f aca="false">IFERROR(IF(C372="","",INDEX(Customers!$B$5:$B$504,MATCH(C372,Customers!$A$5:$A$504,0))),"")</f>
        <v/>
      </c>
      <c r="E372" s="10" t="s">
        <v>24</v>
      </c>
      <c r="F372" s="12"/>
      <c r="G372" s="12"/>
      <c r="H372" s="10"/>
      <c r="I372" s="10"/>
      <c r="J372" s="9" t="n">
        <f aca="false">IFERROR(SUMIFS(SalesOrderLines!$I$5:$I$504,SalesOrderLines!$B$5:$B$504,A372),"")</f>
        <v>0</v>
      </c>
      <c r="K372" s="9" t="n">
        <f aca="false">IFERROR(SUMIFS(SalesOrderLines!$J$5:$J$504,SalesOrderLines!$B$5:$B$504,A372),"")</f>
        <v>0</v>
      </c>
      <c r="L372" s="9" t="n">
        <f aca="false">IFERROR(J372+K372,"")</f>
        <v>0</v>
      </c>
      <c r="M372" s="9" t="n">
        <f aca="false">IFERROR(SUMIFS(Payments!$E$5:$E$504,Payments!$D$5:$D$504,A372,Payments!$C$5:$C$504,"In"),"")</f>
        <v>0</v>
      </c>
      <c r="N372" s="9" t="n">
        <f aca="false">IFERROR(L372-M372,"")</f>
        <v>0</v>
      </c>
    </row>
    <row r="373" customFormat="false" ht="15" hidden="false" customHeight="false" outlineLevel="0" collapsed="false">
      <c r="A373" s="10"/>
      <c r="B373" s="12"/>
      <c r="C373" s="10"/>
      <c r="D373" s="14" t="str">
        <f aca="false">IFERROR(IF(C373="","",INDEX(Customers!$B$5:$B$504,MATCH(C373,Customers!$A$5:$A$504,0))),"")</f>
        <v/>
      </c>
      <c r="E373" s="10" t="s">
        <v>24</v>
      </c>
      <c r="F373" s="12"/>
      <c r="G373" s="12"/>
      <c r="H373" s="10"/>
      <c r="I373" s="10"/>
      <c r="J373" s="9" t="n">
        <f aca="false">IFERROR(SUMIFS(SalesOrderLines!$I$5:$I$504,SalesOrderLines!$B$5:$B$504,A373),"")</f>
        <v>0</v>
      </c>
      <c r="K373" s="9" t="n">
        <f aca="false">IFERROR(SUMIFS(SalesOrderLines!$J$5:$J$504,SalesOrderLines!$B$5:$B$504,A373),"")</f>
        <v>0</v>
      </c>
      <c r="L373" s="9" t="n">
        <f aca="false">IFERROR(J373+K373,"")</f>
        <v>0</v>
      </c>
      <c r="M373" s="9" t="n">
        <f aca="false">IFERROR(SUMIFS(Payments!$E$5:$E$504,Payments!$D$5:$D$504,A373,Payments!$C$5:$C$504,"In"),"")</f>
        <v>0</v>
      </c>
      <c r="N373" s="9" t="n">
        <f aca="false">IFERROR(L373-M373,"")</f>
        <v>0</v>
      </c>
    </row>
    <row r="374" customFormat="false" ht="15" hidden="false" customHeight="false" outlineLevel="0" collapsed="false">
      <c r="A374" s="10"/>
      <c r="B374" s="12"/>
      <c r="C374" s="10"/>
      <c r="D374" s="14" t="str">
        <f aca="false">IFERROR(IF(C374="","",INDEX(Customers!$B$5:$B$504,MATCH(C374,Customers!$A$5:$A$504,0))),"")</f>
        <v/>
      </c>
      <c r="E374" s="10" t="s">
        <v>24</v>
      </c>
      <c r="F374" s="12"/>
      <c r="G374" s="12"/>
      <c r="H374" s="10"/>
      <c r="I374" s="10"/>
      <c r="J374" s="9" t="n">
        <f aca="false">IFERROR(SUMIFS(SalesOrderLines!$I$5:$I$504,SalesOrderLines!$B$5:$B$504,A374),"")</f>
        <v>0</v>
      </c>
      <c r="K374" s="9" t="n">
        <f aca="false">IFERROR(SUMIFS(SalesOrderLines!$J$5:$J$504,SalesOrderLines!$B$5:$B$504,A374),"")</f>
        <v>0</v>
      </c>
      <c r="L374" s="9" t="n">
        <f aca="false">IFERROR(J374+K374,"")</f>
        <v>0</v>
      </c>
      <c r="M374" s="9" t="n">
        <f aca="false">IFERROR(SUMIFS(Payments!$E$5:$E$504,Payments!$D$5:$D$504,A374,Payments!$C$5:$C$504,"In"),"")</f>
        <v>0</v>
      </c>
      <c r="N374" s="9" t="n">
        <f aca="false">IFERROR(L374-M374,"")</f>
        <v>0</v>
      </c>
    </row>
    <row r="375" customFormat="false" ht="15" hidden="false" customHeight="false" outlineLevel="0" collapsed="false">
      <c r="A375" s="10"/>
      <c r="B375" s="12"/>
      <c r="C375" s="10"/>
      <c r="D375" s="14" t="str">
        <f aca="false">IFERROR(IF(C375="","",INDEX(Customers!$B$5:$B$504,MATCH(C375,Customers!$A$5:$A$504,0))),"")</f>
        <v/>
      </c>
      <c r="E375" s="10" t="s">
        <v>24</v>
      </c>
      <c r="F375" s="12"/>
      <c r="G375" s="12"/>
      <c r="H375" s="10"/>
      <c r="I375" s="10"/>
      <c r="J375" s="9" t="n">
        <f aca="false">IFERROR(SUMIFS(SalesOrderLines!$I$5:$I$504,SalesOrderLines!$B$5:$B$504,A375),"")</f>
        <v>0</v>
      </c>
      <c r="K375" s="9" t="n">
        <f aca="false">IFERROR(SUMIFS(SalesOrderLines!$J$5:$J$504,SalesOrderLines!$B$5:$B$504,A375),"")</f>
        <v>0</v>
      </c>
      <c r="L375" s="9" t="n">
        <f aca="false">IFERROR(J375+K375,"")</f>
        <v>0</v>
      </c>
      <c r="M375" s="9" t="n">
        <f aca="false">IFERROR(SUMIFS(Payments!$E$5:$E$504,Payments!$D$5:$D$504,A375,Payments!$C$5:$C$504,"In"),"")</f>
        <v>0</v>
      </c>
      <c r="N375" s="9" t="n">
        <f aca="false">IFERROR(L375-M375,"")</f>
        <v>0</v>
      </c>
    </row>
    <row r="376" customFormat="false" ht="15" hidden="false" customHeight="false" outlineLevel="0" collapsed="false">
      <c r="A376" s="10"/>
      <c r="B376" s="12"/>
      <c r="C376" s="10"/>
      <c r="D376" s="14" t="str">
        <f aca="false">IFERROR(IF(C376="","",INDEX(Customers!$B$5:$B$504,MATCH(C376,Customers!$A$5:$A$504,0))),"")</f>
        <v/>
      </c>
      <c r="E376" s="10" t="s">
        <v>24</v>
      </c>
      <c r="F376" s="12"/>
      <c r="G376" s="12"/>
      <c r="H376" s="10"/>
      <c r="I376" s="10"/>
      <c r="J376" s="9" t="n">
        <f aca="false">IFERROR(SUMIFS(SalesOrderLines!$I$5:$I$504,SalesOrderLines!$B$5:$B$504,A376),"")</f>
        <v>0</v>
      </c>
      <c r="K376" s="9" t="n">
        <f aca="false">IFERROR(SUMIFS(SalesOrderLines!$J$5:$J$504,SalesOrderLines!$B$5:$B$504,A376),"")</f>
        <v>0</v>
      </c>
      <c r="L376" s="9" t="n">
        <f aca="false">IFERROR(J376+K376,"")</f>
        <v>0</v>
      </c>
      <c r="M376" s="9" t="n">
        <f aca="false">IFERROR(SUMIFS(Payments!$E$5:$E$504,Payments!$D$5:$D$504,A376,Payments!$C$5:$C$504,"In"),"")</f>
        <v>0</v>
      </c>
      <c r="N376" s="9" t="n">
        <f aca="false">IFERROR(L376-M376,"")</f>
        <v>0</v>
      </c>
    </row>
    <row r="377" customFormat="false" ht="15" hidden="false" customHeight="false" outlineLevel="0" collapsed="false">
      <c r="A377" s="10"/>
      <c r="B377" s="12"/>
      <c r="C377" s="10"/>
      <c r="D377" s="14" t="str">
        <f aca="false">IFERROR(IF(C377="","",INDEX(Customers!$B$5:$B$504,MATCH(C377,Customers!$A$5:$A$504,0))),"")</f>
        <v/>
      </c>
      <c r="E377" s="10" t="s">
        <v>24</v>
      </c>
      <c r="F377" s="12"/>
      <c r="G377" s="12"/>
      <c r="H377" s="10"/>
      <c r="I377" s="10"/>
      <c r="J377" s="9" t="n">
        <f aca="false">IFERROR(SUMIFS(SalesOrderLines!$I$5:$I$504,SalesOrderLines!$B$5:$B$504,A377),"")</f>
        <v>0</v>
      </c>
      <c r="K377" s="9" t="n">
        <f aca="false">IFERROR(SUMIFS(SalesOrderLines!$J$5:$J$504,SalesOrderLines!$B$5:$B$504,A377),"")</f>
        <v>0</v>
      </c>
      <c r="L377" s="9" t="n">
        <f aca="false">IFERROR(J377+K377,"")</f>
        <v>0</v>
      </c>
      <c r="M377" s="9" t="n">
        <f aca="false">IFERROR(SUMIFS(Payments!$E$5:$E$504,Payments!$D$5:$D$504,A377,Payments!$C$5:$C$504,"In"),"")</f>
        <v>0</v>
      </c>
      <c r="N377" s="9" t="n">
        <f aca="false">IFERROR(L377-M377,"")</f>
        <v>0</v>
      </c>
    </row>
    <row r="378" customFormat="false" ht="15" hidden="false" customHeight="false" outlineLevel="0" collapsed="false">
      <c r="A378" s="10"/>
      <c r="B378" s="12"/>
      <c r="C378" s="10"/>
      <c r="D378" s="14" t="str">
        <f aca="false">IFERROR(IF(C378="","",INDEX(Customers!$B$5:$B$504,MATCH(C378,Customers!$A$5:$A$504,0))),"")</f>
        <v/>
      </c>
      <c r="E378" s="10" t="s">
        <v>24</v>
      </c>
      <c r="F378" s="12"/>
      <c r="G378" s="12"/>
      <c r="H378" s="10"/>
      <c r="I378" s="10"/>
      <c r="J378" s="9" t="n">
        <f aca="false">IFERROR(SUMIFS(SalesOrderLines!$I$5:$I$504,SalesOrderLines!$B$5:$B$504,A378),"")</f>
        <v>0</v>
      </c>
      <c r="K378" s="9" t="n">
        <f aca="false">IFERROR(SUMIFS(SalesOrderLines!$J$5:$J$504,SalesOrderLines!$B$5:$B$504,A378),"")</f>
        <v>0</v>
      </c>
      <c r="L378" s="9" t="n">
        <f aca="false">IFERROR(J378+K378,"")</f>
        <v>0</v>
      </c>
      <c r="M378" s="9" t="n">
        <f aca="false">IFERROR(SUMIFS(Payments!$E$5:$E$504,Payments!$D$5:$D$504,A378,Payments!$C$5:$C$504,"In"),"")</f>
        <v>0</v>
      </c>
      <c r="N378" s="9" t="n">
        <f aca="false">IFERROR(L378-M378,"")</f>
        <v>0</v>
      </c>
    </row>
    <row r="379" customFormat="false" ht="15" hidden="false" customHeight="false" outlineLevel="0" collapsed="false">
      <c r="A379" s="10"/>
      <c r="B379" s="12"/>
      <c r="C379" s="10"/>
      <c r="D379" s="14" t="str">
        <f aca="false">IFERROR(IF(C379="","",INDEX(Customers!$B$5:$B$504,MATCH(C379,Customers!$A$5:$A$504,0))),"")</f>
        <v/>
      </c>
      <c r="E379" s="10" t="s">
        <v>24</v>
      </c>
      <c r="F379" s="12"/>
      <c r="G379" s="12"/>
      <c r="H379" s="10"/>
      <c r="I379" s="10"/>
      <c r="J379" s="9" t="n">
        <f aca="false">IFERROR(SUMIFS(SalesOrderLines!$I$5:$I$504,SalesOrderLines!$B$5:$B$504,A379),"")</f>
        <v>0</v>
      </c>
      <c r="K379" s="9" t="n">
        <f aca="false">IFERROR(SUMIFS(SalesOrderLines!$J$5:$J$504,SalesOrderLines!$B$5:$B$504,A379),"")</f>
        <v>0</v>
      </c>
      <c r="L379" s="9" t="n">
        <f aca="false">IFERROR(J379+K379,"")</f>
        <v>0</v>
      </c>
      <c r="M379" s="9" t="n">
        <f aca="false">IFERROR(SUMIFS(Payments!$E$5:$E$504,Payments!$D$5:$D$504,A379,Payments!$C$5:$C$504,"In"),"")</f>
        <v>0</v>
      </c>
      <c r="N379" s="9" t="n">
        <f aca="false">IFERROR(L379-M379,"")</f>
        <v>0</v>
      </c>
    </row>
    <row r="380" customFormat="false" ht="15" hidden="false" customHeight="false" outlineLevel="0" collapsed="false">
      <c r="A380" s="10"/>
      <c r="B380" s="12"/>
      <c r="C380" s="10"/>
      <c r="D380" s="14" t="str">
        <f aca="false">IFERROR(IF(C380="","",INDEX(Customers!$B$5:$B$504,MATCH(C380,Customers!$A$5:$A$504,0))),"")</f>
        <v/>
      </c>
      <c r="E380" s="10" t="s">
        <v>24</v>
      </c>
      <c r="F380" s="12"/>
      <c r="G380" s="12"/>
      <c r="H380" s="10"/>
      <c r="I380" s="10"/>
      <c r="J380" s="9" t="n">
        <f aca="false">IFERROR(SUMIFS(SalesOrderLines!$I$5:$I$504,SalesOrderLines!$B$5:$B$504,A380),"")</f>
        <v>0</v>
      </c>
      <c r="K380" s="9" t="n">
        <f aca="false">IFERROR(SUMIFS(SalesOrderLines!$J$5:$J$504,SalesOrderLines!$B$5:$B$504,A380),"")</f>
        <v>0</v>
      </c>
      <c r="L380" s="9" t="n">
        <f aca="false">IFERROR(J380+K380,"")</f>
        <v>0</v>
      </c>
      <c r="M380" s="9" t="n">
        <f aca="false">IFERROR(SUMIFS(Payments!$E$5:$E$504,Payments!$D$5:$D$504,A380,Payments!$C$5:$C$504,"In"),"")</f>
        <v>0</v>
      </c>
      <c r="N380" s="9" t="n">
        <f aca="false">IFERROR(L380-M380,"")</f>
        <v>0</v>
      </c>
    </row>
    <row r="381" customFormat="false" ht="15" hidden="false" customHeight="false" outlineLevel="0" collapsed="false">
      <c r="A381" s="10"/>
      <c r="B381" s="12"/>
      <c r="C381" s="10"/>
      <c r="D381" s="14" t="str">
        <f aca="false">IFERROR(IF(C381="","",INDEX(Customers!$B$5:$B$504,MATCH(C381,Customers!$A$5:$A$504,0))),"")</f>
        <v/>
      </c>
      <c r="E381" s="10" t="s">
        <v>24</v>
      </c>
      <c r="F381" s="12"/>
      <c r="G381" s="12"/>
      <c r="H381" s="10"/>
      <c r="I381" s="10"/>
      <c r="J381" s="9" t="n">
        <f aca="false">IFERROR(SUMIFS(SalesOrderLines!$I$5:$I$504,SalesOrderLines!$B$5:$B$504,A381),"")</f>
        <v>0</v>
      </c>
      <c r="K381" s="9" t="n">
        <f aca="false">IFERROR(SUMIFS(SalesOrderLines!$J$5:$J$504,SalesOrderLines!$B$5:$B$504,A381),"")</f>
        <v>0</v>
      </c>
      <c r="L381" s="9" t="n">
        <f aca="false">IFERROR(J381+K381,"")</f>
        <v>0</v>
      </c>
      <c r="M381" s="9" t="n">
        <f aca="false">IFERROR(SUMIFS(Payments!$E$5:$E$504,Payments!$D$5:$D$504,A381,Payments!$C$5:$C$504,"In"),"")</f>
        <v>0</v>
      </c>
      <c r="N381" s="9" t="n">
        <f aca="false">IFERROR(L381-M381,"")</f>
        <v>0</v>
      </c>
    </row>
    <row r="382" customFormat="false" ht="15" hidden="false" customHeight="false" outlineLevel="0" collapsed="false">
      <c r="A382" s="10"/>
      <c r="B382" s="12"/>
      <c r="C382" s="10"/>
      <c r="D382" s="14" t="str">
        <f aca="false">IFERROR(IF(C382="","",INDEX(Customers!$B$5:$B$504,MATCH(C382,Customers!$A$5:$A$504,0))),"")</f>
        <v/>
      </c>
      <c r="E382" s="10" t="s">
        <v>24</v>
      </c>
      <c r="F382" s="12"/>
      <c r="G382" s="12"/>
      <c r="H382" s="10"/>
      <c r="I382" s="10"/>
      <c r="J382" s="9" t="n">
        <f aca="false">IFERROR(SUMIFS(SalesOrderLines!$I$5:$I$504,SalesOrderLines!$B$5:$B$504,A382),"")</f>
        <v>0</v>
      </c>
      <c r="K382" s="9" t="n">
        <f aca="false">IFERROR(SUMIFS(SalesOrderLines!$J$5:$J$504,SalesOrderLines!$B$5:$B$504,A382),"")</f>
        <v>0</v>
      </c>
      <c r="L382" s="9" t="n">
        <f aca="false">IFERROR(J382+K382,"")</f>
        <v>0</v>
      </c>
      <c r="M382" s="9" t="n">
        <f aca="false">IFERROR(SUMIFS(Payments!$E$5:$E$504,Payments!$D$5:$D$504,A382,Payments!$C$5:$C$504,"In"),"")</f>
        <v>0</v>
      </c>
      <c r="N382" s="9" t="n">
        <f aca="false">IFERROR(L382-M382,"")</f>
        <v>0</v>
      </c>
    </row>
    <row r="383" customFormat="false" ht="15" hidden="false" customHeight="false" outlineLevel="0" collapsed="false">
      <c r="A383" s="10"/>
      <c r="B383" s="12"/>
      <c r="C383" s="10"/>
      <c r="D383" s="14" t="str">
        <f aca="false">IFERROR(IF(C383="","",INDEX(Customers!$B$5:$B$504,MATCH(C383,Customers!$A$5:$A$504,0))),"")</f>
        <v/>
      </c>
      <c r="E383" s="10" t="s">
        <v>24</v>
      </c>
      <c r="F383" s="12"/>
      <c r="G383" s="12"/>
      <c r="H383" s="10"/>
      <c r="I383" s="10"/>
      <c r="J383" s="9" t="n">
        <f aca="false">IFERROR(SUMIFS(SalesOrderLines!$I$5:$I$504,SalesOrderLines!$B$5:$B$504,A383),"")</f>
        <v>0</v>
      </c>
      <c r="K383" s="9" t="n">
        <f aca="false">IFERROR(SUMIFS(SalesOrderLines!$J$5:$J$504,SalesOrderLines!$B$5:$B$504,A383),"")</f>
        <v>0</v>
      </c>
      <c r="L383" s="9" t="n">
        <f aca="false">IFERROR(J383+K383,"")</f>
        <v>0</v>
      </c>
      <c r="M383" s="9" t="n">
        <f aca="false">IFERROR(SUMIFS(Payments!$E$5:$E$504,Payments!$D$5:$D$504,A383,Payments!$C$5:$C$504,"In"),"")</f>
        <v>0</v>
      </c>
      <c r="N383" s="9" t="n">
        <f aca="false">IFERROR(L383-M383,"")</f>
        <v>0</v>
      </c>
    </row>
    <row r="384" customFormat="false" ht="15" hidden="false" customHeight="false" outlineLevel="0" collapsed="false">
      <c r="A384" s="10"/>
      <c r="B384" s="12"/>
      <c r="C384" s="10"/>
      <c r="D384" s="14" t="str">
        <f aca="false">IFERROR(IF(C384="","",INDEX(Customers!$B$5:$B$504,MATCH(C384,Customers!$A$5:$A$504,0))),"")</f>
        <v/>
      </c>
      <c r="E384" s="10" t="s">
        <v>24</v>
      </c>
      <c r="F384" s="12"/>
      <c r="G384" s="12"/>
      <c r="H384" s="10"/>
      <c r="I384" s="10"/>
      <c r="J384" s="9" t="n">
        <f aca="false">IFERROR(SUMIFS(SalesOrderLines!$I$5:$I$504,SalesOrderLines!$B$5:$B$504,A384),"")</f>
        <v>0</v>
      </c>
      <c r="K384" s="9" t="n">
        <f aca="false">IFERROR(SUMIFS(SalesOrderLines!$J$5:$J$504,SalesOrderLines!$B$5:$B$504,A384),"")</f>
        <v>0</v>
      </c>
      <c r="L384" s="9" t="n">
        <f aca="false">IFERROR(J384+K384,"")</f>
        <v>0</v>
      </c>
      <c r="M384" s="9" t="n">
        <f aca="false">IFERROR(SUMIFS(Payments!$E$5:$E$504,Payments!$D$5:$D$504,A384,Payments!$C$5:$C$504,"In"),"")</f>
        <v>0</v>
      </c>
      <c r="N384" s="9" t="n">
        <f aca="false">IFERROR(L384-M384,"")</f>
        <v>0</v>
      </c>
    </row>
    <row r="385" customFormat="false" ht="15" hidden="false" customHeight="false" outlineLevel="0" collapsed="false">
      <c r="A385" s="10"/>
      <c r="B385" s="12"/>
      <c r="C385" s="10"/>
      <c r="D385" s="14" t="str">
        <f aca="false">IFERROR(IF(C385="","",INDEX(Customers!$B$5:$B$504,MATCH(C385,Customers!$A$5:$A$504,0))),"")</f>
        <v/>
      </c>
      <c r="E385" s="10" t="s">
        <v>24</v>
      </c>
      <c r="F385" s="12"/>
      <c r="G385" s="12"/>
      <c r="H385" s="10"/>
      <c r="I385" s="10"/>
      <c r="J385" s="9" t="n">
        <f aca="false">IFERROR(SUMIFS(SalesOrderLines!$I$5:$I$504,SalesOrderLines!$B$5:$B$504,A385),"")</f>
        <v>0</v>
      </c>
      <c r="K385" s="9" t="n">
        <f aca="false">IFERROR(SUMIFS(SalesOrderLines!$J$5:$J$504,SalesOrderLines!$B$5:$B$504,A385),"")</f>
        <v>0</v>
      </c>
      <c r="L385" s="9" t="n">
        <f aca="false">IFERROR(J385+K385,"")</f>
        <v>0</v>
      </c>
      <c r="M385" s="9" t="n">
        <f aca="false">IFERROR(SUMIFS(Payments!$E$5:$E$504,Payments!$D$5:$D$504,A385,Payments!$C$5:$C$504,"In"),"")</f>
        <v>0</v>
      </c>
      <c r="N385" s="9" t="n">
        <f aca="false">IFERROR(L385-M385,"")</f>
        <v>0</v>
      </c>
    </row>
    <row r="386" customFormat="false" ht="15" hidden="false" customHeight="false" outlineLevel="0" collapsed="false">
      <c r="A386" s="10"/>
      <c r="B386" s="12"/>
      <c r="C386" s="10"/>
      <c r="D386" s="14" t="str">
        <f aca="false">IFERROR(IF(C386="","",INDEX(Customers!$B$5:$B$504,MATCH(C386,Customers!$A$5:$A$504,0))),"")</f>
        <v/>
      </c>
      <c r="E386" s="10" t="s">
        <v>24</v>
      </c>
      <c r="F386" s="12"/>
      <c r="G386" s="12"/>
      <c r="H386" s="10"/>
      <c r="I386" s="10"/>
      <c r="J386" s="9" t="n">
        <f aca="false">IFERROR(SUMIFS(SalesOrderLines!$I$5:$I$504,SalesOrderLines!$B$5:$B$504,A386),"")</f>
        <v>0</v>
      </c>
      <c r="K386" s="9" t="n">
        <f aca="false">IFERROR(SUMIFS(SalesOrderLines!$J$5:$J$504,SalesOrderLines!$B$5:$B$504,A386),"")</f>
        <v>0</v>
      </c>
      <c r="L386" s="9" t="n">
        <f aca="false">IFERROR(J386+K386,"")</f>
        <v>0</v>
      </c>
      <c r="M386" s="9" t="n">
        <f aca="false">IFERROR(SUMIFS(Payments!$E$5:$E$504,Payments!$D$5:$D$504,A386,Payments!$C$5:$C$504,"In"),"")</f>
        <v>0</v>
      </c>
      <c r="N386" s="9" t="n">
        <f aca="false">IFERROR(L386-M386,"")</f>
        <v>0</v>
      </c>
    </row>
    <row r="387" customFormat="false" ht="15" hidden="false" customHeight="false" outlineLevel="0" collapsed="false">
      <c r="A387" s="10"/>
      <c r="B387" s="12"/>
      <c r="C387" s="10"/>
      <c r="D387" s="14" t="str">
        <f aca="false">IFERROR(IF(C387="","",INDEX(Customers!$B$5:$B$504,MATCH(C387,Customers!$A$5:$A$504,0))),"")</f>
        <v/>
      </c>
      <c r="E387" s="10" t="s">
        <v>24</v>
      </c>
      <c r="F387" s="12"/>
      <c r="G387" s="12"/>
      <c r="H387" s="10"/>
      <c r="I387" s="10"/>
      <c r="J387" s="9" t="n">
        <f aca="false">IFERROR(SUMIFS(SalesOrderLines!$I$5:$I$504,SalesOrderLines!$B$5:$B$504,A387),"")</f>
        <v>0</v>
      </c>
      <c r="K387" s="9" t="n">
        <f aca="false">IFERROR(SUMIFS(SalesOrderLines!$J$5:$J$504,SalesOrderLines!$B$5:$B$504,A387),"")</f>
        <v>0</v>
      </c>
      <c r="L387" s="9" t="n">
        <f aca="false">IFERROR(J387+K387,"")</f>
        <v>0</v>
      </c>
      <c r="M387" s="9" t="n">
        <f aca="false">IFERROR(SUMIFS(Payments!$E$5:$E$504,Payments!$D$5:$D$504,A387,Payments!$C$5:$C$504,"In"),"")</f>
        <v>0</v>
      </c>
      <c r="N387" s="9" t="n">
        <f aca="false">IFERROR(L387-M387,"")</f>
        <v>0</v>
      </c>
    </row>
    <row r="388" customFormat="false" ht="15" hidden="false" customHeight="false" outlineLevel="0" collapsed="false">
      <c r="A388" s="10"/>
      <c r="B388" s="12"/>
      <c r="C388" s="10"/>
      <c r="D388" s="14" t="str">
        <f aca="false">IFERROR(IF(C388="","",INDEX(Customers!$B$5:$B$504,MATCH(C388,Customers!$A$5:$A$504,0))),"")</f>
        <v/>
      </c>
      <c r="E388" s="10" t="s">
        <v>24</v>
      </c>
      <c r="F388" s="12"/>
      <c r="G388" s="12"/>
      <c r="H388" s="10"/>
      <c r="I388" s="10"/>
      <c r="J388" s="9" t="n">
        <f aca="false">IFERROR(SUMIFS(SalesOrderLines!$I$5:$I$504,SalesOrderLines!$B$5:$B$504,A388),"")</f>
        <v>0</v>
      </c>
      <c r="K388" s="9" t="n">
        <f aca="false">IFERROR(SUMIFS(SalesOrderLines!$J$5:$J$504,SalesOrderLines!$B$5:$B$504,A388),"")</f>
        <v>0</v>
      </c>
      <c r="L388" s="9" t="n">
        <f aca="false">IFERROR(J388+K388,"")</f>
        <v>0</v>
      </c>
      <c r="M388" s="9" t="n">
        <f aca="false">IFERROR(SUMIFS(Payments!$E$5:$E$504,Payments!$D$5:$D$504,A388,Payments!$C$5:$C$504,"In"),"")</f>
        <v>0</v>
      </c>
      <c r="N388" s="9" t="n">
        <f aca="false">IFERROR(L388-M388,"")</f>
        <v>0</v>
      </c>
    </row>
    <row r="389" customFormat="false" ht="15" hidden="false" customHeight="false" outlineLevel="0" collapsed="false">
      <c r="A389" s="10"/>
      <c r="B389" s="12"/>
      <c r="C389" s="10"/>
      <c r="D389" s="14" t="str">
        <f aca="false">IFERROR(IF(C389="","",INDEX(Customers!$B$5:$B$504,MATCH(C389,Customers!$A$5:$A$504,0))),"")</f>
        <v/>
      </c>
      <c r="E389" s="10" t="s">
        <v>24</v>
      </c>
      <c r="F389" s="12"/>
      <c r="G389" s="12"/>
      <c r="H389" s="10"/>
      <c r="I389" s="10"/>
      <c r="J389" s="9" t="n">
        <f aca="false">IFERROR(SUMIFS(SalesOrderLines!$I$5:$I$504,SalesOrderLines!$B$5:$B$504,A389),"")</f>
        <v>0</v>
      </c>
      <c r="K389" s="9" t="n">
        <f aca="false">IFERROR(SUMIFS(SalesOrderLines!$J$5:$J$504,SalesOrderLines!$B$5:$B$504,A389),"")</f>
        <v>0</v>
      </c>
      <c r="L389" s="9" t="n">
        <f aca="false">IFERROR(J389+K389,"")</f>
        <v>0</v>
      </c>
      <c r="M389" s="9" t="n">
        <f aca="false">IFERROR(SUMIFS(Payments!$E$5:$E$504,Payments!$D$5:$D$504,A389,Payments!$C$5:$C$504,"In"),"")</f>
        <v>0</v>
      </c>
      <c r="N389" s="9" t="n">
        <f aca="false">IFERROR(L389-M389,"")</f>
        <v>0</v>
      </c>
    </row>
    <row r="390" customFormat="false" ht="15" hidden="false" customHeight="false" outlineLevel="0" collapsed="false">
      <c r="A390" s="10"/>
      <c r="B390" s="12"/>
      <c r="C390" s="10"/>
      <c r="D390" s="14" t="str">
        <f aca="false">IFERROR(IF(C390="","",INDEX(Customers!$B$5:$B$504,MATCH(C390,Customers!$A$5:$A$504,0))),"")</f>
        <v/>
      </c>
      <c r="E390" s="10" t="s">
        <v>24</v>
      </c>
      <c r="F390" s="12"/>
      <c r="G390" s="12"/>
      <c r="H390" s="10"/>
      <c r="I390" s="10"/>
      <c r="J390" s="9" t="n">
        <f aca="false">IFERROR(SUMIFS(SalesOrderLines!$I$5:$I$504,SalesOrderLines!$B$5:$B$504,A390),"")</f>
        <v>0</v>
      </c>
      <c r="K390" s="9" t="n">
        <f aca="false">IFERROR(SUMIFS(SalesOrderLines!$J$5:$J$504,SalesOrderLines!$B$5:$B$504,A390),"")</f>
        <v>0</v>
      </c>
      <c r="L390" s="9" t="n">
        <f aca="false">IFERROR(J390+K390,"")</f>
        <v>0</v>
      </c>
      <c r="M390" s="9" t="n">
        <f aca="false">IFERROR(SUMIFS(Payments!$E$5:$E$504,Payments!$D$5:$D$504,A390,Payments!$C$5:$C$504,"In"),"")</f>
        <v>0</v>
      </c>
      <c r="N390" s="9" t="n">
        <f aca="false">IFERROR(L390-M390,"")</f>
        <v>0</v>
      </c>
    </row>
    <row r="391" customFormat="false" ht="15" hidden="false" customHeight="false" outlineLevel="0" collapsed="false">
      <c r="A391" s="10"/>
      <c r="B391" s="12"/>
      <c r="C391" s="10"/>
      <c r="D391" s="14" t="str">
        <f aca="false">IFERROR(IF(C391="","",INDEX(Customers!$B$5:$B$504,MATCH(C391,Customers!$A$5:$A$504,0))),"")</f>
        <v/>
      </c>
      <c r="E391" s="10" t="s">
        <v>24</v>
      </c>
      <c r="F391" s="12"/>
      <c r="G391" s="12"/>
      <c r="H391" s="10"/>
      <c r="I391" s="10"/>
      <c r="J391" s="9" t="n">
        <f aca="false">IFERROR(SUMIFS(SalesOrderLines!$I$5:$I$504,SalesOrderLines!$B$5:$B$504,A391),"")</f>
        <v>0</v>
      </c>
      <c r="K391" s="9" t="n">
        <f aca="false">IFERROR(SUMIFS(SalesOrderLines!$J$5:$J$504,SalesOrderLines!$B$5:$B$504,A391),"")</f>
        <v>0</v>
      </c>
      <c r="L391" s="9" t="n">
        <f aca="false">IFERROR(J391+K391,"")</f>
        <v>0</v>
      </c>
      <c r="M391" s="9" t="n">
        <f aca="false">IFERROR(SUMIFS(Payments!$E$5:$E$504,Payments!$D$5:$D$504,A391,Payments!$C$5:$C$504,"In"),"")</f>
        <v>0</v>
      </c>
      <c r="N391" s="9" t="n">
        <f aca="false">IFERROR(L391-M391,"")</f>
        <v>0</v>
      </c>
    </row>
    <row r="392" customFormat="false" ht="15" hidden="false" customHeight="false" outlineLevel="0" collapsed="false">
      <c r="A392" s="10"/>
      <c r="B392" s="12"/>
      <c r="C392" s="10"/>
      <c r="D392" s="14" t="str">
        <f aca="false">IFERROR(IF(C392="","",INDEX(Customers!$B$5:$B$504,MATCH(C392,Customers!$A$5:$A$504,0))),"")</f>
        <v/>
      </c>
      <c r="E392" s="10" t="s">
        <v>24</v>
      </c>
      <c r="F392" s="12"/>
      <c r="G392" s="12"/>
      <c r="H392" s="10"/>
      <c r="I392" s="10"/>
      <c r="J392" s="9" t="n">
        <f aca="false">IFERROR(SUMIFS(SalesOrderLines!$I$5:$I$504,SalesOrderLines!$B$5:$B$504,A392),"")</f>
        <v>0</v>
      </c>
      <c r="K392" s="9" t="n">
        <f aca="false">IFERROR(SUMIFS(SalesOrderLines!$J$5:$J$504,SalesOrderLines!$B$5:$B$504,A392),"")</f>
        <v>0</v>
      </c>
      <c r="L392" s="9" t="n">
        <f aca="false">IFERROR(J392+K392,"")</f>
        <v>0</v>
      </c>
      <c r="M392" s="9" t="n">
        <f aca="false">IFERROR(SUMIFS(Payments!$E$5:$E$504,Payments!$D$5:$D$504,A392,Payments!$C$5:$C$504,"In"),"")</f>
        <v>0</v>
      </c>
      <c r="N392" s="9" t="n">
        <f aca="false">IFERROR(L392-M392,"")</f>
        <v>0</v>
      </c>
    </row>
    <row r="393" customFormat="false" ht="15" hidden="false" customHeight="false" outlineLevel="0" collapsed="false">
      <c r="A393" s="10"/>
      <c r="B393" s="12"/>
      <c r="C393" s="10"/>
      <c r="D393" s="14" t="str">
        <f aca="false">IFERROR(IF(C393="","",INDEX(Customers!$B$5:$B$504,MATCH(C393,Customers!$A$5:$A$504,0))),"")</f>
        <v/>
      </c>
      <c r="E393" s="10" t="s">
        <v>24</v>
      </c>
      <c r="F393" s="12"/>
      <c r="G393" s="12"/>
      <c r="H393" s="10"/>
      <c r="I393" s="10"/>
      <c r="J393" s="9" t="n">
        <f aca="false">IFERROR(SUMIFS(SalesOrderLines!$I$5:$I$504,SalesOrderLines!$B$5:$B$504,A393),"")</f>
        <v>0</v>
      </c>
      <c r="K393" s="9" t="n">
        <f aca="false">IFERROR(SUMIFS(SalesOrderLines!$J$5:$J$504,SalesOrderLines!$B$5:$B$504,A393),"")</f>
        <v>0</v>
      </c>
      <c r="L393" s="9" t="n">
        <f aca="false">IFERROR(J393+K393,"")</f>
        <v>0</v>
      </c>
      <c r="M393" s="9" t="n">
        <f aca="false">IFERROR(SUMIFS(Payments!$E$5:$E$504,Payments!$D$5:$D$504,A393,Payments!$C$5:$C$504,"In"),"")</f>
        <v>0</v>
      </c>
      <c r="N393" s="9" t="n">
        <f aca="false">IFERROR(L393-M393,"")</f>
        <v>0</v>
      </c>
    </row>
    <row r="394" customFormat="false" ht="15" hidden="false" customHeight="false" outlineLevel="0" collapsed="false">
      <c r="A394" s="10"/>
      <c r="B394" s="12"/>
      <c r="C394" s="10"/>
      <c r="D394" s="14" t="str">
        <f aca="false">IFERROR(IF(C394="","",INDEX(Customers!$B$5:$B$504,MATCH(C394,Customers!$A$5:$A$504,0))),"")</f>
        <v/>
      </c>
      <c r="E394" s="10" t="s">
        <v>24</v>
      </c>
      <c r="F394" s="12"/>
      <c r="G394" s="12"/>
      <c r="H394" s="10"/>
      <c r="I394" s="10"/>
      <c r="J394" s="9" t="n">
        <f aca="false">IFERROR(SUMIFS(SalesOrderLines!$I$5:$I$504,SalesOrderLines!$B$5:$B$504,A394),"")</f>
        <v>0</v>
      </c>
      <c r="K394" s="9" t="n">
        <f aca="false">IFERROR(SUMIFS(SalesOrderLines!$J$5:$J$504,SalesOrderLines!$B$5:$B$504,A394),"")</f>
        <v>0</v>
      </c>
      <c r="L394" s="9" t="n">
        <f aca="false">IFERROR(J394+K394,"")</f>
        <v>0</v>
      </c>
      <c r="M394" s="9" t="n">
        <f aca="false">IFERROR(SUMIFS(Payments!$E$5:$E$504,Payments!$D$5:$D$504,A394,Payments!$C$5:$C$504,"In"),"")</f>
        <v>0</v>
      </c>
      <c r="N394" s="9" t="n">
        <f aca="false">IFERROR(L394-M394,"")</f>
        <v>0</v>
      </c>
    </row>
    <row r="395" customFormat="false" ht="15" hidden="false" customHeight="false" outlineLevel="0" collapsed="false">
      <c r="A395" s="10"/>
      <c r="B395" s="12"/>
      <c r="C395" s="10"/>
      <c r="D395" s="14" t="str">
        <f aca="false">IFERROR(IF(C395="","",INDEX(Customers!$B$5:$B$504,MATCH(C395,Customers!$A$5:$A$504,0))),"")</f>
        <v/>
      </c>
      <c r="E395" s="10" t="s">
        <v>24</v>
      </c>
      <c r="F395" s="12"/>
      <c r="G395" s="12"/>
      <c r="H395" s="10"/>
      <c r="I395" s="10"/>
      <c r="J395" s="9" t="n">
        <f aca="false">IFERROR(SUMIFS(SalesOrderLines!$I$5:$I$504,SalesOrderLines!$B$5:$B$504,A395),"")</f>
        <v>0</v>
      </c>
      <c r="K395" s="9" t="n">
        <f aca="false">IFERROR(SUMIFS(SalesOrderLines!$J$5:$J$504,SalesOrderLines!$B$5:$B$504,A395),"")</f>
        <v>0</v>
      </c>
      <c r="L395" s="9" t="n">
        <f aca="false">IFERROR(J395+K395,"")</f>
        <v>0</v>
      </c>
      <c r="M395" s="9" t="n">
        <f aca="false">IFERROR(SUMIFS(Payments!$E$5:$E$504,Payments!$D$5:$D$504,A395,Payments!$C$5:$C$504,"In"),"")</f>
        <v>0</v>
      </c>
      <c r="N395" s="9" t="n">
        <f aca="false">IFERROR(L395-M395,"")</f>
        <v>0</v>
      </c>
    </row>
    <row r="396" customFormat="false" ht="15" hidden="false" customHeight="false" outlineLevel="0" collapsed="false">
      <c r="A396" s="10"/>
      <c r="B396" s="12"/>
      <c r="C396" s="10"/>
      <c r="D396" s="14" t="str">
        <f aca="false">IFERROR(IF(C396="","",INDEX(Customers!$B$5:$B$504,MATCH(C396,Customers!$A$5:$A$504,0))),"")</f>
        <v/>
      </c>
      <c r="E396" s="10" t="s">
        <v>24</v>
      </c>
      <c r="F396" s="12"/>
      <c r="G396" s="12"/>
      <c r="H396" s="10"/>
      <c r="I396" s="10"/>
      <c r="J396" s="9" t="n">
        <f aca="false">IFERROR(SUMIFS(SalesOrderLines!$I$5:$I$504,SalesOrderLines!$B$5:$B$504,A396),"")</f>
        <v>0</v>
      </c>
      <c r="K396" s="9" t="n">
        <f aca="false">IFERROR(SUMIFS(SalesOrderLines!$J$5:$J$504,SalesOrderLines!$B$5:$B$504,A396),"")</f>
        <v>0</v>
      </c>
      <c r="L396" s="9" t="n">
        <f aca="false">IFERROR(J396+K396,"")</f>
        <v>0</v>
      </c>
      <c r="M396" s="9" t="n">
        <f aca="false">IFERROR(SUMIFS(Payments!$E$5:$E$504,Payments!$D$5:$D$504,A396,Payments!$C$5:$C$504,"In"),"")</f>
        <v>0</v>
      </c>
      <c r="N396" s="9" t="n">
        <f aca="false">IFERROR(L396-M396,"")</f>
        <v>0</v>
      </c>
    </row>
    <row r="397" customFormat="false" ht="15" hidden="false" customHeight="false" outlineLevel="0" collapsed="false">
      <c r="A397" s="10"/>
      <c r="B397" s="12"/>
      <c r="C397" s="10"/>
      <c r="D397" s="14" t="str">
        <f aca="false">IFERROR(IF(C397="","",INDEX(Customers!$B$5:$B$504,MATCH(C397,Customers!$A$5:$A$504,0))),"")</f>
        <v/>
      </c>
      <c r="E397" s="10" t="s">
        <v>24</v>
      </c>
      <c r="F397" s="12"/>
      <c r="G397" s="12"/>
      <c r="H397" s="10"/>
      <c r="I397" s="10"/>
      <c r="J397" s="9" t="n">
        <f aca="false">IFERROR(SUMIFS(SalesOrderLines!$I$5:$I$504,SalesOrderLines!$B$5:$B$504,A397),"")</f>
        <v>0</v>
      </c>
      <c r="K397" s="9" t="n">
        <f aca="false">IFERROR(SUMIFS(SalesOrderLines!$J$5:$J$504,SalesOrderLines!$B$5:$B$504,A397),"")</f>
        <v>0</v>
      </c>
      <c r="L397" s="9" t="n">
        <f aca="false">IFERROR(J397+K397,"")</f>
        <v>0</v>
      </c>
      <c r="M397" s="9" t="n">
        <f aca="false">IFERROR(SUMIFS(Payments!$E$5:$E$504,Payments!$D$5:$D$504,A397,Payments!$C$5:$C$504,"In"),"")</f>
        <v>0</v>
      </c>
      <c r="N397" s="9" t="n">
        <f aca="false">IFERROR(L397-M397,"")</f>
        <v>0</v>
      </c>
    </row>
    <row r="398" customFormat="false" ht="15" hidden="false" customHeight="false" outlineLevel="0" collapsed="false">
      <c r="A398" s="10"/>
      <c r="B398" s="12"/>
      <c r="C398" s="10"/>
      <c r="D398" s="14" t="str">
        <f aca="false">IFERROR(IF(C398="","",INDEX(Customers!$B$5:$B$504,MATCH(C398,Customers!$A$5:$A$504,0))),"")</f>
        <v/>
      </c>
      <c r="E398" s="10" t="s">
        <v>24</v>
      </c>
      <c r="F398" s="12"/>
      <c r="G398" s="12"/>
      <c r="H398" s="10"/>
      <c r="I398" s="10"/>
      <c r="J398" s="9" t="n">
        <f aca="false">IFERROR(SUMIFS(SalesOrderLines!$I$5:$I$504,SalesOrderLines!$B$5:$B$504,A398),"")</f>
        <v>0</v>
      </c>
      <c r="K398" s="9" t="n">
        <f aca="false">IFERROR(SUMIFS(SalesOrderLines!$J$5:$J$504,SalesOrderLines!$B$5:$B$504,A398),"")</f>
        <v>0</v>
      </c>
      <c r="L398" s="9" t="n">
        <f aca="false">IFERROR(J398+K398,"")</f>
        <v>0</v>
      </c>
      <c r="M398" s="9" t="n">
        <f aca="false">IFERROR(SUMIFS(Payments!$E$5:$E$504,Payments!$D$5:$D$504,A398,Payments!$C$5:$C$504,"In"),"")</f>
        <v>0</v>
      </c>
      <c r="N398" s="9" t="n">
        <f aca="false">IFERROR(L398-M398,"")</f>
        <v>0</v>
      </c>
    </row>
    <row r="399" customFormat="false" ht="15" hidden="false" customHeight="false" outlineLevel="0" collapsed="false">
      <c r="A399" s="10"/>
      <c r="B399" s="12"/>
      <c r="C399" s="10"/>
      <c r="D399" s="14" t="str">
        <f aca="false">IFERROR(IF(C399="","",INDEX(Customers!$B$5:$B$504,MATCH(C399,Customers!$A$5:$A$504,0))),"")</f>
        <v/>
      </c>
      <c r="E399" s="10" t="s">
        <v>24</v>
      </c>
      <c r="F399" s="12"/>
      <c r="G399" s="12"/>
      <c r="H399" s="10"/>
      <c r="I399" s="10"/>
      <c r="J399" s="9" t="n">
        <f aca="false">IFERROR(SUMIFS(SalesOrderLines!$I$5:$I$504,SalesOrderLines!$B$5:$B$504,A399),"")</f>
        <v>0</v>
      </c>
      <c r="K399" s="9" t="n">
        <f aca="false">IFERROR(SUMIFS(SalesOrderLines!$J$5:$J$504,SalesOrderLines!$B$5:$B$504,A399),"")</f>
        <v>0</v>
      </c>
      <c r="L399" s="9" t="n">
        <f aca="false">IFERROR(J399+K399,"")</f>
        <v>0</v>
      </c>
      <c r="M399" s="9" t="n">
        <f aca="false">IFERROR(SUMIFS(Payments!$E$5:$E$504,Payments!$D$5:$D$504,A399,Payments!$C$5:$C$504,"In"),"")</f>
        <v>0</v>
      </c>
      <c r="N399" s="9" t="n">
        <f aca="false">IFERROR(L399-M399,"")</f>
        <v>0</v>
      </c>
    </row>
    <row r="400" customFormat="false" ht="15" hidden="false" customHeight="false" outlineLevel="0" collapsed="false">
      <c r="A400" s="10"/>
      <c r="B400" s="12"/>
      <c r="C400" s="10"/>
      <c r="D400" s="14" t="str">
        <f aca="false">IFERROR(IF(C400="","",INDEX(Customers!$B$5:$B$504,MATCH(C400,Customers!$A$5:$A$504,0))),"")</f>
        <v/>
      </c>
      <c r="E400" s="10" t="s">
        <v>24</v>
      </c>
      <c r="F400" s="12"/>
      <c r="G400" s="12"/>
      <c r="H400" s="10"/>
      <c r="I400" s="10"/>
      <c r="J400" s="9" t="n">
        <f aca="false">IFERROR(SUMIFS(SalesOrderLines!$I$5:$I$504,SalesOrderLines!$B$5:$B$504,A400),"")</f>
        <v>0</v>
      </c>
      <c r="K400" s="9" t="n">
        <f aca="false">IFERROR(SUMIFS(SalesOrderLines!$J$5:$J$504,SalesOrderLines!$B$5:$B$504,A400),"")</f>
        <v>0</v>
      </c>
      <c r="L400" s="9" t="n">
        <f aca="false">IFERROR(J400+K400,"")</f>
        <v>0</v>
      </c>
      <c r="M400" s="9" t="n">
        <f aca="false">IFERROR(SUMIFS(Payments!$E$5:$E$504,Payments!$D$5:$D$504,A400,Payments!$C$5:$C$504,"In"),"")</f>
        <v>0</v>
      </c>
      <c r="N400" s="9" t="n">
        <f aca="false">IFERROR(L400-M400,"")</f>
        <v>0</v>
      </c>
    </row>
    <row r="401" customFormat="false" ht="15" hidden="false" customHeight="false" outlineLevel="0" collapsed="false">
      <c r="A401" s="10"/>
      <c r="B401" s="12"/>
      <c r="C401" s="10"/>
      <c r="D401" s="14" t="str">
        <f aca="false">IFERROR(IF(C401="","",INDEX(Customers!$B$5:$B$504,MATCH(C401,Customers!$A$5:$A$504,0))),"")</f>
        <v/>
      </c>
      <c r="E401" s="10" t="s">
        <v>24</v>
      </c>
      <c r="F401" s="12"/>
      <c r="G401" s="12"/>
      <c r="H401" s="10"/>
      <c r="I401" s="10"/>
      <c r="J401" s="9" t="n">
        <f aca="false">IFERROR(SUMIFS(SalesOrderLines!$I$5:$I$504,SalesOrderLines!$B$5:$B$504,A401),"")</f>
        <v>0</v>
      </c>
      <c r="K401" s="9" t="n">
        <f aca="false">IFERROR(SUMIFS(SalesOrderLines!$J$5:$J$504,SalesOrderLines!$B$5:$B$504,A401),"")</f>
        <v>0</v>
      </c>
      <c r="L401" s="9" t="n">
        <f aca="false">IFERROR(J401+K401,"")</f>
        <v>0</v>
      </c>
      <c r="M401" s="9" t="n">
        <f aca="false">IFERROR(SUMIFS(Payments!$E$5:$E$504,Payments!$D$5:$D$504,A401,Payments!$C$5:$C$504,"In"),"")</f>
        <v>0</v>
      </c>
      <c r="N401" s="9" t="n">
        <f aca="false">IFERROR(L401-M401,"")</f>
        <v>0</v>
      </c>
    </row>
    <row r="402" customFormat="false" ht="15" hidden="false" customHeight="false" outlineLevel="0" collapsed="false">
      <c r="A402" s="10"/>
      <c r="B402" s="12"/>
      <c r="C402" s="10"/>
      <c r="D402" s="14" t="str">
        <f aca="false">IFERROR(IF(C402="","",INDEX(Customers!$B$5:$B$504,MATCH(C402,Customers!$A$5:$A$504,0))),"")</f>
        <v/>
      </c>
      <c r="E402" s="10" t="s">
        <v>24</v>
      </c>
      <c r="F402" s="12"/>
      <c r="G402" s="12"/>
      <c r="H402" s="10"/>
      <c r="I402" s="10"/>
      <c r="J402" s="9" t="n">
        <f aca="false">IFERROR(SUMIFS(SalesOrderLines!$I$5:$I$504,SalesOrderLines!$B$5:$B$504,A402),"")</f>
        <v>0</v>
      </c>
      <c r="K402" s="9" t="n">
        <f aca="false">IFERROR(SUMIFS(SalesOrderLines!$J$5:$J$504,SalesOrderLines!$B$5:$B$504,A402),"")</f>
        <v>0</v>
      </c>
      <c r="L402" s="9" t="n">
        <f aca="false">IFERROR(J402+K402,"")</f>
        <v>0</v>
      </c>
      <c r="M402" s="9" t="n">
        <f aca="false">IFERROR(SUMIFS(Payments!$E$5:$E$504,Payments!$D$5:$D$504,A402,Payments!$C$5:$C$504,"In"),"")</f>
        <v>0</v>
      </c>
      <c r="N402" s="9" t="n">
        <f aca="false">IFERROR(L402-M402,"")</f>
        <v>0</v>
      </c>
    </row>
    <row r="403" customFormat="false" ht="15" hidden="false" customHeight="false" outlineLevel="0" collapsed="false">
      <c r="A403" s="10"/>
      <c r="B403" s="12"/>
      <c r="C403" s="10"/>
      <c r="D403" s="14" t="str">
        <f aca="false">IFERROR(IF(C403="","",INDEX(Customers!$B$5:$B$504,MATCH(C403,Customers!$A$5:$A$504,0))),"")</f>
        <v/>
      </c>
      <c r="E403" s="10" t="s">
        <v>24</v>
      </c>
      <c r="F403" s="12"/>
      <c r="G403" s="12"/>
      <c r="H403" s="10"/>
      <c r="I403" s="10"/>
      <c r="J403" s="9" t="n">
        <f aca="false">IFERROR(SUMIFS(SalesOrderLines!$I$5:$I$504,SalesOrderLines!$B$5:$B$504,A403),"")</f>
        <v>0</v>
      </c>
      <c r="K403" s="9" t="n">
        <f aca="false">IFERROR(SUMIFS(SalesOrderLines!$J$5:$J$504,SalesOrderLines!$B$5:$B$504,A403),"")</f>
        <v>0</v>
      </c>
      <c r="L403" s="9" t="n">
        <f aca="false">IFERROR(J403+K403,"")</f>
        <v>0</v>
      </c>
      <c r="M403" s="9" t="n">
        <f aca="false">IFERROR(SUMIFS(Payments!$E$5:$E$504,Payments!$D$5:$D$504,A403,Payments!$C$5:$C$504,"In"),"")</f>
        <v>0</v>
      </c>
      <c r="N403" s="9" t="n">
        <f aca="false">IFERROR(L403-M403,"")</f>
        <v>0</v>
      </c>
    </row>
    <row r="404" customFormat="false" ht="15" hidden="false" customHeight="false" outlineLevel="0" collapsed="false">
      <c r="A404" s="10"/>
      <c r="B404" s="12"/>
      <c r="C404" s="10"/>
      <c r="D404" s="14" t="str">
        <f aca="false">IFERROR(IF(C404="","",INDEX(Customers!$B$5:$B$504,MATCH(C404,Customers!$A$5:$A$504,0))),"")</f>
        <v/>
      </c>
      <c r="E404" s="10" t="s">
        <v>24</v>
      </c>
      <c r="F404" s="12"/>
      <c r="G404" s="12"/>
      <c r="H404" s="10"/>
      <c r="I404" s="10"/>
      <c r="J404" s="9" t="n">
        <f aca="false">IFERROR(SUMIFS(SalesOrderLines!$I$5:$I$504,SalesOrderLines!$B$5:$B$504,A404),"")</f>
        <v>0</v>
      </c>
      <c r="K404" s="9" t="n">
        <f aca="false">IFERROR(SUMIFS(SalesOrderLines!$J$5:$J$504,SalesOrderLines!$B$5:$B$504,A404),"")</f>
        <v>0</v>
      </c>
      <c r="L404" s="9" t="n">
        <f aca="false">IFERROR(J404+K404,"")</f>
        <v>0</v>
      </c>
      <c r="M404" s="9" t="n">
        <f aca="false">IFERROR(SUMIFS(Payments!$E$5:$E$504,Payments!$D$5:$D$504,A404,Payments!$C$5:$C$504,"In"),"")</f>
        <v>0</v>
      </c>
      <c r="N404" s="9" t="n">
        <f aca="false">IFERROR(L404-M404,"")</f>
        <v>0</v>
      </c>
    </row>
    <row r="405" customFormat="false" ht="15" hidden="false" customHeight="false" outlineLevel="0" collapsed="false">
      <c r="A405" s="10"/>
      <c r="B405" s="12"/>
      <c r="C405" s="10"/>
      <c r="D405" s="14" t="str">
        <f aca="false">IFERROR(IF(C405="","",INDEX(Customers!$B$5:$B$504,MATCH(C405,Customers!$A$5:$A$504,0))),"")</f>
        <v/>
      </c>
      <c r="E405" s="10" t="s">
        <v>24</v>
      </c>
      <c r="F405" s="12"/>
      <c r="G405" s="12"/>
      <c r="H405" s="10"/>
      <c r="I405" s="10"/>
      <c r="J405" s="9" t="n">
        <f aca="false">IFERROR(SUMIFS(SalesOrderLines!$I$5:$I$504,SalesOrderLines!$B$5:$B$504,A405),"")</f>
        <v>0</v>
      </c>
      <c r="K405" s="9" t="n">
        <f aca="false">IFERROR(SUMIFS(SalesOrderLines!$J$5:$J$504,SalesOrderLines!$B$5:$B$504,A405),"")</f>
        <v>0</v>
      </c>
      <c r="L405" s="9" t="n">
        <f aca="false">IFERROR(J405+K405,"")</f>
        <v>0</v>
      </c>
      <c r="M405" s="9" t="n">
        <f aca="false">IFERROR(SUMIFS(Payments!$E$5:$E$504,Payments!$D$5:$D$504,A405,Payments!$C$5:$C$504,"In"),"")</f>
        <v>0</v>
      </c>
      <c r="N405" s="9" t="n">
        <f aca="false">IFERROR(L405-M405,"")</f>
        <v>0</v>
      </c>
    </row>
    <row r="406" customFormat="false" ht="15" hidden="false" customHeight="false" outlineLevel="0" collapsed="false">
      <c r="A406" s="10"/>
      <c r="B406" s="12"/>
      <c r="C406" s="10"/>
      <c r="D406" s="14" t="str">
        <f aca="false">IFERROR(IF(C406="","",INDEX(Customers!$B$5:$B$504,MATCH(C406,Customers!$A$5:$A$504,0))),"")</f>
        <v/>
      </c>
      <c r="E406" s="10" t="s">
        <v>24</v>
      </c>
      <c r="F406" s="12"/>
      <c r="G406" s="12"/>
      <c r="H406" s="10"/>
      <c r="I406" s="10"/>
      <c r="J406" s="9" t="n">
        <f aca="false">IFERROR(SUMIFS(SalesOrderLines!$I$5:$I$504,SalesOrderLines!$B$5:$B$504,A406),"")</f>
        <v>0</v>
      </c>
      <c r="K406" s="9" t="n">
        <f aca="false">IFERROR(SUMIFS(SalesOrderLines!$J$5:$J$504,SalesOrderLines!$B$5:$B$504,A406),"")</f>
        <v>0</v>
      </c>
      <c r="L406" s="9" t="n">
        <f aca="false">IFERROR(J406+K406,"")</f>
        <v>0</v>
      </c>
      <c r="M406" s="9" t="n">
        <f aca="false">IFERROR(SUMIFS(Payments!$E$5:$E$504,Payments!$D$5:$D$504,A406,Payments!$C$5:$C$504,"In"),"")</f>
        <v>0</v>
      </c>
      <c r="N406" s="9" t="n">
        <f aca="false">IFERROR(L406-M406,"")</f>
        <v>0</v>
      </c>
    </row>
    <row r="407" customFormat="false" ht="15" hidden="false" customHeight="false" outlineLevel="0" collapsed="false">
      <c r="A407" s="10"/>
      <c r="B407" s="12"/>
      <c r="C407" s="10"/>
      <c r="D407" s="14" t="str">
        <f aca="false">IFERROR(IF(C407="","",INDEX(Customers!$B$5:$B$504,MATCH(C407,Customers!$A$5:$A$504,0))),"")</f>
        <v/>
      </c>
      <c r="E407" s="10" t="s">
        <v>24</v>
      </c>
      <c r="F407" s="12"/>
      <c r="G407" s="12"/>
      <c r="H407" s="10"/>
      <c r="I407" s="10"/>
      <c r="J407" s="9" t="n">
        <f aca="false">IFERROR(SUMIFS(SalesOrderLines!$I$5:$I$504,SalesOrderLines!$B$5:$B$504,A407),"")</f>
        <v>0</v>
      </c>
      <c r="K407" s="9" t="n">
        <f aca="false">IFERROR(SUMIFS(SalesOrderLines!$J$5:$J$504,SalesOrderLines!$B$5:$B$504,A407),"")</f>
        <v>0</v>
      </c>
      <c r="L407" s="9" t="n">
        <f aca="false">IFERROR(J407+K407,"")</f>
        <v>0</v>
      </c>
      <c r="M407" s="9" t="n">
        <f aca="false">IFERROR(SUMIFS(Payments!$E$5:$E$504,Payments!$D$5:$D$504,A407,Payments!$C$5:$C$504,"In"),"")</f>
        <v>0</v>
      </c>
      <c r="N407" s="9" t="n">
        <f aca="false">IFERROR(L407-M407,"")</f>
        <v>0</v>
      </c>
    </row>
    <row r="408" customFormat="false" ht="15" hidden="false" customHeight="false" outlineLevel="0" collapsed="false">
      <c r="A408" s="10"/>
      <c r="B408" s="12"/>
      <c r="C408" s="10"/>
      <c r="D408" s="14" t="str">
        <f aca="false">IFERROR(IF(C408="","",INDEX(Customers!$B$5:$B$504,MATCH(C408,Customers!$A$5:$A$504,0))),"")</f>
        <v/>
      </c>
      <c r="E408" s="10" t="s">
        <v>24</v>
      </c>
      <c r="F408" s="12"/>
      <c r="G408" s="12"/>
      <c r="H408" s="10"/>
      <c r="I408" s="10"/>
      <c r="J408" s="9" t="n">
        <f aca="false">IFERROR(SUMIFS(SalesOrderLines!$I$5:$I$504,SalesOrderLines!$B$5:$B$504,A408),"")</f>
        <v>0</v>
      </c>
      <c r="K408" s="9" t="n">
        <f aca="false">IFERROR(SUMIFS(SalesOrderLines!$J$5:$J$504,SalesOrderLines!$B$5:$B$504,A408),"")</f>
        <v>0</v>
      </c>
      <c r="L408" s="9" t="n">
        <f aca="false">IFERROR(J408+K408,"")</f>
        <v>0</v>
      </c>
      <c r="M408" s="9" t="n">
        <f aca="false">IFERROR(SUMIFS(Payments!$E$5:$E$504,Payments!$D$5:$D$504,A408,Payments!$C$5:$C$504,"In"),"")</f>
        <v>0</v>
      </c>
      <c r="N408" s="9" t="n">
        <f aca="false">IFERROR(L408-M408,"")</f>
        <v>0</v>
      </c>
    </row>
    <row r="409" customFormat="false" ht="15" hidden="false" customHeight="false" outlineLevel="0" collapsed="false">
      <c r="A409" s="10"/>
      <c r="B409" s="12"/>
      <c r="C409" s="10"/>
      <c r="D409" s="14" t="str">
        <f aca="false">IFERROR(IF(C409="","",INDEX(Customers!$B$5:$B$504,MATCH(C409,Customers!$A$5:$A$504,0))),"")</f>
        <v/>
      </c>
      <c r="E409" s="10" t="s">
        <v>24</v>
      </c>
      <c r="F409" s="12"/>
      <c r="G409" s="12"/>
      <c r="H409" s="10"/>
      <c r="I409" s="10"/>
      <c r="J409" s="9" t="n">
        <f aca="false">IFERROR(SUMIFS(SalesOrderLines!$I$5:$I$504,SalesOrderLines!$B$5:$B$504,A409),"")</f>
        <v>0</v>
      </c>
      <c r="K409" s="9" t="n">
        <f aca="false">IFERROR(SUMIFS(SalesOrderLines!$J$5:$J$504,SalesOrderLines!$B$5:$B$504,A409),"")</f>
        <v>0</v>
      </c>
      <c r="L409" s="9" t="n">
        <f aca="false">IFERROR(J409+K409,"")</f>
        <v>0</v>
      </c>
      <c r="M409" s="9" t="n">
        <f aca="false">IFERROR(SUMIFS(Payments!$E$5:$E$504,Payments!$D$5:$D$504,A409,Payments!$C$5:$C$504,"In"),"")</f>
        <v>0</v>
      </c>
      <c r="N409" s="9" t="n">
        <f aca="false">IFERROR(L409-M409,"")</f>
        <v>0</v>
      </c>
    </row>
    <row r="410" customFormat="false" ht="15" hidden="false" customHeight="false" outlineLevel="0" collapsed="false">
      <c r="A410" s="10"/>
      <c r="B410" s="12"/>
      <c r="C410" s="10"/>
      <c r="D410" s="14" t="str">
        <f aca="false">IFERROR(IF(C410="","",INDEX(Customers!$B$5:$B$504,MATCH(C410,Customers!$A$5:$A$504,0))),"")</f>
        <v/>
      </c>
      <c r="E410" s="10" t="s">
        <v>24</v>
      </c>
      <c r="F410" s="12"/>
      <c r="G410" s="12"/>
      <c r="H410" s="10"/>
      <c r="I410" s="10"/>
      <c r="J410" s="9" t="n">
        <f aca="false">IFERROR(SUMIFS(SalesOrderLines!$I$5:$I$504,SalesOrderLines!$B$5:$B$504,A410),"")</f>
        <v>0</v>
      </c>
      <c r="K410" s="9" t="n">
        <f aca="false">IFERROR(SUMIFS(SalesOrderLines!$J$5:$J$504,SalesOrderLines!$B$5:$B$504,A410),"")</f>
        <v>0</v>
      </c>
      <c r="L410" s="9" t="n">
        <f aca="false">IFERROR(J410+K410,"")</f>
        <v>0</v>
      </c>
      <c r="M410" s="9" t="n">
        <f aca="false">IFERROR(SUMIFS(Payments!$E$5:$E$504,Payments!$D$5:$D$504,A410,Payments!$C$5:$C$504,"In"),"")</f>
        <v>0</v>
      </c>
      <c r="N410" s="9" t="n">
        <f aca="false">IFERROR(L410-M410,"")</f>
        <v>0</v>
      </c>
    </row>
    <row r="411" customFormat="false" ht="15" hidden="false" customHeight="false" outlineLevel="0" collapsed="false">
      <c r="A411" s="10"/>
      <c r="B411" s="12"/>
      <c r="C411" s="10"/>
      <c r="D411" s="14" t="str">
        <f aca="false">IFERROR(IF(C411="","",INDEX(Customers!$B$5:$B$504,MATCH(C411,Customers!$A$5:$A$504,0))),"")</f>
        <v/>
      </c>
      <c r="E411" s="10" t="s">
        <v>24</v>
      </c>
      <c r="F411" s="12"/>
      <c r="G411" s="12"/>
      <c r="H411" s="10"/>
      <c r="I411" s="10"/>
      <c r="J411" s="9" t="n">
        <f aca="false">IFERROR(SUMIFS(SalesOrderLines!$I$5:$I$504,SalesOrderLines!$B$5:$B$504,A411),"")</f>
        <v>0</v>
      </c>
      <c r="K411" s="9" t="n">
        <f aca="false">IFERROR(SUMIFS(SalesOrderLines!$J$5:$J$504,SalesOrderLines!$B$5:$B$504,A411),"")</f>
        <v>0</v>
      </c>
      <c r="L411" s="9" t="n">
        <f aca="false">IFERROR(J411+K411,"")</f>
        <v>0</v>
      </c>
      <c r="M411" s="9" t="n">
        <f aca="false">IFERROR(SUMIFS(Payments!$E$5:$E$504,Payments!$D$5:$D$504,A411,Payments!$C$5:$C$504,"In"),"")</f>
        <v>0</v>
      </c>
      <c r="N411" s="9" t="n">
        <f aca="false">IFERROR(L411-M411,"")</f>
        <v>0</v>
      </c>
    </row>
    <row r="412" customFormat="false" ht="15" hidden="false" customHeight="false" outlineLevel="0" collapsed="false">
      <c r="A412" s="10"/>
      <c r="B412" s="12"/>
      <c r="C412" s="10"/>
      <c r="D412" s="14" t="str">
        <f aca="false">IFERROR(IF(C412="","",INDEX(Customers!$B$5:$B$504,MATCH(C412,Customers!$A$5:$A$504,0))),"")</f>
        <v/>
      </c>
      <c r="E412" s="10" t="s">
        <v>24</v>
      </c>
      <c r="F412" s="12"/>
      <c r="G412" s="12"/>
      <c r="H412" s="10"/>
      <c r="I412" s="10"/>
      <c r="J412" s="9" t="n">
        <f aca="false">IFERROR(SUMIFS(SalesOrderLines!$I$5:$I$504,SalesOrderLines!$B$5:$B$504,A412),"")</f>
        <v>0</v>
      </c>
      <c r="K412" s="9" t="n">
        <f aca="false">IFERROR(SUMIFS(SalesOrderLines!$J$5:$J$504,SalesOrderLines!$B$5:$B$504,A412),"")</f>
        <v>0</v>
      </c>
      <c r="L412" s="9" t="n">
        <f aca="false">IFERROR(J412+K412,"")</f>
        <v>0</v>
      </c>
      <c r="M412" s="9" t="n">
        <f aca="false">IFERROR(SUMIFS(Payments!$E$5:$E$504,Payments!$D$5:$D$504,A412,Payments!$C$5:$C$504,"In"),"")</f>
        <v>0</v>
      </c>
      <c r="N412" s="9" t="n">
        <f aca="false">IFERROR(L412-M412,"")</f>
        <v>0</v>
      </c>
    </row>
    <row r="413" customFormat="false" ht="15" hidden="false" customHeight="false" outlineLevel="0" collapsed="false">
      <c r="A413" s="10"/>
      <c r="B413" s="12"/>
      <c r="C413" s="10"/>
      <c r="D413" s="14" t="str">
        <f aca="false">IFERROR(IF(C413="","",INDEX(Customers!$B$5:$B$504,MATCH(C413,Customers!$A$5:$A$504,0))),"")</f>
        <v/>
      </c>
      <c r="E413" s="10" t="s">
        <v>24</v>
      </c>
      <c r="F413" s="12"/>
      <c r="G413" s="12"/>
      <c r="H413" s="10"/>
      <c r="I413" s="10"/>
      <c r="J413" s="9" t="n">
        <f aca="false">IFERROR(SUMIFS(SalesOrderLines!$I$5:$I$504,SalesOrderLines!$B$5:$B$504,A413),"")</f>
        <v>0</v>
      </c>
      <c r="K413" s="9" t="n">
        <f aca="false">IFERROR(SUMIFS(SalesOrderLines!$J$5:$J$504,SalesOrderLines!$B$5:$B$504,A413),"")</f>
        <v>0</v>
      </c>
      <c r="L413" s="9" t="n">
        <f aca="false">IFERROR(J413+K413,"")</f>
        <v>0</v>
      </c>
      <c r="M413" s="9" t="n">
        <f aca="false">IFERROR(SUMIFS(Payments!$E$5:$E$504,Payments!$D$5:$D$504,A413,Payments!$C$5:$C$504,"In"),"")</f>
        <v>0</v>
      </c>
      <c r="N413" s="9" t="n">
        <f aca="false">IFERROR(L413-M413,"")</f>
        <v>0</v>
      </c>
    </row>
    <row r="414" customFormat="false" ht="15" hidden="false" customHeight="false" outlineLevel="0" collapsed="false">
      <c r="A414" s="10"/>
      <c r="B414" s="12"/>
      <c r="C414" s="10"/>
      <c r="D414" s="14" t="str">
        <f aca="false">IFERROR(IF(C414="","",INDEX(Customers!$B$5:$B$504,MATCH(C414,Customers!$A$5:$A$504,0))),"")</f>
        <v/>
      </c>
      <c r="E414" s="10" t="s">
        <v>24</v>
      </c>
      <c r="F414" s="12"/>
      <c r="G414" s="12"/>
      <c r="H414" s="10"/>
      <c r="I414" s="10"/>
      <c r="J414" s="9" t="n">
        <f aca="false">IFERROR(SUMIFS(SalesOrderLines!$I$5:$I$504,SalesOrderLines!$B$5:$B$504,A414),"")</f>
        <v>0</v>
      </c>
      <c r="K414" s="9" t="n">
        <f aca="false">IFERROR(SUMIFS(SalesOrderLines!$J$5:$J$504,SalesOrderLines!$B$5:$B$504,A414),"")</f>
        <v>0</v>
      </c>
      <c r="L414" s="9" t="n">
        <f aca="false">IFERROR(J414+K414,"")</f>
        <v>0</v>
      </c>
      <c r="M414" s="9" t="n">
        <f aca="false">IFERROR(SUMIFS(Payments!$E$5:$E$504,Payments!$D$5:$D$504,A414,Payments!$C$5:$C$504,"In"),"")</f>
        <v>0</v>
      </c>
      <c r="N414" s="9" t="n">
        <f aca="false">IFERROR(L414-M414,"")</f>
        <v>0</v>
      </c>
    </row>
    <row r="415" customFormat="false" ht="15" hidden="false" customHeight="false" outlineLevel="0" collapsed="false">
      <c r="A415" s="10"/>
      <c r="B415" s="12"/>
      <c r="C415" s="10"/>
      <c r="D415" s="14" t="str">
        <f aca="false">IFERROR(IF(C415="","",INDEX(Customers!$B$5:$B$504,MATCH(C415,Customers!$A$5:$A$504,0))),"")</f>
        <v/>
      </c>
      <c r="E415" s="10" t="s">
        <v>24</v>
      </c>
      <c r="F415" s="12"/>
      <c r="G415" s="12"/>
      <c r="H415" s="10"/>
      <c r="I415" s="10"/>
      <c r="J415" s="9" t="n">
        <f aca="false">IFERROR(SUMIFS(SalesOrderLines!$I$5:$I$504,SalesOrderLines!$B$5:$B$504,A415),"")</f>
        <v>0</v>
      </c>
      <c r="K415" s="9" t="n">
        <f aca="false">IFERROR(SUMIFS(SalesOrderLines!$J$5:$J$504,SalesOrderLines!$B$5:$B$504,A415),"")</f>
        <v>0</v>
      </c>
      <c r="L415" s="9" t="n">
        <f aca="false">IFERROR(J415+K415,"")</f>
        <v>0</v>
      </c>
      <c r="M415" s="9" t="n">
        <f aca="false">IFERROR(SUMIFS(Payments!$E$5:$E$504,Payments!$D$5:$D$504,A415,Payments!$C$5:$C$504,"In"),"")</f>
        <v>0</v>
      </c>
      <c r="N415" s="9" t="n">
        <f aca="false">IFERROR(L415-M415,"")</f>
        <v>0</v>
      </c>
    </row>
    <row r="416" customFormat="false" ht="15" hidden="false" customHeight="false" outlineLevel="0" collapsed="false">
      <c r="A416" s="10"/>
      <c r="B416" s="12"/>
      <c r="C416" s="10"/>
      <c r="D416" s="14" t="str">
        <f aca="false">IFERROR(IF(C416="","",INDEX(Customers!$B$5:$B$504,MATCH(C416,Customers!$A$5:$A$504,0))),"")</f>
        <v/>
      </c>
      <c r="E416" s="10" t="s">
        <v>24</v>
      </c>
      <c r="F416" s="12"/>
      <c r="G416" s="12"/>
      <c r="H416" s="10"/>
      <c r="I416" s="10"/>
      <c r="J416" s="9" t="n">
        <f aca="false">IFERROR(SUMIFS(SalesOrderLines!$I$5:$I$504,SalesOrderLines!$B$5:$B$504,A416),"")</f>
        <v>0</v>
      </c>
      <c r="K416" s="9" t="n">
        <f aca="false">IFERROR(SUMIFS(SalesOrderLines!$J$5:$J$504,SalesOrderLines!$B$5:$B$504,A416),"")</f>
        <v>0</v>
      </c>
      <c r="L416" s="9" t="n">
        <f aca="false">IFERROR(J416+K416,"")</f>
        <v>0</v>
      </c>
      <c r="M416" s="9" t="n">
        <f aca="false">IFERROR(SUMIFS(Payments!$E$5:$E$504,Payments!$D$5:$D$504,A416,Payments!$C$5:$C$504,"In"),"")</f>
        <v>0</v>
      </c>
      <c r="N416" s="9" t="n">
        <f aca="false">IFERROR(L416-M416,"")</f>
        <v>0</v>
      </c>
    </row>
    <row r="417" customFormat="false" ht="15" hidden="false" customHeight="false" outlineLevel="0" collapsed="false">
      <c r="A417" s="10"/>
      <c r="B417" s="12"/>
      <c r="C417" s="10"/>
      <c r="D417" s="14" t="str">
        <f aca="false">IFERROR(IF(C417="","",INDEX(Customers!$B$5:$B$504,MATCH(C417,Customers!$A$5:$A$504,0))),"")</f>
        <v/>
      </c>
      <c r="E417" s="10" t="s">
        <v>24</v>
      </c>
      <c r="F417" s="12"/>
      <c r="G417" s="12"/>
      <c r="H417" s="10"/>
      <c r="I417" s="10"/>
      <c r="J417" s="9" t="n">
        <f aca="false">IFERROR(SUMIFS(SalesOrderLines!$I$5:$I$504,SalesOrderLines!$B$5:$B$504,A417),"")</f>
        <v>0</v>
      </c>
      <c r="K417" s="9" t="n">
        <f aca="false">IFERROR(SUMIFS(SalesOrderLines!$J$5:$J$504,SalesOrderLines!$B$5:$B$504,A417),"")</f>
        <v>0</v>
      </c>
      <c r="L417" s="9" t="n">
        <f aca="false">IFERROR(J417+K417,"")</f>
        <v>0</v>
      </c>
      <c r="M417" s="9" t="n">
        <f aca="false">IFERROR(SUMIFS(Payments!$E$5:$E$504,Payments!$D$5:$D$504,A417,Payments!$C$5:$C$504,"In"),"")</f>
        <v>0</v>
      </c>
      <c r="N417" s="9" t="n">
        <f aca="false">IFERROR(L417-M417,"")</f>
        <v>0</v>
      </c>
    </row>
    <row r="418" customFormat="false" ht="15" hidden="false" customHeight="false" outlineLevel="0" collapsed="false">
      <c r="A418" s="10"/>
      <c r="B418" s="12"/>
      <c r="C418" s="10"/>
      <c r="D418" s="14" t="str">
        <f aca="false">IFERROR(IF(C418="","",INDEX(Customers!$B$5:$B$504,MATCH(C418,Customers!$A$5:$A$504,0))),"")</f>
        <v/>
      </c>
      <c r="E418" s="10" t="s">
        <v>24</v>
      </c>
      <c r="F418" s="12"/>
      <c r="G418" s="12"/>
      <c r="H418" s="10"/>
      <c r="I418" s="10"/>
      <c r="J418" s="9" t="n">
        <f aca="false">IFERROR(SUMIFS(SalesOrderLines!$I$5:$I$504,SalesOrderLines!$B$5:$B$504,A418),"")</f>
        <v>0</v>
      </c>
      <c r="K418" s="9" t="n">
        <f aca="false">IFERROR(SUMIFS(SalesOrderLines!$J$5:$J$504,SalesOrderLines!$B$5:$B$504,A418),"")</f>
        <v>0</v>
      </c>
      <c r="L418" s="9" t="n">
        <f aca="false">IFERROR(J418+K418,"")</f>
        <v>0</v>
      </c>
      <c r="M418" s="9" t="n">
        <f aca="false">IFERROR(SUMIFS(Payments!$E$5:$E$504,Payments!$D$5:$D$504,A418,Payments!$C$5:$C$504,"In"),"")</f>
        <v>0</v>
      </c>
      <c r="N418" s="9" t="n">
        <f aca="false">IFERROR(L418-M418,"")</f>
        <v>0</v>
      </c>
    </row>
    <row r="419" customFormat="false" ht="15" hidden="false" customHeight="false" outlineLevel="0" collapsed="false">
      <c r="A419" s="10"/>
      <c r="B419" s="12"/>
      <c r="C419" s="10"/>
      <c r="D419" s="14" t="str">
        <f aca="false">IFERROR(IF(C419="","",INDEX(Customers!$B$5:$B$504,MATCH(C419,Customers!$A$5:$A$504,0))),"")</f>
        <v/>
      </c>
      <c r="E419" s="10" t="s">
        <v>24</v>
      </c>
      <c r="F419" s="12"/>
      <c r="G419" s="12"/>
      <c r="H419" s="10"/>
      <c r="I419" s="10"/>
      <c r="J419" s="9" t="n">
        <f aca="false">IFERROR(SUMIFS(SalesOrderLines!$I$5:$I$504,SalesOrderLines!$B$5:$B$504,A419),"")</f>
        <v>0</v>
      </c>
      <c r="K419" s="9" t="n">
        <f aca="false">IFERROR(SUMIFS(SalesOrderLines!$J$5:$J$504,SalesOrderLines!$B$5:$B$504,A419),"")</f>
        <v>0</v>
      </c>
      <c r="L419" s="9" t="n">
        <f aca="false">IFERROR(J419+K419,"")</f>
        <v>0</v>
      </c>
      <c r="M419" s="9" t="n">
        <f aca="false">IFERROR(SUMIFS(Payments!$E$5:$E$504,Payments!$D$5:$D$504,A419,Payments!$C$5:$C$504,"In"),"")</f>
        <v>0</v>
      </c>
      <c r="N419" s="9" t="n">
        <f aca="false">IFERROR(L419-M419,"")</f>
        <v>0</v>
      </c>
    </row>
    <row r="420" customFormat="false" ht="15" hidden="false" customHeight="false" outlineLevel="0" collapsed="false">
      <c r="A420" s="10"/>
      <c r="B420" s="12"/>
      <c r="C420" s="10"/>
      <c r="D420" s="14" t="str">
        <f aca="false">IFERROR(IF(C420="","",INDEX(Customers!$B$5:$B$504,MATCH(C420,Customers!$A$5:$A$504,0))),"")</f>
        <v/>
      </c>
      <c r="E420" s="10" t="s">
        <v>24</v>
      </c>
      <c r="F420" s="12"/>
      <c r="G420" s="12"/>
      <c r="H420" s="10"/>
      <c r="I420" s="10"/>
      <c r="J420" s="9" t="n">
        <f aca="false">IFERROR(SUMIFS(SalesOrderLines!$I$5:$I$504,SalesOrderLines!$B$5:$B$504,A420),"")</f>
        <v>0</v>
      </c>
      <c r="K420" s="9" t="n">
        <f aca="false">IFERROR(SUMIFS(SalesOrderLines!$J$5:$J$504,SalesOrderLines!$B$5:$B$504,A420),"")</f>
        <v>0</v>
      </c>
      <c r="L420" s="9" t="n">
        <f aca="false">IFERROR(J420+K420,"")</f>
        <v>0</v>
      </c>
      <c r="M420" s="9" t="n">
        <f aca="false">IFERROR(SUMIFS(Payments!$E$5:$E$504,Payments!$D$5:$D$504,A420,Payments!$C$5:$C$504,"In"),"")</f>
        <v>0</v>
      </c>
      <c r="N420" s="9" t="n">
        <f aca="false">IFERROR(L420-M420,"")</f>
        <v>0</v>
      </c>
    </row>
    <row r="421" customFormat="false" ht="15" hidden="false" customHeight="false" outlineLevel="0" collapsed="false">
      <c r="A421" s="10"/>
      <c r="B421" s="12"/>
      <c r="C421" s="10"/>
      <c r="D421" s="14" t="str">
        <f aca="false">IFERROR(IF(C421="","",INDEX(Customers!$B$5:$B$504,MATCH(C421,Customers!$A$5:$A$504,0))),"")</f>
        <v/>
      </c>
      <c r="E421" s="10" t="s">
        <v>24</v>
      </c>
      <c r="F421" s="12"/>
      <c r="G421" s="12"/>
      <c r="H421" s="10"/>
      <c r="I421" s="10"/>
      <c r="J421" s="9" t="n">
        <f aca="false">IFERROR(SUMIFS(SalesOrderLines!$I$5:$I$504,SalesOrderLines!$B$5:$B$504,A421),"")</f>
        <v>0</v>
      </c>
      <c r="K421" s="9" t="n">
        <f aca="false">IFERROR(SUMIFS(SalesOrderLines!$J$5:$J$504,SalesOrderLines!$B$5:$B$504,A421),"")</f>
        <v>0</v>
      </c>
      <c r="L421" s="9" t="n">
        <f aca="false">IFERROR(J421+K421,"")</f>
        <v>0</v>
      </c>
      <c r="M421" s="9" t="n">
        <f aca="false">IFERROR(SUMIFS(Payments!$E$5:$E$504,Payments!$D$5:$D$504,A421,Payments!$C$5:$C$504,"In"),"")</f>
        <v>0</v>
      </c>
      <c r="N421" s="9" t="n">
        <f aca="false">IFERROR(L421-M421,"")</f>
        <v>0</v>
      </c>
    </row>
    <row r="422" customFormat="false" ht="15" hidden="false" customHeight="false" outlineLevel="0" collapsed="false">
      <c r="A422" s="10"/>
      <c r="B422" s="12"/>
      <c r="C422" s="10"/>
      <c r="D422" s="14" t="str">
        <f aca="false">IFERROR(IF(C422="","",INDEX(Customers!$B$5:$B$504,MATCH(C422,Customers!$A$5:$A$504,0))),"")</f>
        <v/>
      </c>
      <c r="E422" s="10" t="s">
        <v>24</v>
      </c>
      <c r="F422" s="12"/>
      <c r="G422" s="12"/>
      <c r="H422" s="10"/>
      <c r="I422" s="10"/>
      <c r="J422" s="9" t="n">
        <f aca="false">IFERROR(SUMIFS(SalesOrderLines!$I$5:$I$504,SalesOrderLines!$B$5:$B$504,A422),"")</f>
        <v>0</v>
      </c>
      <c r="K422" s="9" t="n">
        <f aca="false">IFERROR(SUMIFS(SalesOrderLines!$J$5:$J$504,SalesOrderLines!$B$5:$B$504,A422),"")</f>
        <v>0</v>
      </c>
      <c r="L422" s="9" t="n">
        <f aca="false">IFERROR(J422+K422,"")</f>
        <v>0</v>
      </c>
      <c r="M422" s="9" t="n">
        <f aca="false">IFERROR(SUMIFS(Payments!$E$5:$E$504,Payments!$D$5:$D$504,A422,Payments!$C$5:$C$504,"In"),"")</f>
        <v>0</v>
      </c>
      <c r="N422" s="9" t="n">
        <f aca="false">IFERROR(L422-M422,"")</f>
        <v>0</v>
      </c>
    </row>
    <row r="423" customFormat="false" ht="15" hidden="false" customHeight="false" outlineLevel="0" collapsed="false">
      <c r="A423" s="10"/>
      <c r="B423" s="12"/>
      <c r="C423" s="10"/>
      <c r="D423" s="14" t="str">
        <f aca="false">IFERROR(IF(C423="","",INDEX(Customers!$B$5:$B$504,MATCH(C423,Customers!$A$5:$A$504,0))),"")</f>
        <v/>
      </c>
      <c r="E423" s="10" t="s">
        <v>24</v>
      </c>
      <c r="F423" s="12"/>
      <c r="G423" s="12"/>
      <c r="H423" s="10"/>
      <c r="I423" s="10"/>
      <c r="J423" s="9" t="n">
        <f aca="false">IFERROR(SUMIFS(SalesOrderLines!$I$5:$I$504,SalesOrderLines!$B$5:$B$504,A423),"")</f>
        <v>0</v>
      </c>
      <c r="K423" s="9" t="n">
        <f aca="false">IFERROR(SUMIFS(SalesOrderLines!$J$5:$J$504,SalesOrderLines!$B$5:$B$504,A423),"")</f>
        <v>0</v>
      </c>
      <c r="L423" s="9" t="n">
        <f aca="false">IFERROR(J423+K423,"")</f>
        <v>0</v>
      </c>
      <c r="M423" s="9" t="n">
        <f aca="false">IFERROR(SUMIFS(Payments!$E$5:$E$504,Payments!$D$5:$D$504,A423,Payments!$C$5:$C$504,"In"),"")</f>
        <v>0</v>
      </c>
      <c r="N423" s="9" t="n">
        <f aca="false">IFERROR(L423-M423,"")</f>
        <v>0</v>
      </c>
    </row>
    <row r="424" customFormat="false" ht="15" hidden="false" customHeight="false" outlineLevel="0" collapsed="false">
      <c r="A424" s="10"/>
      <c r="B424" s="12"/>
      <c r="C424" s="10"/>
      <c r="D424" s="14" t="str">
        <f aca="false">IFERROR(IF(C424="","",INDEX(Customers!$B$5:$B$504,MATCH(C424,Customers!$A$5:$A$504,0))),"")</f>
        <v/>
      </c>
      <c r="E424" s="10" t="s">
        <v>24</v>
      </c>
      <c r="F424" s="12"/>
      <c r="G424" s="12"/>
      <c r="H424" s="10"/>
      <c r="I424" s="10"/>
      <c r="J424" s="9" t="n">
        <f aca="false">IFERROR(SUMIFS(SalesOrderLines!$I$5:$I$504,SalesOrderLines!$B$5:$B$504,A424),"")</f>
        <v>0</v>
      </c>
      <c r="K424" s="9" t="n">
        <f aca="false">IFERROR(SUMIFS(SalesOrderLines!$J$5:$J$504,SalesOrderLines!$B$5:$B$504,A424),"")</f>
        <v>0</v>
      </c>
      <c r="L424" s="9" t="n">
        <f aca="false">IFERROR(J424+K424,"")</f>
        <v>0</v>
      </c>
      <c r="M424" s="9" t="n">
        <f aca="false">IFERROR(SUMIFS(Payments!$E$5:$E$504,Payments!$D$5:$D$504,A424,Payments!$C$5:$C$504,"In"),"")</f>
        <v>0</v>
      </c>
      <c r="N424" s="9" t="n">
        <f aca="false">IFERROR(L424-M424,"")</f>
        <v>0</v>
      </c>
    </row>
    <row r="425" customFormat="false" ht="15" hidden="false" customHeight="false" outlineLevel="0" collapsed="false">
      <c r="A425" s="10"/>
      <c r="B425" s="12"/>
      <c r="C425" s="10"/>
      <c r="D425" s="14" t="str">
        <f aca="false">IFERROR(IF(C425="","",INDEX(Customers!$B$5:$B$504,MATCH(C425,Customers!$A$5:$A$504,0))),"")</f>
        <v/>
      </c>
      <c r="E425" s="10" t="s">
        <v>24</v>
      </c>
      <c r="F425" s="12"/>
      <c r="G425" s="12"/>
      <c r="H425" s="10"/>
      <c r="I425" s="10"/>
      <c r="J425" s="9" t="n">
        <f aca="false">IFERROR(SUMIFS(SalesOrderLines!$I$5:$I$504,SalesOrderLines!$B$5:$B$504,A425),"")</f>
        <v>0</v>
      </c>
      <c r="K425" s="9" t="n">
        <f aca="false">IFERROR(SUMIFS(SalesOrderLines!$J$5:$J$504,SalesOrderLines!$B$5:$B$504,A425),"")</f>
        <v>0</v>
      </c>
      <c r="L425" s="9" t="n">
        <f aca="false">IFERROR(J425+K425,"")</f>
        <v>0</v>
      </c>
      <c r="M425" s="9" t="n">
        <f aca="false">IFERROR(SUMIFS(Payments!$E$5:$E$504,Payments!$D$5:$D$504,A425,Payments!$C$5:$C$504,"In"),"")</f>
        <v>0</v>
      </c>
      <c r="N425" s="9" t="n">
        <f aca="false">IFERROR(L425-M425,"")</f>
        <v>0</v>
      </c>
    </row>
    <row r="426" customFormat="false" ht="15" hidden="false" customHeight="false" outlineLevel="0" collapsed="false">
      <c r="A426" s="10"/>
      <c r="B426" s="12"/>
      <c r="C426" s="10"/>
      <c r="D426" s="14" t="str">
        <f aca="false">IFERROR(IF(C426="","",INDEX(Customers!$B$5:$B$504,MATCH(C426,Customers!$A$5:$A$504,0))),"")</f>
        <v/>
      </c>
      <c r="E426" s="10" t="s">
        <v>24</v>
      </c>
      <c r="F426" s="12"/>
      <c r="G426" s="12"/>
      <c r="H426" s="10"/>
      <c r="I426" s="10"/>
      <c r="J426" s="9" t="n">
        <f aca="false">IFERROR(SUMIFS(SalesOrderLines!$I$5:$I$504,SalesOrderLines!$B$5:$B$504,A426),"")</f>
        <v>0</v>
      </c>
      <c r="K426" s="9" t="n">
        <f aca="false">IFERROR(SUMIFS(SalesOrderLines!$J$5:$J$504,SalesOrderLines!$B$5:$B$504,A426),"")</f>
        <v>0</v>
      </c>
      <c r="L426" s="9" t="n">
        <f aca="false">IFERROR(J426+K426,"")</f>
        <v>0</v>
      </c>
      <c r="M426" s="9" t="n">
        <f aca="false">IFERROR(SUMIFS(Payments!$E$5:$E$504,Payments!$D$5:$D$504,A426,Payments!$C$5:$C$504,"In"),"")</f>
        <v>0</v>
      </c>
      <c r="N426" s="9" t="n">
        <f aca="false">IFERROR(L426-M426,"")</f>
        <v>0</v>
      </c>
    </row>
    <row r="427" customFormat="false" ht="15" hidden="false" customHeight="false" outlineLevel="0" collapsed="false">
      <c r="A427" s="10"/>
      <c r="B427" s="12"/>
      <c r="C427" s="10"/>
      <c r="D427" s="14" t="str">
        <f aca="false">IFERROR(IF(C427="","",INDEX(Customers!$B$5:$B$504,MATCH(C427,Customers!$A$5:$A$504,0))),"")</f>
        <v/>
      </c>
      <c r="E427" s="10" t="s">
        <v>24</v>
      </c>
      <c r="F427" s="12"/>
      <c r="G427" s="12"/>
      <c r="H427" s="10"/>
      <c r="I427" s="10"/>
      <c r="J427" s="9" t="n">
        <f aca="false">IFERROR(SUMIFS(SalesOrderLines!$I$5:$I$504,SalesOrderLines!$B$5:$B$504,A427),"")</f>
        <v>0</v>
      </c>
      <c r="K427" s="9" t="n">
        <f aca="false">IFERROR(SUMIFS(SalesOrderLines!$J$5:$J$504,SalesOrderLines!$B$5:$B$504,A427),"")</f>
        <v>0</v>
      </c>
      <c r="L427" s="9" t="n">
        <f aca="false">IFERROR(J427+K427,"")</f>
        <v>0</v>
      </c>
      <c r="M427" s="9" t="n">
        <f aca="false">IFERROR(SUMIFS(Payments!$E$5:$E$504,Payments!$D$5:$D$504,A427,Payments!$C$5:$C$504,"In"),"")</f>
        <v>0</v>
      </c>
      <c r="N427" s="9" t="n">
        <f aca="false">IFERROR(L427-M427,"")</f>
        <v>0</v>
      </c>
    </row>
    <row r="428" customFormat="false" ht="15" hidden="false" customHeight="false" outlineLevel="0" collapsed="false">
      <c r="A428" s="10"/>
      <c r="B428" s="12"/>
      <c r="C428" s="10"/>
      <c r="D428" s="14" t="str">
        <f aca="false">IFERROR(IF(C428="","",INDEX(Customers!$B$5:$B$504,MATCH(C428,Customers!$A$5:$A$504,0))),"")</f>
        <v/>
      </c>
      <c r="E428" s="10" t="s">
        <v>24</v>
      </c>
      <c r="F428" s="12"/>
      <c r="G428" s="12"/>
      <c r="H428" s="10"/>
      <c r="I428" s="10"/>
      <c r="J428" s="9" t="n">
        <f aca="false">IFERROR(SUMIFS(SalesOrderLines!$I$5:$I$504,SalesOrderLines!$B$5:$B$504,A428),"")</f>
        <v>0</v>
      </c>
      <c r="K428" s="9" t="n">
        <f aca="false">IFERROR(SUMIFS(SalesOrderLines!$J$5:$J$504,SalesOrderLines!$B$5:$B$504,A428),"")</f>
        <v>0</v>
      </c>
      <c r="L428" s="9" t="n">
        <f aca="false">IFERROR(J428+K428,"")</f>
        <v>0</v>
      </c>
      <c r="M428" s="9" t="n">
        <f aca="false">IFERROR(SUMIFS(Payments!$E$5:$E$504,Payments!$D$5:$D$504,A428,Payments!$C$5:$C$504,"In"),"")</f>
        <v>0</v>
      </c>
      <c r="N428" s="9" t="n">
        <f aca="false">IFERROR(L428-M428,"")</f>
        <v>0</v>
      </c>
    </row>
    <row r="429" customFormat="false" ht="15" hidden="false" customHeight="false" outlineLevel="0" collapsed="false">
      <c r="A429" s="10"/>
      <c r="B429" s="12"/>
      <c r="C429" s="10"/>
      <c r="D429" s="14" t="str">
        <f aca="false">IFERROR(IF(C429="","",INDEX(Customers!$B$5:$B$504,MATCH(C429,Customers!$A$5:$A$504,0))),"")</f>
        <v/>
      </c>
      <c r="E429" s="10" t="s">
        <v>24</v>
      </c>
      <c r="F429" s="12"/>
      <c r="G429" s="12"/>
      <c r="H429" s="10"/>
      <c r="I429" s="10"/>
      <c r="J429" s="9" t="n">
        <f aca="false">IFERROR(SUMIFS(SalesOrderLines!$I$5:$I$504,SalesOrderLines!$B$5:$B$504,A429),"")</f>
        <v>0</v>
      </c>
      <c r="K429" s="9" t="n">
        <f aca="false">IFERROR(SUMIFS(SalesOrderLines!$J$5:$J$504,SalesOrderLines!$B$5:$B$504,A429),"")</f>
        <v>0</v>
      </c>
      <c r="L429" s="9" t="n">
        <f aca="false">IFERROR(J429+K429,"")</f>
        <v>0</v>
      </c>
      <c r="M429" s="9" t="n">
        <f aca="false">IFERROR(SUMIFS(Payments!$E$5:$E$504,Payments!$D$5:$D$504,A429,Payments!$C$5:$C$504,"In"),"")</f>
        <v>0</v>
      </c>
      <c r="N429" s="9" t="n">
        <f aca="false">IFERROR(L429-M429,"")</f>
        <v>0</v>
      </c>
    </row>
    <row r="430" customFormat="false" ht="15" hidden="false" customHeight="false" outlineLevel="0" collapsed="false">
      <c r="A430" s="10"/>
      <c r="B430" s="12"/>
      <c r="C430" s="10"/>
      <c r="D430" s="14" t="str">
        <f aca="false">IFERROR(IF(C430="","",INDEX(Customers!$B$5:$B$504,MATCH(C430,Customers!$A$5:$A$504,0))),"")</f>
        <v/>
      </c>
      <c r="E430" s="10" t="s">
        <v>24</v>
      </c>
      <c r="F430" s="12"/>
      <c r="G430" s="12"/>
      <c r="H430" s="10"/>
      <c r="I430" s="10"/>
      <c r="J430" s="9" t="n">
        <f aca="false">IFERROR(SUMIFS(SalesOrderLines!$I$5:$I$504,SalesOrderLines!$B$5:$B$504,A430),"")</f>
        <v>0</v>
      </c>
      <c r="K430" s="9" t="n">
        <f aca="false">IFERROR(SUMIFS(SalesOrderLines!$J$5:$J$504,SalesOrderLines!$B$5:$B$504,A430),"")</f>
        <v>0</v>
      </c>
      <c r="L430" s="9" t="n">
        <f aca="false">IFERROR(J430+K430,"")</f>
        <v>0</v>
      </c>
      <c r="M430" s="9" t="n">
        <f aca="false">IFERROR(SUMIFS(Payments!$E$5:$E$504,Payments!$D$5:$D$504,A430,Payments!$C$5:$C$504,"In"),"")</f>
        <v>0</v>
      </c>
      <c r="N430" s="9" t="n">
        <f aca="false">IFERROR(L430-M430,"")</f>
        <v>0</v>
      </c>
    </row>
    <row r="431" customFormat="false" ht="15" hidden="false" customHeight="false" outlineLevel="0" collapsed="false">
      <c r="A431" s="10"/>
      <c r="B431" s="12"/>
      <c r="C431" s="10"/>
      <c r="D431" s="14" t="str">
        <f aca="false">IFERROR(IF(C431="","",INDEX(Customers!$B$5:$B$504,MATCH(C431,Customers!$A$5:$A$504,0))),"")</f>
        <v/>
      </c>
      <c r="E431" s="10" t="s">
        <v>24</v>
      </c>
      <c r="F431" s="12"/>
      <c r="G431" s="12"/>
      <c r="H431" s="10"/>
      <c r="I431" s="10"/>
      <c r="J431" s="9" t="n">
        <f aca="false">IFERROR(SUMIFS(SalesOrderLines!$I$5:$I$504,SalesOrderLines!$B$5:$B$504,A431),"")</f>
        <v>0</v>
      </c>
      <c r="K431" s="9" t="n">
        <f aca="false">IFERROR(SUMIFS(SalesOrderLines!$J$5:$J$504,SalesOrderLines!$B$5:$B$504,A431),"")</f>
        <v>0</v>
      </c>
      <c r="L431" s="9" t="n">
        <f aca="false">IFERROR(J431+K431,"")</f>
        <v>0</v>
      </c>
      <c r="M431" s="9" t="n">
        <f aca="false">IFERROR(SUMIFS(Payments!$E$5:$E$504,Payments!$D$5:$D$504,A431,Payments!$C$5:$C$504,"In"),"")</f>
        <v>0</v>
      </c>
      <c r="N431" s="9" t="n">
        <f aca="false">IFERROR(L431-M431,"")</f>
        <v>0</v>
      </c>
    </row>
    <row r="432" customFormat="false" ht="15" hidden="false" customHeight="false" outlineLevel="0" collapsed="false">
      <c r="A432" s="10"/>
      <c r="B432" s="12"/>
      <c r="C432" s="10"/>
      <c r="D432" s="14" t="str">
        <f aca="false">IFERROR(IF(C432="","",INDEX(Customers!$B$5:$B$504,MATCH(C432,Customers!$A$5:$A$504,0))),"")</f>
        <v/>
      </c>
      <c r="E432" s="10" t="s">
        <v>24</v>
      </c>
      <c r="F432" s="12"/>
      <c r="G432" s="12"/>
      <c r="H432" s="10"/>
      <c r="I432" s="10"/>
      <c r="J432" s="9" t="n">
        <f aca="false">IFERROR(SUMIFS(SalesOrderLines!$I$5:$I$504,SalesOrderLines!$B$5:$B$504,A432),"")</f>
        <v>0</v>
      </c>
      <c r="K432" s="9" t="n">
        <f aca="false">IFERROR(SUMIFS(SalesOrderLines!$J$5:$J$504,SalesOrderLines!$B$5:$B$504,A432),"")</f>
        <v>0</v>
      </c>
      <c r="L432" s="9" t="n">
        <f aca="false">IFERROR(J432+K432,"")</f>
        <v>0</v>
      </c>
      <c r="M432" s="9" t="n">
        <f aca="false">IFERROR(SUMIFS(Payments!$E$5:$E$504,Payments!$D$5:$D$504,A432,Payments!$C$5:$C$504,"In"),"")</f>
        <v>0</v>
      </c>
      <c r="N432" s="9" t="n">
        <f aca="false">IFERROR(L432-M432,"")</f>
        <v>0</v>
      </c>
    </row>
    <row r="433" customFormat="false" ht="15" hidden="false" customHeight="false" outlineLevel="0" collapsed="false">
      <c r="A433" s="10"/>
      <c r="B433" s="12"/>
      <c r="C433" s="10"/>
      <c r="D433" s="14" t="str">
        <f aca="false">IFERROR(IF(C433="","",INDEX(Customers!$B$5:$B$504,MATCH(C433,Customers!$A$5:$A$504,0))),"")</f>
        <v/>
      </c>
      <c r="E433" s="10" t="s">
        <v>24</v>
      </c>
      <c r="F433" s="12"/>
      <c r="G433" s="12"/>
      <c r="H433" s="10"/>
      <c r="I433" s="10"/>
      <c r="J433" s="9" t="n">
        <f aca="false">IFERROR(SUMIFS(SalesOrderLines!$I$5:$I$504,SalesOrderLines!$B$5:$B$504,A433),"")</f>
        <v>0</v>
      </c>
      <c r="K433" s="9" t="n">
        <f aca="false">IFERROR(SUMIFS(SalesOrderLines!$J$5:$J$504,SalesOrderLines!$B$5:$B$504,A433),"")</f>
        <v>0</v>
      </c>
      <c r="L433" s="9" t="n">
        <f aca="false">IFERROR(J433+K433,"")</f>
        <v>0</v>
      </c>
      <c r="M433" s="9" t="n">
        <f aca="false">IFERROR(SUMIFS(Payments!$E$5:$E$504,Payments!$D$5:$D$504,A433,Payments!$C$5:$C$504,"In"),"")</f>
        <v>0</v>
      </c>
      <c r="N433" s="9" t="n">
        <f aca="false">IFERROR(L433-M433,"")</f>
        <v>0</v>
      </c>
    </row>
    <row r="434" customFormat="false" ht="15" hidden="false" customHeight="false" outlineLevel="0" collapsed="false">
      <c r="A434" s="10"/>
      <c r="B434" s="12"/>
      <c r="C434" s="10"/>
      <c r="D434" s="14" t="str">
        <f aca="false">IFERROR(IF(C434="","",INDEX(Customers!$B$5:$B$504,MATCH(C434,Customers!$A$5:$A$504,0))),"")</f>
        <v/>
      </c>
      <c r="E434" s="10" t="s">
        <v>24</v>
      </c>
      <c r="F434" s="12"/>
      <c r="G434" s="12"/>
      <c r="H434" s="10"/>
      <c r="I434" s="10"/>
      <c r="J434" s="9" t="n">
        <f aca="false">IFERROR(SUMIFS(SalesOrderLines!$I$5:$I$504,SalesOrderLines!$B$5:$B$504,A434),"")</f>
        <v>0</v>
      </c>
      <c r="K434" s="9" t="n">
        <f aca="false">IFERROR(SUMIFS(SalesOrderLines!$J$5:$J$504,SalesOrderLines!$B$5:$B$504,A434),"")</f>
        <v>0</v>
      </c>
      <c r="L434" s="9" t="n">
        <f aca="false">IFERROR(J434+K434,"")</f>
        <v>0</v>
      </c>
      <c r="M434" s="9" t="n">
        <f aca="false">IFERROR(SUMIFS(Payments!$E$5:$E$504,Payments!$D$5:$D$504,A434,Payments!$C$5:$C$504,"In"),"")</f>
        <v>0</v>
      </c>
      <c r="N434" s="9" t="n">
        <f aca="false">IFERROR(L434-M434,"")</f>
        <v>0</v>
      </c>
    </row>
    <row r="435" customFormat="false" ht="15" hidden="false" customHeight="false" outlineLevel="0" collapsed="false">
      <c r="A435" s="10"/>
      <c r="B435" s="12"/>
      <c r="C435" s="10"/>
      <c r="D435" s="14" t="str">
        <f aca="false">IFERROR(IF(C435="","",INDEX(Customers!$B$5:$B$504,MATCH(C435,Customers!$A$5:$A$504,0))),"")</f>
        <v/>
      </c>
      <c r="E435" s="10" t="s">
        <v>24</v>
      </c>
      <c r="F435" s="12"/>
      <c r="G435" s="12"/>
      <c r="H435" s="10"/>
      <c r="I435" s="10"/>
      <c r="J435" s="9" t="n">
        <f aca="false">IFERROR(SUMIFS(SalesOrderLines!$I$5:$I$504,SalesOrderLines!$B$5:$B$504,A435),"")</f>
        <v>0</v>
      </c>
      <c r="K435" s="9" t="n">
        <f aca="false">IFERROR(SUMIFS(SalesOrderLines!$J$5:$J$504,SalesOrderLines!$B$5:$B$504,A435),"")</f>
        <v>0</v>
      </c>
      <c r="L435" s="9" t="n">
        <f aca="false">IFERROR(J435+K435,"")</f>
        <v>0</v>
      </c>
      <c r="M435" s="9" t="n">
        <f aca="false">IFERROR(SUMIFS(Payments!$E$5:$E$504,Payments!$D$5:$D$504,A435,Payments!$C$5:$C$504,"In"),"")</f>
        <v>0</v>
      </c>
      <c r="N435" s="9" t="n">
        <f aca="false">IFERROR(L435-M435,"")</f>
        <v>0</v>
      </c>
    </row>
    <row r="436" customFormat="false" ht="15" hidden="false" customHeight="false" outlineLevel="0" collapsed="false">
      <c r="A436" s="10"/>
      <c r="B436" s="12"/>
      <c r="C436" s="10"/>
      <c r="D436" s="14" t="str">
        <f aca="false">IFERROR(IF(C436="","",INDEX(Customers!$B$5:$B$504,MATCH(C436,Customers!$A$5:$A$504,0))),"")</f>
        <v/>
      </c>
      <c r="E436" s="10" t="s">
        <v>24</v>
      </c>
      <c r="F436" s="12"/>
      <c r="G436" s="12"/>
      <c r="H436" s="10"/>
      <c r="I436" s="10"/>
      <c r="J436" s="9" t="n">
        <f aca="false">IFERROR(SUMIFS(SalesOrderLines!$I$5:$I$504,SalesOrderLines!$B$5:$B$504,A436),"")</f>
        <v>0</v>
      </c>
      <c r="K436" s="9" t="n">
        <f aca="false">IFERROR(SUMIFS(SalesOrderLines!$J$5:$J$504,SalesOrderLines!$B$5:$B$504,A436),"")</f>
        <v>0</v>
      </c>
      <c r="L436" s="9" t="n">
        <f aca="false">IFERROR(J436+K436,"")</f>
        <v>0</v>
      </c>
      <c r="M436" s="9" t="n">
        <f aca="false">IFERROR(SUMIFS(Payments!$E$5:$E$504,Payments!$D$5:$D$504,A436,Payments!$C$5:$C$504,"In"),"")</f>
        <v>0</v>
      </c>
      <c r="N436" s="9" t="n">
        <f aca="false">IFERROR(L436-M436,"")</f>
        <v>0</v>
      </c>
    </row>
    <row r="437" customFormat="false" ht="15" hidden="false" customHeight="false" outlineLevel="0" collapsed="false">
      <c r="A437" s="10"/>
      <c r="B437" s="12"/>
      <c r="C437" s="10"/>
      <c r="D437" s="14" t="str">
        <f aca="false">IFERROR(IF(C437="","",INDEX(Customers!$B$5:$B$504,MATCH(C437,Customers!$A$5:$A$504,0))),"")</f>
        <v/>
      </c>
      <c r="E437" s="10" t="s">
        <v>24</v>
      </c>
      <c r="F437" s="12"/>
      <c r="G437" s="12"/>
      <c r="H437" s="10"/>
      <c r="I437" s="10"/>
      <c r="J437" s="9" t="n">
        <f aca="false">IFERROR(SUMIFS(SalesOrderLines!$I$5:$I$504,SalesOrderLines!$B$5:$B$504,A437),"")</f>
        <v>0</v>
      </c>
      <c r="K437" s="9" t="n">
        <f aca="false">IFERROR(SUMIFS(SalesOrderLines!$J$5:$J$504,SalesOrderLines!$B$5:$B$504,A437),"")</f>
        <v>0</v>
      </c>
      <c r="L437" s="9" t="n">
        <f aca="false">IFERROR(J437+K437,"")</f>
        <v>0</v>
      </c>
      <c r="M437" s="9" t="n">
        <f aca="false">IFERROR(SUMIFS(Payments!$E$5:$E$504,Payments!$D$5:$D$504,A437,Payments!$C$5:$C$504,"In"),"")</f>
        <v>0</v>
      </c>
      <c r="N437" s="9" t="n">
        <f aca="false">IFERROR(L437-M437,"")</f>
        <v>0</v>
      </c>
    </row>
    <row r="438" customFormat="false" ht="15" hidden="false" customHeight="false" outlineLevel="0" collapsed="false">
      <c r="A438" s="10"/>
      <c r="B438" s="12"/>
      <c r="C438" s="10"/>
      <c r="D438" s="14" t="str">
        <f aca="false">IFERROR(IF(C438="","",INDEX(Customers!$B$5:$B$504,MATCH(C438,Customers!$A$5:$A$504,0))),"")</f>
        <v/>
      </c>
      <c r="E438" s="10" t="s">
        <v>24</v>
      </c>
      <c r="F438" s="12"/>
      <c r="G438" s="12"/>
      <c r="H438" s="10"/>
      <c r="I438" s="10"/>
      <c r="J438" s="9" t="n">
        <f aca="false">IFERROR(SUMIFS(SalesOrderLines!$I$5:$I$504,SalesOrderLines!$B$5:$B$504,A438),"")</f>
        <v>0</v>
      </c>
      <c r="K438" s="9" t="n">
        <f aca="false">IFERROR(SUMIFS(SalesOrderLines!$J$5:$J$504,SalesOrderLines!$B$5:$B$504,A438),"")</f>
        <v>0</v>
      </c>
      <c r="L438" s="9" t="n">
        <f aca="false">IFERROR(J438+K438,"")</f>
        <v>0</v>
      </c>
      <c r="M438" s="9" t="n">
        <f aca="false">IFERROR(SUMIFS(Payments!$E$5:$E$504,Payments!$D$5:$D$504,A438,Payments!$C$5:$C$504,"In"),"")</f>
        <v>0</v>
      </c>
      <c r="N438" s="9" t="n">
        <f aca="false">IFERROR(L438-M438,"")</f>
        <v>0</v>
      </c>
    </row>
    <row r="439" customFormat="false" ht="15" hidden="false" customHeight="false" outlineLevel="0" collapsed="false">
      <c r="A439" s="10"/>
      <c r="B439" s="12"/>
      <c r="C439" s="10"/>
      <c r="D439" s="14" t="str">
        <f aca="false">IFERROR(IF(C439="","",INDEX(Customers!$B$5:$B$504,MATCH(C439,Customers!$A$5:$A$504,0))),"")</f>
        <v/>
      </c>
      <c r="E439" s="10" t="s">
        <v>24</v>
      </c>
      <c r="F439" s="12"/>
      <c r="G439" s="12"/>
      <c r="H439" s="10"/>
      <c r="I439" s="10"/>
      <c r="J439" s="9" t="n">
        <f aca="false">IFERROR(SUMIFS(SalesOrderLines!$I$5:$I$504,SalesOrderLines!$B$5:$B$504,A439),"")</f>
        <v>0</v>
      </c>
      <c r="K439" s="9" t="n">
        <f aca="false">IFERROR(SUMIFS(SalesOrderLines!$J$5:$J$504,SalesOrderLines!$B$5:$B$504,A439),"")</f>
        <v>0</v>
      </c>
      <c r="L439" s="9" t="n">
        <f aca="false">IFERROR(J439+K439,"")</f>
        <v>0</v>
      </c>
      <c r="M439" s="9" t="n">
        <f aca="false">IFERROR(SUMIFS(Payments!$E$5:$E$504,Payments!$D$5:$D$504,A439,Payments!$C$5:$C$504,"In"),"")</f>
        <v>0</v>
      </c>
      <c r="N439" s="9" t="n">
        <f aca="false">IFERROR(L439-M439,"")</f>
        <v>0</v>
      </c>
    </row>
    <row r="440" customFormat="false" ht="15" hidden="false" customHeight="false" outlineLevel="0" collapsed="false">
      <c r="A440" s="10"/>
      <c r="B440" s="12"/>
      <c r="C440" s="10"/>
      <c r="D440" s="14" t="str">
        <f aca="false">IFERROR(IF(C440="","",INDEX(Customers!$B$5:$B$504,MATCH(C440,Customers!$A$5:$A$504,0))),"")</f>
        <v/>
      </c>
      <c r="E440" s="10" t="s">
        <v>24</v>
      </c>
      <c r="F440" s="12"/>
      <c r="G440" s="12"/>
      <c r="H440" s="10"/>
      <c r="I440" s="10"/>
      <c r="J440" s="9" t="n">
        <f aca="false">IFERROR(SUMIFS(SalesOrderLines!$I$5:$I$504,SalesOrderLines!$B$5:$B$504,A440),"")</f>
        <v>0</v>
      </c>
      <c r="K440" s="9" t="n">
        <f aca="false">IFERROR(SUMIFS(SalesOrderLines!$J$5:$J$504,SalesOrderLines!$B$5:$B$504,A440),"")</f>
        <v>0</v>
      </c>
      <c r="L440" s="9" t="n">
        <f aca="false">IFERROR(J440+K440,"")</f>
        <v>0</v>
      </c>
      <c r="M440" s="9" t="n">
        <f aca="false">IFERROR(SUMIFS(Payments!$E$5:$E$504,Payments!$D$5:$D$504,A440,Payments!$C$5:$C$504,"In"),"")</f>
        <v>0</v>
      </c>
      <c r="N440" s="9" t="n">
        <f aca="false">IFERROR(L440-M440,"")</f>
        <v>0</v>
      </c>
    </row>
    <row r="441" customFormat="false" ht="15" hidden="false" customHeight="false" outlineLevel="0" collapsed="false">
      <c r="A441" s="10"/>
      <c r="B441" s="12"/>
      <c r="C441" s="10"/>
      <c r="D441" s="14" t="str">
        <f aca="false">IFERROR(IF(C441="","",INDEX(Customers!$B$5:$B$504,MATCH(C441,Customers!$A$5:$A$504,0))),"")</f>
        <v/>
      </c>
      <c r="E441" s="10" t="s">
        <v>24</v>
      </c>
      <c r="F441" s="12"/>
      <c r="G441" s="12"/>
      <c r="H441" s="10"/>
      <c r="I441" s="10"/>
      <c r="J441" s="9" t="n">
        <f aca="false">IFERROR(SUMIFS(SalesOrderLines!$I$5:$I$504,SalesOrderLines!$B$5:$B$504,A441),"")</f>
        <v>0</v>
      </c>
      <c r="K441" s="9" t="n">
        <f aca="false">IFERROR(SUMIFS(SalesOrderLines!$J$5:$J$504,SalesOrderLines!$B$5:$B$504,A441),"")</f>
        <v>0</v>
      </c>
      <c r="L441" s="9" t="n">
        <f aca="false">IFERROR(J441+K441,"")</f>
        <v>0</v>
      </c>
      <c r="M441" s="9" t="n">
        <f aca="false">IFERROR(SUMIFS(Payments!$E$5:$E$504,Payments!$D$5:$D$504,A441,Payments!$C$5:$C$504,"In"),"")</f>
        <v>0</v>
      </c>
      <c r="N441" s="9" t="n">
        <f aca="false">IFERROR(L441-M441,"")</f>
        <v>0</v>
      </c>
    </row>
    <row r="442" customFormat="false" ht="15" hidden="false" customHeight="false" outlineLevel="0" collapsed="false">
      <c r="A442" s="10"/>
      <c r="B442" s="12"/>
      <c r="C442" s="10"/>
      <c r="D442" s="14" t="str">
        <f aca="false">IFERROR(IF(C442="","",INDEX(Customers!$B$5:$B$504,MATCH(C442,Customers!$A$5:$A$504,0))),"")</f>
        <v/>
      </c>
      <c r="E442" s="10" t="s">
        <v>24</v>
      </c>
      <c r="F442" s="12"/>
      <c r="G442" s="12"/>
      <c r="H442" s="10"/>
      <c r="I442" s="10"/>
      <c r="J442" s="9" t="n">
        <f aca="false">IFERROR(SUMIFS(SalesOrderLines!$I$5:$I$504,SalesOrderLines!$B$5:$B$504,A442),"")</f>
        <v>0</v>
      </c>
      <c r="K442" s="9" t="n">
        <f aca="false">IFERROR(SUMIFS(SalesOrderLines!$J$5:$J$504,SalesOrderLines!$B$5:$B$504,A442),"")</f>
        <v>0</v>
      </c>
      <c r="L442" s="9" t="n">
        <f aca="false">IFERROR(J442+K442,"")</f>
        <v>0</v>
      </c>
      <c r="M442" s="9" t="n">
        <f aca="false">IFERROR(SUMIFS(Payments!$E$5:$E$504,Payments!$D$5:$D$504,A442,Payments!$C$5:$C$504,"In"),"")</f>
        <v>0</v>
      </c>
      <c r="N442" s="9" t="n">
        <f aca="false">IFERROR(L442-M442,"")</f>
        <v>0</v>
      </c>
    </row>
    <row r="443" customFormat="false" ht="15" hidden="false" customHeight="false" outlineLevel="0" collapsed="false">
      <c r="A443" s="10"/>
      <c r="B443" s="12"/>
      <c r="C443" s="10"/>
      <c r="D443" s="14" t="str">
        <f aca="false">IFERROR(IF(C443="","",INDEX(Customers!$B$5:$B$504,MATCH(C443,Customers!$A$5:$A$504,0))),"")</f>
        <v/>
      </c>
      <c r="E443" s="10" t="s">
        <v>24</v>
      </c>
      <c r="F443" s="12"/>
      <c r="G443" s="12"/>
      <c r="H443" s="10"/>
      <c r="I443" s="10"/>
      <c r="J443" s="9" t="n">
        <f aca="false">IFERROR(SUMIFS(SalesOrderLines!$I$5:$I$504,SalesOrderLines!$B$5:$B$504,A443),"")</f>
        <v>0</v>
      </c>
      <c r="K443" s="9" t="n">
        <f aca="false">IFERROR(SUMIFS(SalesOrderLines!$J$5:$J$504,SalesOrderLines!$B$5:$B$504,A443),"")</f>
        <v>0</v>
      </c>
      <c r="L443" s="9" t="n">
        <f aca="false">IFERROR(J443+K443,"")</f>
        <v>0</v>
      </c>
      <c r="M443" s="9" t="n">
        <f aca="false">IFERROR(SUMIFS(Payments!$E$5:$E$504,Payments!$D$5:$D$504,A443,Payments!$C$5:$C$504,"In"),"")</f>
        <v>0</v>
      </c>
      <c r="N443" s="9" t="n">
        <f aca="false">IFERROR(L443-M443,"")</f>
        <v>0</v>
      </c>
    </row>
    <row r="444" customFormat="false" ht="15" hidden="false" customHeight="false" outlineLevel="0" collapsed="false">
      <c r="A444" s="10"/>
      <c r="B444" s="12"/>
      <c r="C444" s="10"/>
      <c r="D444" s="14" t="str">
        <f aca="false">IFERROR(IF(C444="","",INDEX(Customers!$B$5:$B$504,MATCH(C444,Customers!$A$5:$A$504,0))),"")</f>
        <v/>
      </c>
      <c r="E444" s="10" t="s">
        <v>24</v>
      </c>
      <c r="F444" s="12"/>
      <c r="G444" s="12"/>
      <c r="H444" s="10"/>
      <c r="I444" s="10"/>
      <c r="J444" s="9" t="n">
        <f aca="false">IFERROR(SUMIFS(SalesOrderLines!$I$5:$I$504,SalesOrderLines!$B$5:$B$504,A444),"")</f>
        <v>0</v>
      </c>
      <c r="K444" s="9" t="n">
        <f aca="false">IFERROR(SUMIFS(SalesOrderLines!$J$5:$J$504,SalesOrderLines!$B$5:$B$504,A444),"")</f>
        <v>0</v>
      </c>
      <c r="L444" s="9" t="n">
        <f aca="false">IFERROR(J444+K444,"")</f>
        <v>0</v>
      </c>
      <c r="M444" s="9" t="n">
        <f aca="false">IFERROR(SUMIFS(Payments!$E$5:$E$504,Payments!$D$5:$D$504,A444,Payments!$C$5:$C$504,"In"),"")</f>
        <v>0</v>
      </c>
      <c r="N444" s="9" t="n">
        <f aca="false">IFERROR(L444-M444,"")</f>
        <v>0</v>
      </c>
    </row>
    <row r="445" customFormat="false" ht="15" hidden="false" customHeight="false" outlineLevel="0" collapsed="false">
      <c r="A445" s="10"/>
      <c r="B445" s="12"/>
      <c r="C445" s="10"/>
      <c r="D445" s="14" t="str">
        <f aca="false">IFERROR(IF(C445="","",INDEX(Customers!$B$5:$B$504,MATCH(C445,Customers!$A$5:$A$504,0))),"")</f>
        <v/>
      </c>
      <c r="E445" s="10" t="s">
        <v>24</v>
      </c>
      <c r="F445" s="12"/>
      <c r="G445" s="12"/>
      <c r="H445" s="10"/>
      <c r="I445" s="10"/>
      <c r="J445" s="9" t="n">
        <f aca="false">IFERROR(SUMIFS(SalesOrderLines!$I$5:$I$504,SalesOrderLines!$B$5:$B$504,A445),"")</f>
        <v>0</v>
      </c>
      <c r="K445" s="9" t="n">
        <f aca="false">IFERROR(SUMIFS(SalesOrderLines!$J$5:$J$504,SalesOrderLines!$B$5:$B$504,A445),"")</f>
        <v>0</v>
      </c>
      <c r="L445" s="9" t="n">
        <f aca="false">IFERROR(J445+K445,"")</f>
        <v>0</v>
      </c>
      <c r="M445" s="9" t="n">
        <f aca="false">IFERROR(SUMIFS(Payments!$E$5:$E$504,Payments!$D$5:$D$504,A445,Payments!$C$5:$C$504,"In"),"")</f>
        <v>0</v>
      </c>
      <c r="N445" s="9" t="n">
        <f aca="false">IFERROR(L445-M445,"")</f>
        <v>0</v>
      </c>
    </row>
    <row r="446" customFormat="false" ht="15" hidden="false" customHeight="false" outlineLevel="0" collapsed="false">
      <c r="A446" s="10"/>
      <c r="B446" s="12"/>
      <c r="C446" s="10"/>
      <c r="D446" s="14" t="str">
        <f aca="false">IFERROR(IF(C446="","",INDEX(Customers!$B$5:$B$504,MATCH(C446,Customers!$A$5:$A$504,0))),"")</f>
        <v/>
      </c>
      <c r="E446" s="10" t="s">
        <v>24</v>
      </c>
      <c r="F446" s="12"/>
      <c r="G446" s="12"/>
      <c r="H446" s="10"/>
      <c r="I446" s="10"/>
      <c r="J446" s="9" t="n">
        <f aca="false">IFERROR(SUMIFS(SalesOrderLines!$I$5:$I$504,SalesOrderLines!$B$5:$B$504,A446),"")</f>
        <v>0</v>
      </c>
      <c r="K446" s="9" t="n">
        <f aca="false">IFERROR(SUMIFS(SalesOrderLines!$J$5:$J$504,SalesOrderLines!$B$5:$B$504,A446),"")</f>
        <v>0</v>
      </c>
      <c r="L446" s="9" t="n">
        <f aca="false">IFERROR(J446+K446,"")</f>
        <v>0</v>
      </c>
      <c r="M446" s="9" t="n">
        <f aca="false">IFERROR(SUMIFS(Payments!$E$5:$E$504,Payments!$D$5:$D$504,A446,Payments!$C$5:$C$504,"In"),"")</f>
        <v>0</v>
      </c>
      <c r="N446" s="9" t="n">
        <f aca="false">IFERROR(L446-M446,"")</f>
        <v>0</v>
      </c>
    </row>
    <row r="447" customFormat="false" ht="15" hidden="false" customHeight="false" outlineLevel="0" collapsed="false">
      <c r="A447" s="10"/>
      <c r="B447" s="12"/>
      <c r="C447" s="10"/>
      <c r="D447" s="14" t="str">
        <f aca="false">IFERROR(IF(C447="","",INDEX(Customers!$B$5:$B$504,MATCH(C447,Customers!$A$5:$A$504,0))),"")</f>
        <v/>
      </c>
      <c r="E447" s="10" t="s">
        <v>24</v>
      </c>
      <c r="F447" s="12"/>
      <c r="G447" s="12"/>
      <c r="H447" s="10"/>
      <c r="I447" s="10"/>
      <c r="J447" s="9" t="n">
        <f aca="false">IFERROR(SUMIFS(SalesOrderLines!$I$5:$I$504,SalesOrderLines!$B$5:$B$504,A447),"")</f>
        <v>0</v>
      </c>
      <c r="K447" s="9" t="n">
        <f aca="false">IFERROR(SUMIFS(SalesOrderLines!$J$5:$J$504,SalesOrderLines!$B$5:$B$504,A447),"")</f>
        <v>0</v>
      </c>
      <c r="L447" s="9" t="n">
        <f aca="false">IFERROR(J447+K447,"")</f>
        <v>0</v>
      </c>
      <c r="M447" s="9" t="n">
        <f aca="false">IFERROR(SUMIFS(Payments!$E$5:$E$504,Payments!$D$5:$D$504,A447,Payments!$C$5:$C$504,"In"),"")</f>
        <v>0</v>
      </c>
      <c r="N447" s="9" t="n">
        <f aca="false">IFERROR(L447-M447,"")</f>
        <v>0</v>
      </c>
    </row>
    <row r="448" customFormat="false" ht="15" hidden="false" customHeight="false" outlineLevel="0" collapsed="false">
      <c r="A448" s="10"/>
      <c r="B448" s="12"/>
      <c r="C448" s="10"/>
      <c r="D448" s="14" t="str">
        <f aca="false">IFERROR(IF(C448="","",INDEX(Customers!$B$5:$B$504,MATCH(C448,Customers!$A$5:$A$504,0))),"")</f>
        <v/>
      </c>
      <c r="E448" s="10" t="s">
        <v>24</v>
      </c>
      <c r="F448" s="12"/>
      <c r="G448" s="12"/>
      <c r="H448" s="10"/>
      <c r="I448" s="10"/>
      <c r="J448" s="9" t="n">
        <f aca="false">IFERROR(SUMIFS(SalesOrderLines!$I$5:$I$504,SalesOrderLines!$B$5:$B$504,A448),"")</f>
        <v>0</v>
      </c>
      <c r="K448" s="9" t="n">
        <f aca="false">IFERROR(SUMIFS(SalesOrderLines!$J$5:$J$504,SalesOrderLines!$B$5:$B$504,A448),"")</f>
        <v>0</v>
      </c>
      <c r="L448" s="9" t="n">
        <f aca="false">IFERROR(J448+K448,"")</f>
        <v>0</v>
      </c>
      <c r="M448" s="9" t="n">
        <f aca="false">IFERROR(SUMIFS(Payments!$E$5:$E$504,Payments!$D$5:$D$504,A448,Payments!$C$5:$C$504,"In"),"")</f>
        <v>0</v>
      </c>
      <c r="N448" s="9" t="n">
        <f aca="false">IFERROR(L448-M448,"")</f>
        <v>0</v>
      </c>
    </row>
    <row r="449" customFormat="false" ht="15" hidden="false" customHeight="false" outlineLevel="0" collapsed="false">
      <c r="A449" s="10"/>
      <c r="B449" s="12"/>
      <c r="C449" s="10"/>
      <c r="D449" s="14" t="str">
        <f aca="false">IFERROR(IF(C449="","",INDEX(Customers!$B$5:$B$504,MATCH(C449,Customers!$A$5:$A$504,0))),"")</f>
        <v/>
      </c>
      <c r="E449" s="10" t="s">
        <v>24</v>
      </c>
      <c r="F449" s="12"/>
      <c r="G449" s="12"/>
      <c r="H449" s="10"/>
      <c r="I449" s="10"/>
      <c r="J449" s="9" t="n">
        <f aca="false">IFERROR(SUMIFS(SalesOrderLines!$I$5:$I$504,SalesOrderLines!$B$5:$B$504,A449),"")</f>
        <v>0</v>
      </c>
      <c r="K449" s="9" t="n">
        <f aca="false">IFERROR(SUMIFS(SalesOrderLines!$J$5:$J$504,SalesOrderLines!$B$5:$B$504,A449),"")</f>
        <v>0</v>
      </c>
      <c r="L449" s="9" t="n">
        <f aca="false">IFERROR(J449+K449,"")</f>
        <v>0</v>
      </c>
      <c r="M449" s="9" t="n">
        <f aca="false">IFERROR(SUMIFS(Payments!$E$5:$E$504,Payments!$D$5:$D$504,A449,Payments!$C$5:$C$504,"In"),"")</f>
        <v>0</v>
      </c>
      <c r="N449" s="9" t="n">
        <f aca="false">IFERROR(L449-M449,"")</f>
        <v>0</v>
      </c>
    </row>
    <row r="450" customFormat="false" ht="15" hidden="false" customHeight="false" outlineLevel="0" collapsed="false">
      <c r="A450" s="10"/>
      <c r="B450" s="12"/>
      <c r="C450" s="10"/>
      <c r="D450" s="14" t="str">
        <f aca="false">IFERROR(IF(C450="","",INDEX(Customers!$B$5:$B$504,MATCH(C450,Customers!$A$5:$A$504,0))),"")</f>
        <v/>
      </c>
      <c r="E450" s="10" t="s">
        <v>24</v>
      </c>
      <c r="F450" s="12"/>
      <c r="G450" s="12"/>
      <c r="H450" s="10"/>
      <c r="I450" s="10"/>
      <c r="J450" s="9" t="n">
        <f aca="false">IFERROR(SUMIFS(SalesOrderLines!$I$5:$I$504,SalesOrderLines!$B$5:$B$504,A450),"")</f>
        <v>0</v>
      </c>
      <c r="K450" s="9" t="n">
        <f aca="false">IFERROR(SUMIFS(SalesOrderLines!$J$5:$J$504,SalesOrderLines!$B$5:$B$504,A450),"")</f>
        <v>0</v>
      </c>
      <c r="L450" s="9" t="n">
        <f aca="false">IFERROR(J450+K450,"")</f>
        <v>0</v>
      </c>
      <c r="M450" s="9" t="n">
        <f aca="false">IFERROR(SUMIFS(Payments!$E$5:$E$504,Payments!$D$5:$D$504,A450,Payments!$C$5:$C$504,"In"),"")</f>
        <v>0</v>
      </c>
      <c r="N450" s="9" t="n">
        <f aca="false">IFERROR(L450-M450,"")</f>
        <v>0</v>
      </c>
    </row>
    <row r="451" customFormat="false" ht="15" hidden="false" customHeight="false" outlineLevel="0" collapsed="false">
      <c r="A451" s="10"/>
      <c r="B451" s="12"/>
      <c r="C451" s="10"/>
      <c r="D451" s="14" t="str">
        <f aca="false">IFERROR(IF(C451="","",INDEX(Customers!$B$5:$B$504,MATCH(C451,Customers!$A$5:$A$504,0))),"")</f>
        <v/>
      </c>
      <c r="E451" s="10" t="s">
        <v>24</v>
      </c>
      <c r="F451" s="12"/>
      <c r="G451" s="12"/>
      <c r="H451" s="10"/>
      <c r="I451" s="10"/>
      <c r="J451" s="9" t="n">
        <f aca="false">IFERROR(SUMIFS(SalesOrderLines!$I$5:$I$504,SalesOrderLines!$B$5:$B$504,A451),"")</f>
        <v>0</v>
      </c>
      <c r="K451" s="9" t="n">
        <f aca="false">IFERROR(SUMIFS(SalesOrderLines!$J$5:$J$504,SalesOrderLines!$B$5:$B$504,A451),"")</f>
        <v>0</v>
      </c>
      <c r="L451" s="9" t="n">
        <f aca="false">IFERROR(J451+K451,"")</f>
        <v>0</v>
      </c>
      <c r="M451" s="9" t="n">
        <f aca="false">IFERROR(SUMIFS(Payments!$E$5:$E$504,Payments!$D$5:$D$504,A451,Payments!$C$5:$C$504,"In"),"")</f>
        <v>0</v>
      </c>
      <c r="N451" s="9" t="n">
        <f aca="false">IFERROR(L451-M451,"")</f>
        <v>0</v>
      </c>
    </row>
    <row r="452" customFormat="false" ht="15" hidden="false" customHeight="false" outlineLevel="0" collapsed="false">
      <c r="A452" s="10"/>
      <c r="B452" s="12"/>
      <c r="C452" s="10"/>
      <c r="D452" s="14" t="str">
        <f aca="false">IFERROR(IF(C452="","",INDEX(Customers!$B$5:$B$504,MATCH(C452,Customers!$A$5:$A$504,0))),"")</f>
        <v/>
      </c>
      <c r="E452" s="10" t="s">
        <v>24</v>
      </c>
      <c r="F452" s="12"/>
      <c r="G452" s="12"/>
      <c r="H452" s="10"/>
      <c r="I452" s="10"/>
      <c r="J452" s="9" t="n">
        <f aca="false">IFERROR(SUMIFS(SalesOrderLines!$I$5:$I$504,SalesOrderLines!$B$5:$B$504,A452),"")</f>
        <v>0</v>
      </c>
      <c r="K452" s="9" t="n">
        <f aca="false">IFERROR(SUMIFS(SalesOrderLines!$J$5:$J$504,SalesOrderLines!$B$5:$B$504,A452),"")</f>
        <v>0</v>
      </c>
      <c r="L452" s="9" t="n">
        <f aca="false">IFERROR(J452+K452,"")</f>
        <v>0</v>
      </c>
      <c r="M452" s="9" t="n">
        <f aca="false">IFERROR(SUMIFS(Payments!$E$5:$E$504,Payments!$D$5:$D$504,A452,Payments!$C$5:$C$504,"In"),"")</f>
        <v>0</v>
      </c>
      <c r="N452" s="9" t="n">
        <f aca="false">IFERROR(L452-M452,"")</f>
        <v>0</v>
      </c>
    </row>
    <row r="453" customFormat="false" ht="15" hidden="false" customHeight="false" outlineLevel="0" collapsed="false">
      <c r="A453" s="10"/>
      <c r="B453" s="12"/>
      <c r="C453" s="10"/>
      <c r="D453" s="14" t="str">
        <f aca="false">IFERROR(IF(C453="","",INDEX(Customers!$B$5:$B$504,MATCH(C453,Customers!$A$5:$A$504,0))),"")</f>
        <v/>
      </c>
      <c r="E453" s="10" t="s">
        <v>24</v>
      </c>
      <c r="F453" s="12"/>
      <c r="G453" s="12"/>
      <c r="H453" s="10"/>
      <c r="I453" s="10"/>
      <c r="J453" s="9" t="n">
        <f aca="false">IFERROR(SUMIFS(SalesOrderLines!$I$5:$I$504,SalesOrderLines!$B$5:$B$504,A453),"")</f>
        <v>0</v>
      </c>
      <c r="K453" s="9" t="n">
        <f aca="false">IFERROR(SUMIFS(SalesOrderLines!$J$5:$J$504,SalesOrderLines!$B$5:$B$504,A453),"")</f>
        <v>0</v>
      </c>
      <c r="L453" s="9" t="n">
        <f aca="false">IFERROR(J453+K453,"")</f>
        <v>0</v>
      </c>
      <c r="M453" s="9" t="n">
        <f aca="false">IFERROR(SUMIFS(Payments!$E$5:$E$504,Payments!$D$5:$D$504,A453,Payments!$C$5:$C$504,"In"),"")</f>
        <v>0</v>
      </c>
      <c r="N453" s="9" t="n">
        <f aca="false">IFERROR(L453-M453,"")</f>
        <v>0</v>
      </c>
    </row>
    <row r="454" customFormat="false" ht="15" hidden="false" customHeight="false" outlineLevel="0" collapsed="false">
      <c r="A454" s="10"/>
      <c r="B454" s="12"/>
      <c r="C454" s="10"/>
      <c r="D454" s="14" t="str">
        <f aca="false">IFERROR(IF(C454="","",INDEX(Customers!$B$5:$B$504,MATCH(C454,Customers!$A$5:$A$504,0))),"")</f>
        <v/>
      </c>
      <c r="E454" s="10" t="s">
        <v>24</v>
      </c>
      <c r="F454" s="12"/>
      <c r="G454" s="12"/>
      <c r="H454" s="10"/>
      <c r="I454" s="10"/>
      <c r="J454" s="9" t="n">
        <f aca="false">IFERROR(SUMIFS(SalesOrderLines!$I$5:$I$504,SalesOrderLines!$B$5:$B$504,A454),"")</f>
        <v>0</v>
      </c>
      <c r="K454" s="9" t="n">
        <f aca="false">IFERROR(SUMIFS(SalesOrderLines!$J$5:$J$504,SalesOrderLines!$B$5:$B$504,A454),"")</f>
        <v>0</v>
      </c>
      <c r="L454" s="9" t="n">
        <f aca="false">IFERROR(J454+K454,"")</f>
        <v>0</v>
      </c>
      <c r="M454" s="9" t="n">
        <f aca="false">IFERROR(SUMIFS(Payments!$E$5:$E$504,Payments!$D$5:$D$504,A454,Payments!$C$5:$C$504,"In"),"")</f>
        <v>0</v>
      </c>
      <c r="N454" s="9" t="n">
        <f aca="false">IFERROR(L454-M454,"")</f>
        <v>0</v>
      </c>
    </row>
    <row r="455" customFormat="false" ht="15" hidden="false" customHeight="false" outlineLevel="0" collapsed="false">
      <c r="A455" s="10"/>
      <c r="B455" s="12"/>
      <c r="C455" s="10"/>
      <c r="D455" s="14" t="str">
        <f aca="false">IFERROR(IF(C455="","",INDEX(Customers!$B$5:$B$504,MATCH(C455,Customers!$A$5:$A$504,0))),"")</f>
        <v/>
      </c>
      <c r="E455" s="10" t="s">
        <v>24</v>
      </c>
      <c r="F455" s="12"/>
      <c r="G455" s="12"/>
      <c r="H455" s="10"/>
      <c r="I455" s="10"/>
      <c r="J455" s="9" t="n">
        <f aca="false">IFERROR(SUMIFS(SalesOrderLines!$I$5:$I$504,SalesOrderLines!$B$5:$B$504,A455),"")</f>
        <v>0</v>
      </c>
      <c r="K455" s="9" t="n">
        <f aca="false">IFERROR(SUMIFS(SalesOrderLines!$J$5:$J$504,SalesOrderLines!$B$5:$B$504,A455),"")</f>
        <v>0</v>
      </c>
      <c r="L455" s="9" t="n">
        <f aca="false">IFERROR(J455+K455,"")</f>
        <v>0</v>
      </c>
      <c r="M455" s="9" t="n">
        <f aca="false">IFERROR(SUMIFS(Payments!$E$5:$E$504,Payments!$D$5:$D$504,A455,Payments!$C$5:$C$504,"In"),"")</f>
        <v>0</v>
      </c>
      <c r="N455" s="9" t="n">
        <f aca="false">IFERROR(L455-M455,"")</f>
        <v>0</v>
      </c>
    </row>
    <row r="456" customFormat="false" ht="15" hidden="false" customHeight="false" outlineLevel="0" collapsed="false">
      <c r="A456" s="10"/>
      <c r="B456" s="12"/>
      <c r="C456" s="10"/>
      <c r="D456" s="14" t="str">
        <f aca="false">IFERROR(IF(C456="","",INDEX(Customers!$B$5:$B$504,MATCH(C456,Customers!$A$5:$A$504,0))),"")</f>
        <v/>
      </c>
      <c r="E456" s="10" t="s">
        <v>24</v>
      </c>
      <c r="F456" s="12"/>
      <c r="G456" s="12"/>
      <c r="H456" s="10"/>
      <c r="I456" s="10"/>
      <c r="J456" s="9" t="n">
        <f aca="false">IFERROR(SUMIFS(SalesOrderLines!$I$5:$I$504,SalesOrderLines!$B$5:$B$504,A456),"")</f>
        <v>0</v>
      </c>
      <c r="K456" s="9" t="n">
        <f aca="false">IFERROR(SUMIFS(SalesOrderLines!$J$5:$J$504,SalesOrderLines!$B$5:$B$504,A456),"")</f>
        <v>0</v>
      </c>
      <c r="L456" s="9" t="n">
        <f aca="false">IFERROR(J456+K456,"")</f>
        <v>0</v>
      </c>
      <c r="M456" s="9" t="n">
        <f aca="false">IFERROR(SUMIFS(Payments!$E$5:$E$504,Payments!$D$5:$D$504,A456,Payments!$C$5:$C$504,"In"),"")</f>
        <v>0</v>
      </c>
      <c r="N456" s="9" t="n">
        <f aca="false">IFERROR(L456-M456,"")</f>
        <v>0</v>
      </c>
    </row>
    <row r="457" customFormat="false" ht="15" hidden="false" customHeight="false" outlineLevel="0" collapsed="false">
      <c r="A457" s="10"/>
      <c r="B457" s="12"/>
      <c r="C457" s="10"/>
      <c r="D457" s="14" t="str">
        <f aca="false">IFERROR(IF(C457="","",INDEX(Customers!$B$5:$B$504,MATCH(C457,Customers!$A$5:$A$504,0))),"")</f>
        <v/>
      </c>
      <c r="E457" s="10" t="s">
        <v>24</v>
      </c>
      <c r="F457" s="12"/>
      <c r="G457" s="12"/>
      <c r="H457" s="10"/>
      <c r="I457" s="10"/>
      <c r="J457" s="9" t="n">
        <f aca="false">IFERROR(SUMIFS(SalesOrderLines!$I$5:$I$504,SalesOrderLines!$B$5:$B$504,A457),"")</f>
        <v>0</v>
      </c>
      <c r="K457" s="9" t="n">
        <f aca="false">IFERROR(SUMIFS(SalesOrderLines!$J$5:$J$504,SalesOrderLines!$B$5:$B$504,A457),"")</f>
        <v>0</v>
      </c>
      <c r="L457" s="9" t="n">
        <f aca="false">IFERROR(J457+K457,"")</f>
        <v>0</v>
      </c>
      <c r="M457" s="9" t="n">
        <f aca="false">IFERROR(SUMIFS(Payments!$E$5:$E$504,Payments!$D$5:$D$504,A457,Payments!$C$5:$C$504,"In"),"")</f>
        <v>0</v>
      </c>
      <c r="N457" s="9" t="n">
        <f aca="false">IFERROR(L457-M457,"")</f>
        <v>0</v>
      </c>
    </row>
    <row r="458" customFormat="false" ht="15" hidden="false" customHeight="false" outlineLevel="0" collapsed="false">
      <c r="A458" s="10"/>
      <c r="B458" s="12"/>
      <c r="C458" s="10"/>
      <c r="D458" s="14" t="str">
        <f aca="false">IFERROR(IF(C458="","",INDEX(Customers!$B$5:$B$504,MATCH(C458,Customers!$A$5:$A$504,0))),"")</f>
        <v/>
      </c>
      <c r="E458" s="10" t="s">
        <v>24</v>
      </c>
      <c r="F458" s="12"/>
      <c r="G458" s="12"/>
      <c r="H458" s="10"/>
      <c r="I458" s="10"/>
      <c r="J458" s="9" t="n">
        <f aca="false">IFERROR(SUMIFS(SalesOrderLines!$I$5:$I$504,SalesOrderLines!$B$5:$B$504,A458),"")</f>
        <v>0</v>
      </c>
      <c r="K458" s="9" t="n">
        <f aca="false">IFERROR(SUMIFS(SalesOrderLines!$J$5:$J$504,SalesOrderLines!$B$5:$B$504,A458),"")</f>
        <v>0</v>
      </c>
      <c r="L458" s="9" t="n">
        <f aca="false">IFERROR(J458+K458,"")</f>
        <v>0</v>
      </c>
      <c r="M458" s="9" t="n">
        <f aca="false">IFERROR(SUMIFS(Payments!$E$5:$E$504,Payments!$D$5:$D$504,A458,Payments!$C$5:$C$504,"In"),"")</f>
        <v>0</v>
      </c>
      <c r="N458" s="9" t="n">
        <f aca="false">IFERROR(L458-M458,"")</f>
        <v>0</v>
      </c>
    </row>
    <row r="459" customFormat="false" ht="15" hidden="false" customHeight="false" outlineLevel="0" collapsed="false">
      <c r="A459" s="10"/>
      <c r="B459" s="12"/>
      <c r="C459" s="10"/>
      <c r="D459" s="14" t="str">
        <f aca="false">IFERROR(IF(C459="","",INDEX(Customers!$B$5:$B$504,MATCH(C459,Customers!$A$5:$A$504,0))),"")</f>
        <v/>
      </c>
      <c r="E459" s="10" t="s">
        <v>24</v>
      </c>
      <c r="F459" s="12"/>
      <c r="G459" s="12"/>
      <c r="H459" s="10"/>
      <c r="I459" s="10"/>
      <c r="J459" s="9" t="n">
        <f aca="false">IFERROR(SUMIFS(SalesOrderLines!$I$5:$I$504,SalesOrderLines!$B$5:$B$504,A459),"")</f>
        <v>0</v>
      </c>
      <c r="K459" s="9" t="n">
        <f aca="false">IFERROR(SUMIFS(SalesOrderLines!$J$5:$J$504,SalesOrderLines!$B$5:$B$504,A459),"")</f>
        <v>0</v>
      </c>
      <c r="L459" s="9" t="n">
        <f aca="false">IFERROR(J459+K459,"")</f>
        <v>0</v>
      </c>
      <c r="M459" s="9" t="n">
        <f aca="false">IFERROR(SUMIFS(Payments!$E$5:$E$504,Payments!$D$5:$D$504,A459,Payments!$C$5:$C$504,"In"),"")</f>
        <v>0</v>
      </c>
      <c r="N459" s="9" t="n">
        <f aca="false">IFERROR(L459-M459,"")</f>
        <v>0</v>
      </c>
    </row>
    <row r="460" customFormat="false" ht="15" hidden="false" customHeight="false" outlineLevel="0" collapsed="false">
      <c r="A460" s="10"/>
      <c r="B460" s="12"/>
      <c r="C460" s="10"/>
      <c r="D460" s="14" t="str">
        <f aca="false">IFERROR(IF(C460="","",INDEX(Customers!$B$5:$B$504,MATCH(C460,Customers!$A$5:$A$504,0))),"")</f>
        <v/>
      </c>
      <c r="E460" s="10" t="s">
        <v>24</v>
      </c>
      <c r="F460" s="12"/>
      <c r="G460" s="12"/>
      <c r="H460" s="10"/>
      <c r="I460" s="10"/>
      <c r="J460" s="9" t="n">
        <f aca="false">IFERROR(SUMIFS(SalesOrderLines!$I$5:$I$504,SalesOrderLines!$B$5:$B$504,A460),"")</f>
        <v>0</v>
      </c>
      <c r="K460" s="9" t="n">
        <f aca="false">IFERROR(SUMIFS(SalesOrderLines!$J$5:$J$504,SalesOrderLines!$B$5:$B$504,A460),"")</f>
        <v>0</v>
      </c>
      <c r="L460" s="9" t="n">
        <f aca="false">IFERROR(J460+K460,"")</f>
        <v>0</v>
      </c>
      <c r="M460" s="9" t="n">
        <f aca="false">IFERROR(SUMIFS(Payments!$E$5:$E$504,Payments!$D$5:$D$504,A460,Payments!$C$5:$C$504,"In"),"")</f>
        <v>0</v>
      </c>
      <c r="N460" s="9" t="n">
        <f aca="false">IFERROR(L460-M460,"")</f>
        <v>0</v>
      </c>
    </row>
    <row r="461" customFormat="false" ht="15" hidden="false" customHeight="false" outlineLevel="0" collapsed="false">
      <c r="A461" s="10"/>
      <c r="B461" s="12"/>
      <c r="C461" s="10"/>
      <c r="D461" s="14" t="str">
        <f aca="false">IFERROR(IF(C461="","",INDEX(Customers!$B$5:$B$504,MATCH(C461,Customers!$A$5:$A$504,0))),"")</f>
        <v/>
      </c>
      <c r="E461" s="10" t="s">
        <v>24</v>
      </c>
      <c r="F461" s="12"/>
      <c r="G461" s="12"/>
      <c r="H461" s="10"/>
      <c r="I461" s="10"/>
      <c r="J461" s="9" t="n">
        <f aca="false">IFERROR(SUMIFS(SalesOrderLines!$I$5:$I$504,SalesOrderLines!$B$5:$B$504,A461),"")</f>
        <v>0</v>
      </c>
      <c r="K461" s="9" t="n">
        <f aca="false">IFERROR(SUMIFS(SalesOrderLines!$J$5:$J$504,SalesOrderLines!$B$5:$B$504,A461),"")</f>
        <v>0</v>
      </c>
      <c r="L461" s="9" t="n">
        <f aca="false">IFERROR(J461+K461,"")</f>
        <v>0</v>
      </c>
      <c r="M461" s="9" t="n">
        <f aca="false">IFERROR(SUMIFS(Payments!$E$5:$E$504,Payments!$D$5:$D$504,A461,Payments!$C$5:$C$504,"In"),"")</f>
        <v>0</v>
      </c>
      <c r="N461" s="9" t="n">
        <f aca="false">IFERROR(L461-M461,"")</f>
        <v>0</v>
      </c>
    </row>
    <row r="462" customFormat="false" ht="15" hidden="false" customHeight="false" outlineLevel="0" collapsed="false">
      <c r="A462" s="10"/>
      <c r="B462" s="12"/>
      <c r="C462" s="10"/>
      <c r="D462" s="14" t="str">
        <f aca="false">IFERROR(IF(C462="","",INDEX(Customers!$B$5:$B$504,MATCH(C462,Customers!$A$5:$A$504,0))),"")</f>
        <v/>
      </c>
      <c r="E462" s="10" t="s">
        <v>24</v>
      </c>
      <c r="F462" s="12"/>
      <c r="G462" s="12"/>
      <c r="H462" s="10"/>
      <c r="I462" s="10"/>
      <c r="J462" s="9" t="n">
        <f aca="false">IFERROR(SUMIFS(SalesOrderLines!$I$5:$I$504,SalesOrderLines!$B$5:$B$504,A462),"")</f>
        <v>0</v>
      </c>
      <c r="K462" s="9" t="n">
        <f aca="false">IFERROR(SUMIFS(SalesOrderLines!$J$5:$J$504,SalesOrderLines!$B$5:$B$504,A462),"")</f>
        <v>0</v>
      </c>
      <c r="L462" s="9" t="n">
        <f aca="false">IFERROR(J462+K462,"")</f>
        <v>0</v>
      </c>
      <c r="M462" s="9" t="n">
        <f aca="false">IFERROR(SUMIFS(Payments!$E$5:$E$504,Payments!$D$5:$D$504,A462,Payments!$C$5:$C$504,"In"),"")</f>
        <v>0</v>
      </c>
      <c r="N462" s="9" t="n">
        <f aca="false">IFERROR(L462-M462,"")</f>
        <v>0</v>
      </c>
    </row>
    <row r="463" customFormat="false" ht="15" hidden="false" customHeight="false" outlineLevel="0" collapsed="false">
      <c r="A463" s="10"/>
      <c r="B463" s="12"/>
      <c r="C463" s="10"/>
      <c r="D463" s="14" t="str">
        <f aca="false">IFERROR(IF(C463="","",INDEX(Customers!$B$5:$B$504,MATCH(C463,Customers!$A$5:$A$504,0))),"")</f>
        <v/>
      </c>
      <c r="E463" s="10" t="s">
        <v>24</v>
      </c>
      <c r="F463" s="12"/>
      <c r="G463" s="12"/>
      <c r="H463" s="10"/>
      <c r="I463" s="10"/>
      <c r="J463" s="9" t="n">
        <f aca="false">IFERROR(SUMIFS(SalesOrderLines!$I$5:$I$504,SalesOrderLines!$B$5:$B$504,A463),"")</f>
        <v>0</v>
      </c>
      <c r="K463" s="9" t="n">
        <f aca="false">IFERROR(SUMIFS(SalesOrderLines!$J$5:$J$504,SalesOrderLines!$B$5:$B$504,A463),"")</f>
        <v>0</v>
      </c>
      <c r="L463" s="9" t="n">
        <f aca="false">IFERROR(J463+K463,"")</f>
        <v>0</v>
      </c>
      <c r="M463" s="9" t="n">
        <f aca="false">IFERROR(SUMIFS(Payments!$E$5:$E$504,Payments!$D$5:$D$504,A463,Payments!$C$5:$C$504,"In"),"")</f>
        <v>0</v>
      </c>
      <c r="N463" s="9" t="n">
        <f aca="false">IFERROR(L463-M463,"")</f>
        <v>0</v>
      </c>
    </row>
    <row r="464" customFormat="false" ht="15" hidden="false" customHeight="false" outlineLevel="0" collapsed="false">
      <c r="A464" s="10"/>
      <c r="B464" s="12"/>
      <c r="C464" s="10"/>
      <c r="D464" s="14" t="str">
        <f aca="false">IFERROR(IF(C464="","",INDEX(Customers!$B$5:$B$504,MATCH(C464,Customers!$A$5:$A$504,0))),"")</f>
        <v/>
      </c>
      <c r="E464" s="10" t="s">
        <v>24</v>
      </c>
      <c r="F464" s="12"/>
      <c r="G464" s="12"/>
      <c r="H464" s="10"/>
      <c r="I464" s="10"/>
      <c r="J464" s="9" t="n">
        <f aca="false">IFERROR(SUMIFS(SalesOrderLines!$I$5:$I$504,SalesOrderLines!$B$5:$B$504,A464),"")</f>
        <v>0</v>
      </c>
      <c r="K464" s="9" t="n">
        <f aca="false">IFERROR(SUMIFS(SalesOrderLines!$J$5:$J$504,SalesOrderLines!$B$5:$B$504,A464),"")</f>
        <v>0</v>
      </c>
      <c r="L464" s="9" t="n">
        <f aca="false">IFERROR(J464+K464,"")</f>
        <v>0</v>
      </c>
      <c r="M464" s="9" t="n">
        <f aca="false">IFERROR(SUMIFS(Payments!$E$5:$E$504,Payments!$D$5:$D$504,A464,Payments!$C$5:$C$504,"In"),"")</f>
        <v>0</v>
      </c>
      <c r="N464" s="9" t="n">
        <f aca="false">IFERROR(L464-M464,"")</f>
        <v>0</v>
      </c>
    </row>
    <row r="465" customFormat="false" ht="15" hidden="false" customHeight="false" outlineLevel="0" collapsed="false">
      <c r="A465" s="10"/>
      <c r="B465" s="12"/>
      <c r="C465" s="10"/>
      <c r="D465" s="14" t="str">
        <f aca="false">IFERROR(IF(C465="","",INDEX(Customers!$B$5:$B$504,MATCH(C465,Customers!$A$5:$A$504,0))),"")</f>
        <v/>
      </c>
      <c r="E465" s="10" t="s">
        <v>24</v>
      </c>
      <c r="F465" s="12"/>
      <c r="G465" s="12"/>
      <c r="H465" s="10"/>
      <c r="I465" s="10"/>
      <c r="J465" s="9" t="n">
        <f aca="false">IFERROR(SUMIFS(SalesOrderLines!$I$5:$I$504,SalesOrderLines!$B$5:$B$504,A465),"")</f>
        <v>0</v>
      </c>
      <c r="K465" s="9" t="n">
        <f aca="false">IFERROR(SUMIFS(SalesOrderLines!$J$5:$J$504,SalesOrderLines!$B$5:$B$504,A465),"")</f>
        <v>0</v>
      </c>
      <c r="L465" s="9" t="n">
        <f aca="false">IFERROR(J465+K465,"")</f>
        <v>0</v>
      </c>
      <c r="M465" s="9" t="n">
        <f aca="false">IFERROR(SUMIFS(Payments!$E$5:$E$504,Payments!$D$5:$D$504,A465,Payments!$C$5:$C$504,"In"),"")</f>
        <v>0</v>
      </c>
      <c r="N465" s="9" t="n">
        <f aca="false">IFERROR(L465-M465,"")</f>
        <v>0</v>
      </c>
    </row>
    <row r="466" customFormat="false" ht="15" hidden="false" customHeight="false" outlineLevel="0" collapsed="false">
      <c r="A466" s="10"/>
      <c r="B466" s="12"/>
      <c r="C466" s="10"/>
      <c r="D466" s="14" t="str">
        <f aca="false">IFERROR(IF(C466="","",INDEX(Customers!$B$5:$B$504,MATCH(C466,Customers!$A$5:$A$504,0))),"")</f>
        <v/>
      </c>
      <c r="E466" s="10" t="s">
        <v>24</v>
      </c>
      <c r="F466" s="12"/>
      <c r="G466" s="12"/>
      <c r="H466" s="10"/>
      <c r="I466" s="10"/>
      <c r="J466" s="9" t="n">
        <f aca="false">IFERROR(SUMIFS(SalesOrderLines!$I$5:$I$504,SalesOrderLines!$B$5:$B$504,A466),"")</f>
        <v>0</v>
      </c>
      <c r="K466" s="9" t="n">
        <f aca="false">IFERROR(SUMIFS(SalesOrderLines!$J$5:$J$504,SalesOrderLines!$B$5:$B$504,A466),"")</f>
        <v>0</v>
      </c>
      <c r="L466" s="9" t="n">
        <f aca="false">IFERROR(J466+K466,"")</f>
        <v>0</v>
      </c>
      <c r="M466" s="9" t="n">
        <f aca="false">IFERROR(SUMIFS(Payments!$E$5:$E$504,Payments!$D$5:$D$504,A466,Payments!$C$5:$C$504,"In"),"")</f>
        <v>0</v>
      </c>
      <c r="N466" s="9" t="n">
        <f aca="false">IFERROR(L466-M466,"")</f>
        <v>0</v>
      </c>
    </row>
    <row r="467" customFormat="false" ht="15" hidden="false" customHeight="false" outlineLevel="0" collapsed="false">
      <c r="A467" s="10"/>
      <c r="B467" s="12"/>
      <c r="C467" s="10"/>
      <c r="D467" s="14" t="str">
        <f aca="false">IFERROR(IF(C467="","",INDEX(Customers!$B$5:$B$504,MATCH(C467,Customers!$A$5:$A$504,0))),"")</f>
        <v/>
      </c>
      <c r="E467" s="10" t="s">
        <v>24</v>
      </c>
      <c r="F467" s="12"/>
      <c r="G467" s="12"/>
      <c r="H467" s="10"/>
      <c r="I467" s="10"/>
      <c r="J467" s="9" t="n">
        <f aca="false">IFERROR(SUMIFS(SalesOrderLines!$I$5:$I$504,SalesOrderLines!$B$5:$B$504,A467),"")</f>
        <v>0</v>
      </c>
      <c r="K467" s="9" t="n">
        <f aca="false">IFERROR(SUMIFS(SalesOrderLines!$J$5:$J$504,SalesOrderLines!$B$5:$B$504,A467),"")</f>
        <v>0</v>
      </c>
      <c r="L467" s="9" t="n">
        <f aca="false">IFERROR(J467+K467,"")</f>
        <v>0</v>
      </c>
      <c r="M467" s="9" t="n">
        <f aca="false">IFERROR(SUMIFS(Payments!$E$5:$E$504,Payments!$D$5:$D$504,A467,Payments!$C$5:$C$504,"In"),"")</f>
        <v>0</v>
      </c>
      <c r="N467" s="9" t="n">
        <f aca="false">IFERROR(L467-M467,"")</f>
        <v>0</v>
      </c>
    </row>
    <row r="468" customFormat="false" ht="15" hidden="false" customHeight="false" outlineLevel="0" collapsed="false">
      <c r="A468" s="10"/>
      <c r="B468" s="12"/>
      <c r="C468" s="10"/>
      <c r="D468" s="14" t="str">
        <f aca="false">IFERROR(IF(C468="","",INDEX(Customers!$B$5:$B$504,MATCH(C468,Customers!$A$5:$A$504,0))),"")</f>
        <v/>
      </c>
      <c r="E468" s="10" t="s">
        <v>24</v>
      </c>
      <c r="F468" s="12"/>
      <c r="G468" s="12"/>
      <c r="H468" s="10"/>
      <c r="I468" s="10"/>
      <c r="J468" s="9" t="n">
        <f aca="false">IFERROR(SUMIFS(SalesOrderLines!$I$5:$I$504,SalesOrderLines!$B$5:$B$504,A468),"")</f>
        <v>0</v>
      </c>
      <c r="K468" s="9" t="n">
        <f aca="false">IFERROR(SUMIFS(SalesOrderLines!$J$5:$J$504,SalesOrderLines!$B$5:$B$504,A468),"")</f>
        <v>0</v>
      </c>
      <c r="L468" s="9" t="n">
        <f aca="false">IFERROR(J468+K468,"")</f>
        <v>0</v>
      </c>
      <c r="M468" s="9" t="n">
        <f aca="false">IFERROR(SUMIFS(Payments!$E$5:$E$504,Payments!$D$5:$D$504,A468,Payments!$C$5:$C$504,"In"),"")</f>
        <v>0</v>
      </c>
      <c r="N468" s="9" t="n">
        <f aca="false">IFERROR(L468-M468,"")</f>
        <v>0</v>
      </c>
    </row>
    <row r="469" customFormat="false" ht="15" hidden="false" customHeight="false" outlineLevel="0" collapsed="false">
      <c r="A469" s="10"/>
      <c r="B469" s="12"/>
      <c r="C469" s="10"/>
      <c r="D469" s="14" t="str">
        <f aca="false">IFERROR(IF(C469="","",INDEX(Customers!$B$5:$B$504,MATCH(C469,Customers!$A$5:$A$504,0))),"")</f>
        <v/>
      </c>
      <c r="E469" s="10" t="s">
        <v>24</v>
      </c>
      <c r="F469" s="12"/>
      <c r="G469" s="12"/>
      <c r="H469" s="10"/>
      <c r="I469" s="10"/>
      <c r="J469" s="9" t="n">
        <f aca="false">IFERROR(SUMIFS(SalesOrderLines!$I$5:$I$504,SalesOrderLines!$B$5:$B$504,A469),"")</f>
        <v>0</v>
      </c>
      <c r="K469" s="9" t="n">
        <f aca="false">IFERROR(SUMIFS(SalesOrderLines!$J$5:$J$504,SalesOrderLines!$B$5:$B$504,A469),"")</f>
        <v>0</v>
      </c>
      <c r="L469" s="9" t="n">
        <f aca="false">IFERROR(J469+K469,"")</f>
        <v>0</v>
      </c>
      <c r="M469" s="9" t="n">
        <f aca="false">IFERROR(SUMIFS(Payments!$E$5:$E$504,Payments!$D$5:$D$504,A469,Payments!$C$5:$C$504,"In"),"")</f>
        <v>0</v>
      </c>
      <c r="N469" s="9" t="n">
        <f aca="false">IFERROR(L469-M469,"")</f>
        <v>0</v>
      </c>
    </row>
    <row r="470" customFormat="false" ht="15" hidden="false" customHeight="false" outlineLevel="0" collapsed="false">
      <c r="A470" s="10"/>
      <c r="B470" s="12"/>
      <c r="C470" s="10"/>
      <c r="D470" s="14" t="str">
        <f aca="false">IFERROR(IF(C470="","",INDEX(Customers!$B$5:$B$504,MATCH(C470,Customers!$A$5:$A$504,0))),"")</f>
        <v/>
      </c>
      <c r="E470" s="10" t="s">
        <v>24</v>
      </c>
      <c r="F470" s="12"/>
      <c r="G470" s="12"/>
      <c r="H470" s="10"/>
      <c r="I470" s="10"/>
      <c r="J470" s="9" t="n">
        <f aca="false">IFERROR(SUMIFS(SalesOrderLines!$I$5:$I$504,SalesOrderLines!$B$5:$B$504,A470),"")</f>
        <v>0</v>
      </c>
      <c r="K470" s="9" t="n">
        <f aca="false">IFERROR(SUMIFS(SalesOrderLines!$J$5:$J$504,SalesOrderLines!$B$5:$B$504,A470),"")</f>
        <v>0</v>
      </c>
      <c r="L470" s="9" t="n">
        <f aca="false">IFERROR(J470+K470,"")</f>
        <v>0</v>
      </c>
      <c r="M470" s="9" t="n">
        <f aca="false">IFERROR(SUMIFS(Payments!$E$5:$E$504,Payments!$D$5:$D$504,A470,Payments!$C$5:$C$504,"In"),"")</f>
        <v>0</v>
      </c>
      <c r="N470" s="9" t="n">
        <f aca="false">IFERROR(L470-M470,"")</f>
        <v>0</v>
      </c>
    </row>
    <row r="471" customFormat="false" ht="15" hidden="false" customHeight="false" outlineLevel="0" collapsed="false">
      <c r="A471" s="10"/>
      <c r="B471" s="12"/>
      <c r="C471" s="10"/>
      <c r="D471" s="14" t="str">
        <f aca="false">IFERROR(IF(C471="","",INDEX(Customers!$B$5:$B$504,MATCH(C471,Customers!$A$5:$A$504,0))),"")</f>
        <v/>
      </c>
      <c r="E471" s="10" t="s">
        <v>24</v>
      </c>
      <c r="F471" s="12"/>
      <c r="G471" s="12"/>
      <c r="H471" s="10"/>
      <c r="I471" s="10"/>
      <c r="J471" s="9" t="n">
        <f aca="false">IFERROR(SUMIFS(SalesOrderLines!$I$5:$I$504,SalesOrderLines!$B$5:$B$504,A471),"")</f>
        <v>0</v>
      </c>
      <c r="K471" s="9" t="n">
        <f aca="false">IFERROR(SUMIFS(SalesOrderLines!$J$5:$J$504,SalesOrderLines!$B$5:$B$504,A471),"")</f>
        <v>0</v>
      </c>
      <c r="L471" s="9" t="n">
        <f aca="false">IFERROR(J471+K471,"")</f>
        <v>0</v>
      </c>
      <c r="M471" s="9" t="n">
        <f aca="false">IFERROR(SUMIFS(Payments!$E$5:$E$504,Payments!$D$5:$D$504,A471,Payments!$C$5:$C$504,"In"),"")</f>
        <v>0</v>
      </c>
      <c r="N471" s="9" t="n">
        <f aca="false">IFERROR(L471-M471,"")</f>
        <v>0</v>
      </c>
    </row>
    <row r="472" customFormat="false" ht="15" hidden="false" customHeight="false" outlineLevel="0" collapsed="false">
      <c r="A472" s="10"/>
      <c r="B472" s="12"/>
      <c r="C472" s="10"/>
      <c r="D472" s="14" t="str">
        <f aca="false">IFERROR(IF(C472="","",INDEX(Customers!$B$5:$B$504,MATCH(C472,Customers!$A$5:$A$504,0))),"")</f>
        <v/>
      </c>
      <c r="E472" s="10" t="s">
        <v>24</v>
      </c>
      <c r="F472" s="12"/>
      <c r="G472" s="12"/>
      <c r="H472" s="10"/>
      <c r="I472" s="10"/>
      <c r="J472" s="9" t="n">
        <f aca="false">IFERROR(SUMIFS(SalesOrderLines!$I$5:$I$504,SalesOrderLines!$B$5:$B$504,A472),"")</f>
        <v>0</v>
      </c>
      <c r="K472" s="9" t="n">
        <f aca="false">IFERROR(SUMIFS(SalesOrderLines!$J$5:$J$504,SalesOrderLines!$B$5:$B$504,A472),"")</f>
        <v>0</v>
      </c>
      <c r="L472" s="9" t="n">
        <f aca="false">IFERROR(J472+K472,"")</f>
        <v>0</v>
      </c>
      <c r="M472" s="9" t="n">
        <f aca="false">IFERROR(SUMIFS(Payments!$E$5:$E$504,Payments!$D$5:$D$504,A472,Payments!$C$5:$C$504,"In"),"")</f>
        <v>0</v>
      </c>
      <c r="N472" s="9" t="n">
        <f aca="false">IFERROR(L472-M472,"")</f>
        <v>0</v>
      </c>
    </row>
    <row r="473" customFormat="false" ht="15" hidden="false" customHeight="false" outlineLevel="0" collapsed="false">
      <c r="A473" s="10"/>
      <c r="B473" s="12"/>
      <c r="C473" s="10"/>
      <c r="D473" s="14" t="str">
        <f aca="false">IFERROR(IF(C473="","",INDEX(Customers!$B$5:$B$504,MATCH(C473,Customers!$A$5:$A$504,0))),"")</f>
        <v/>
      </c>
      <c r="E473" s="10" t="s">
        <v>24</v>
      </c>
      <c r="F473" s="12"/>
      <c r="G473" s="12"/>
      <c r="H473" s="10"/>
      <c r="I473" s="10"/>
      <c r="J473" s="9" t="n">
        <f aca="false">IFERROR(SUMIFS(SalesOrderLines!$I$5:$I$504,SalesOrderLines!$B$5:$B$504,A473),"")</f>
        <v>0</v>
      </c>
      <c r="K473" s="9" t="n">
        <f aca="false">IFERROR(SUMIFS(SalesOrderLines!$J$5:$J$504,SalesOrderLines!$B$5:$B$504,A473),"")</f>
        <v>0</v>
      </c>
      <c r="L473" s="9" t="n">
        <f aca="false">IFERROR(J473+K473,"")</f>
        <v>0</v>
      </c>
      <c r="M473" s="9" t="n">
        <f aca="false">IFERROR(SUMIFS(Payments!$E$5:$E$504,Payments!$D$5:$D$504,A473,Payments!$C$5:$C$504,"In"),"")</f>
        <v>0</v>
      </c>
      <c r="N473" s="9" t="n">
        <f aca="false">IFERROR(L473-M473,"")</f>
        <v>0</v>
      </c>
    </row>
    <row r="474" customFormat="false" ht="15" hidden="false" customHeight="false" outlineLevel="0" collapsed="false">
      <c r="A474" s="10"/>
      <c r="B474" s="12"/>
      <c r="C474" s="10"/>
      <c r="D474" s="14" t="str">
        <f aca="false">IFERROR(IF(C474="","",INDEX(Customers!$B$5:$B$504,MATCH(C474,Customers!$A$5:$A$504,0))),"")</f>
        <v/>
      </c>
      <c r="E474" s="10" t="s">
        <v>24</v>
      </c>
      <c r="F474" s="12"/>
      <c r="G474" s="12"/>
      <c r="H474" s="10"/>
      <c r="I474" s="10"/>
      <c r="J474" s="9" t="n">
        <f aca="false">IFERROR(SUMIFS(SalesOrderLines!$I$5:$I$504,SalesOrderLines!$B$5:$B$504,A474),"")</f>
        <v>0</v>
      </c>
      <c r="K474" s="9" t="n">
        <f aca="false">IFERROR(SUMIFS(SalesOrderLines!$J$5:$J$504,SalesOrderLines!$B$5:$B$504,A474),"")</f>
        <v>0</v>
      </c>
      <c r="L474" s="9" t="n">
        <f aca="false">IFERROR(J474+K474,"")</f>
        <v>0</v>
      </c>
      <c r="M474" s="9" t="n">
        <f aca="false">IFERROR(SUMIFS(Payments!$E$5:$E$504,Payments!$D$5:$D$504,A474,Payments!$C$5:$C$504,"In"),"")</f>
        <v>0</v>
      </c>
      <c r="N474" s="9" t="n">
        <f aca="false">IFERROR(L474-M474,"")</f>
        <v>0</v>
      </c>
    </row>
    <row r="475" customFormat="false" ht="15" hidden="false" customHeight="false" outlineLevel="0" collapsed="false">
      <c r="A475" s="10"/>
      <c r="B475" s="12"/>
      <c r="C475" s="10"/>
      <c r="D475" s="14" t="str">
        <f aca="false">IFERROR(IF(C475="","",INDEX(Customers!$B$5:$B$504,MATCH(C475,Customers!$A$5:$A$504,0))),"")</f>
        <v/>
      </c>
      <c r="E475" s="10" t="s">
        <v>24</v>
      </c>
      <c r="F475" s="12"/>
      <c r="G475" s="12"/>
      <c r="H475" s="10"/>
      <c r="I475" s="10"/>
      <c r="J475" s="9" t="n">
        <f aca="false">IFERROR(SUMIFS(SalesOrderLines!$I$5:$I$504,SalesOrderLines!$B$5:$B$504,A475),"")</f>
        <v>0</v>
      </c>
      <c r="K475" s="9" t="n">
        <f aca="false">IFERROR(SUMIFS(SalesOrderLines!$J$5:$J$504,SalesOrderLines!$B$5:$B$504,A475),"")</f>
        <v>0</v>
      </c>
      <c r="L475" s="9" t="n">
        <f aca="false">IFERROR(J475+K475,"")</f>
        <v>0</v>
      </c>
      <c r="M475" s="9" t="n">
        <f aca="false">IFERROR(SUMIFS(Payments!$E$5:$E$504,Payments!$D$5:$D$504,A475,Payments!$C$5:$C$504,"In"),"")</f>
        <v>0</v>
      </c>
      <c r="N475" s="9" t="n">
        <f aca="false">IFERROR(L475-M475,"")</f>
        <v>0</v>
      </c>
    </row>
    <row r="476" customFormat="false" ht="15" hidden="false" customHeight="false" outlineLevel="0" collapsed="false">
      <c r="A476" s="10"/>
      <c r="B476" s="12"/>
      <c r="C476" s="10"/>
      <c r="D476" s="14" t="str">
        <f aca="false">IFERROR(IF(C476="","",INDEX(Customers!$B$5:$B$504,MATCH(C476,Customers!$A$5:$A$504,0))),"")</f>
        <v/>
      </c>
      <c r="E476" s="10" t="s">
        <v>24</v>
      </c>
      <c r="F476" s="12"/>
      <c r="G476" s="12"/>
      <c r="H476" s="10"/>
      <c r="I476" s="10"/>
      <c r="J476" s="9" t="n">
        <f aca="false">IFERROR(SUMIFS(SalesOrderLines!$I$5:$I$504,SalesOrderLines!$B$5:$B$504,A476),"")</f>
        <v>0</v>
      </c>
      <c r="K476" s="9" t="n">
        <f aca="false">IFERROR(SUMIFS(SalesOrderLines!$J$5:$J$504,SalesOrderLines!$B$5:$B$504,A476),"")</f>
        <v>0</v>
      </c>
      <c r="L476" s="9" t="n">
        <f aca="false">IFERROR(J476+K476,"")</f>
        <v>0</v>
      </c>
      <c r="M476" s="9" t="n">
        <f aca="false">IFERROR(SUMIFS(Payments!$E$5:$E$504,Payments!$D$5:$D$504,A476,Payments!$C$5:$C$504,"In"),"")</f>
        <v>0</v>
      </c>
      <c r="N476" s="9" t="n">
        <f aca="false">IFERROR(L476-M476,"")</f>
        <v>0</v>
      </c>
    </row>
    <row r="477" customFormat="false" ht="15" hidden="false" customHeight="false" outlineLevel="0" collapsed="false">
      <c r="A477" s="10"/>
      <c r="B477" s="12"/>
      <c r="C477" s="10"/>
      <c r="D477" s="14" t="str">
        <f aca="false">IFERROR(IF(C477="","",INDEX(Customers!$B$5:$B$504,MATCH(C477,Customers!$A$5:$A$504,0))),"")</f>
        <v/>
      </c>
      <c r="E477" s="10" t="s">
        <v>24</v>
      </c>
      <c r="F477" s="12"/>
      <c r="G477" s="12"/>
      <c r="H477" s="10"/>
      <c r="I477" s="10"/>
      <c r="J477" s="9" t="n">
        <f aca="false">IFERROR(SUMIFS(SalesOrderLines!$I$5:$I$504,SalesOrderLines!$B$5:$B$504,A477),"")</f>
        <v>0</v>
      </c>
      <c r="K477" s="9" t="n">
        <f aca="false">IFERROR(SUMIFS(SalesOrderLines!$J$5:$J$504,SalesOrderLines!$B$5:$B$504,A477),"")</f>
        <v>0</v>
      </c>
      <c r="L477" s="9" t="n">
        <f aca="false">IFERROR(J477+K477,"")</f>
        <v>0</v>
      </c>
      <c r="M477" s="9" t="n">
        <f aca="false">IFERROR(SUMIFS(Payments!$E$5:$E$504,Payments!$D$5:$D$504,A477,Payments!$C$5:$C$504,"In"),"")</f>
        <v>0</v>
      </c>
      <c r="N477" s="9" t="n">
        <f aca="false">IFERROR(L477-M477,"")</f>
        <v>0</v>
      </c>
    </row>
    <row r="478" customFormat="false" ht="15" hidden="false" customHeight="false" outlineLevel="0" collapsed="false">
      <c r="A478" s="10"/>
      <c r="B478" s="12"/>
      <c r="C478" s="10"/>
      <c r="D478" s="14" t="str">
        <f aca="false">IFERROR(IF(C478="","",INDEX(Customers!$B$5:$B$504,MATCH(C478,Customers!$A$5:$A$504,0))),"")</f>
        <v/>
      </c>
      <c r="E478" s="10" t="s">
        <v>24</v>
      </c>
      <c r="F478" s="12"/>
      <c r="G478" s="12"/>
      <c r="H478" s="10"/>
      <c r="I478" s="10"/>
      <c r="J478" s="9" t="n">
        <f aca="false">IFERROR(SUMIFS(SalesOrderLines!$I$5:$I$504,SalesOrderLines!$B$5:$B$504,A478),"")</f>
        <v>0</v>
      </c>
      <c r="K478" s="9" t="n">
        <f aca="false">IFERROR(SUMIFS(SalesOrderLines!$J$5:$J$504,SalesOrderLines!$B$5:$B$504,A478),"")</f>
        <v>0</v>
      </c>
      <c r="L478" s="9" t="n">
        <f aca="false">IFERROR(J478+K478,"")</f>
        <v>0</v>
      </c>
      <c r="M478" s="9" t="n">
        <f aca="false">IFERROR(SUMIFS(Payments!$E$5:$E$504,Payments!$D$5:$D$504,A478,Payments!$C$5:$C$504,"In"),"")</f>
        <v>0</v>
      </c>
      <c r="N478" s="9" t="n">
        <f aca="false">IFERROR(L478-M478,"")</f>
        <v>0</v>
      </c>
    </row>
    <row r="479" customFormat="false" ht="15" hidden="false" customHeight="false" outlineLevel="0" collapsed="false">
      <c r="A479" s="10"/>
      <c r="B479" s="12"/>
      <c r="C479" s="10"/>
      <c r="D479" s="14" t="str">
        <f aca="false">IFERROR(IF(C479="","",INDEX(Customers!$B$5:$B$504,MATCH(C479,Customers!$A$5:$A$504,0))),"")</f>
        <v/>
      </c>
      <c r="E479" s="10" t="s">
        <v>24</v>
      </c>
      <c r="F479" s="12"/>
      <c r="G479" s="12"/>
      <c r="H479" s="10"/>
      <c r="I479" s="10"/>
      <c r="J479" s="9" t="n">
        <f aca="false">IFERROR(SUMIFS(SalesOrderLines!$I$5:$I$504,SalesOrderLines!$B$5:$B$504,A479),"")</f>
        <v>0</v>
      </c>
      <c r="K479" s="9" t="n">
        <f aca="false">IFERROR(SUMIFS(SalesOrderLines!$J$5:$J$504,SalesOrderLines!$B$5:$B$504,A479),"")</f>
        <v>0</v>
      </c>
      <c r="L479" s="9" t="n">
        <f aca="false">IFERROR(J479+K479,"")</f>
        <v>0</v>
      </c>
      <c r="M479" s="9" t="n">
        <f aca="false">IFERROR(SUMIFS(Payments!$E$5:$E$504,Payments!$D$5:$D$504,A479,Payments!$C$5:$C$504,"In"),"")</f>
        <v>0</v>
      </c>
      <c r="N479" s="9" t="n">
        <f aca="false">IFERROR(L479-M479,"")</f>
        <v>0</v>
      </c>
    </row>
    <row r="480" customFormat="false" ht="15" hidden="false" customHeight="false" outlineLevel="0" collapsed="false">
      <c r="A480" s="10"/>
      <c r="B480" s="12"/>
      <c r="C480" s="10"/>
      <c r="D480" s="14" t="str">
        <f aca="false">IFERROR(IF(C480="","",INDEX(Customers!$B$5:$B$504,MATCH(C480,Customers!$A$5:$A$504,0))),"")</f>
        <v/>
      </c>
      <c r="E480" s="10" t="s">
        <v>24</v>
      </c>
      <c r="F480" s="12"/>
      <c r="G480" s="12"/>
      <c r="H480" s="10"/>
      <c r="I480" s="10"/>
      <c r="J480" s="9" t="n">
        <f aca="false">IFERROR(SUMIFS(SalesOrderLines!$I$5:$I$504,SalesOrderLines!$B$5:$B$504,A480),"")</f>
        <v>0</v>
      </c>
      <c r="K480" s="9" t="n">
        <f aca="false">IFERROR(SUMIFS(SalesOrderLines!$J$5:$J$504,SalesOrderLines!$B$5:$B$504,A480),"")</f>
        <v>0</v>
      </c>
      <c r="L480" s="9" t="n">
        <f aca="false">IFERROR(J480+K480,"")</f>
        <v>0</v>
      </c>
      <c r="M480" s="9" t="n">
        <f aca="false">IFERROR(SUMIFS(Payments!$E$5:$E$504,Payments!$D$5:$D$504,A480,Payments!$C$5:$C$504,"In"),"")</f>
        <v>0</v>
      </c>
      <c r="N480" s="9" t="n">
        <f aca="false">IFERROR(L480-M480,"")</f>
        <v>0</v>
      </c>
    </row>
    <row r="481" customFormat="false" ht="15" hidden="false" customHeight="false" outlineLevel="0" collapsed="false">
      <c r="A481" s="10"/>
      <c r="B481" s="12"/>
      <c r="C481" s="10"/>
      <c r="D481" s="14" t="str">
        <f aca="false">IFERROR(IF(C481="","",INDEX(Customers!$B$5:$B$504,MATCH(C481,Customers!$A$5:$A$504,0))),"")</f>
        <v/>
      </c>
      <c r="E481" s="10" t="s">
        <v>24</v>
      </c>
      <c r="F481" s="12"/>
      <c r="G481" s="12"/>
      <c r="H481" s="10"/>
      <c r="I481" s="10"/>
      <c r="J481" s="9" t="n">
        <f aca="false">IFERROR(SUMIFS(SalesOrderLines!$I$5:$I$504,SalesOrderLines!$B$5:$B$504,A481),"")</f>
        <v>0</v>
      </c>
      <c r="K481" s="9" t="n">
        <f aca="false">IFERROR(SUMIFS(SalesOrderLines!$J$5:$J$504,SalesOrderLines!$B$5:$B$504,A481),"")</f>
        <v>0</v>
      </c>
      <c r="L481" s="9" t="n">
        <f aca="false">IFERROR(J481+K481,"")</f>
        <v>0</v>
      </c>
      <c r="M481" s="9" t="n">
        <f aca="false">IFERROR(SUMIFS(Payments!$E$5:$E$504,Payments!$D$5:$D$504,A481,Payments!$C$5:$C$504,"In"),"")</f>
        <v>0</v>
      </c>
      <c r="N481" s="9" t="n">
        <f aca="false">IFERROR(L481-M481,"")</f>
        <v>0</v>
      </c>
    </row>
    <row r="482" customFormat="false" ht="15" hidden="false" customHeight="false" outlineLevel="0" collapsed="false">
      <c r="A482" s="10"/>
      <c r="B482" s="12"/>
      <c r="C482" s="10"/>
      <c r="D482" s="14" t="str">
        <f aca="false">IFERROR(IF(C482="","",INDEX(Customers!$B$5:$B$504,MATCH(C482,Customers!$A$5:$A$504,0))),"")</f>
        <v/>
      </c>
      <c r="E482" s="10" t="s">
        <v>24</v>
      </c>
      <c r="F482" s="12"/>
      <c r="G482" s="12"/>
      <c r="H482" s="10"/>
      <c r="I482" s="10"/>
      <c r="J482" s="9" t="n">
        <f aca="false">IFERROR(SUMIFS(SalesOrderLines!$I$5:$I$504,SalesOrderLines!$B$5:$B$504,A482),"")</f>
        <v>0</v>
      </c>
      <c r="K482" s="9" t="n">
        <f aca="false">IFERROR(SUMIFS(SalesOrderLines!$J$5:$J$504,SalesOrderLines!$B$5:$B$504,A482),"")</f>
        <v>0</v>
      </c>
      <c r="L482" s="9" t="n">
        <f aca="false">IFERROR(J482+K482,"")</f>
        <v>0</v>
      </c>
      <c r="M482" s="9" t="n">
        <f aca="false">IFERROR(SUMIFS(Payments!$E$5:$E$504,Payments!$D$5:$D$504,A482,Payments!$C$5:$C$504,"In"),"")</f>
        <v>0</v>
      </c>
      <c r="N482" s="9" t="n">
        <f aca="false">IFERROR(L482-M482,"")</f>
        <v>0</v>
      </c>
    </row>
    <row r="483" customFormat="false" ht="15" hidden="false" customHeight="false" outlineLevel="0" collapsed="false">
      <c r="A483" s="10"/>
      <c r="B483" s="12"/>
      <c r="C483" s="10"/>
      <c r="D483" s="14" t="str">
        <f aca="false">IFERROR(IF(C483="","",INDEX(Customers!$B$5:$B$504,MATCH(C483,Customers!$A$5:$A$504,0))),"")</f>
        <v/>
      </c>
      <c r="E483" s="10" t="s">
        <v>24</v>
      </c>
      <c r="F483" s="12"/>
      <c r="G483" s="12"/>
      <c r="H483" s="10"/>
      <c r="I483" s="10"/>
      <c r="J483" s="9" t="n">
        <f aca="false">IFERROR(SUMIFS(SalesOrderLines!$I$5:$I$504,SalesOrderLines!$B$5:$B$504,A483),"")</f>
        <v>0</v>
      </c>
      <c r="K483" s="9" t="n">
        <f aca="false">IFERROR(SUMIFS(SalesOrderLines!$J$5:$J$504,SalesOrderLines!$B$5:$B$504,A483),"")</f>
        <v>0</v>
      </c>
      <c r="L483" s="9" t="n">
        <f aca="false">IFERROR(J483+K483,"")</f>
        <v>0</v>
      </c>
      <c r="M483" s="9" t="n">
        <f aca="false">IFERROR(SUMIFS(Payments!$E$5:$E$504,Payments!$D$5:$D$504,A483,Payments!$C$5:$C$504,"In"),"")</f>
        <v>0</v>
      </c>
      <c r="N483" s="9" t="n">
        <f aca="false">IFERROR(L483-M483,"")</f>
        <v>0</v>
      </c>
    </row>
    <row r="484" customFormat="false" ht="15" hidden="false" customHeight="false" outlineLevel="0" collapsed="false">
      <c r="A484" s="10"/>
      <c r="B484" s="12"/>
      <c r="C484" s="10"/>
      <c r="D484" s="14" t="str">
        <f aca="false">IFERROR(IF(C484="","",INDEX(Customers!$B$5:$B$504,MATCH(C484,Customers!$A$5:$A$504,0))),"")</f>
        <v/>
      </c>
      <c r="E484" s="10" t="s">
        <v>24</v>
      </c>
      <c r="F484" s="12"/>
      <c r="G484" s="12"/>
      <c r="H484" s="10"/>
      <c r="I484" s="10"/>
      <c r="J484" s="9" t="n">
        <f aca="false">IFERROR(SUMIFS(SalesOrderLines!$I$5:$I$504,SalesOrderLines!$B$5:$B$504,A484),"")</f>
        <v>0</v>
      </c>
      <c r="K484" s="9" t="n">
        <f aca="false">IFERROR(SUMIFS(SalesOrderLines!$J$5:$J$504,SalesOrderLines!$B$5:$B$504,A484),"")</f>
        <v>0</v>
      </c>
      <c r="L484" s="9" t="n">
        <f aca="false">IFERROR(J484+K484,"")</f>
        <v>0</v>
      </c>
      <c r="M484" s="9" t="n">
        <f aca="false">IFERROR(SUMIFS(Payments!$E$5:$E$504,Payments!$D$5:$D$504,A484,Payments!$C$5:$C$504,"In"),"")</f>
        <v>0</v>
      </c>
      <c r="N484" s="9" t="n">
        <f aca="false">IFERROR(L484-M484,"")</f>
        <v>0</v>
      </c>
    </row>
    <row r="485" customFormat="false" ht="15" hidden="false" customHeight="false" outlineLevel="0" collapsed="false">
      <c r="A485" s="10"/>
      <c r="B485" s="12"/>
      <c r="C485" s="10"/>
      <c r="D485" s="14" t="str">
        <f aca="false">IFERROR(IF(C485="","",INDEX(Customers!$B$5:$B$504,MATCH(C485,Customers!$A$5:$A$504,0))),"")</f>
        <v/>
      </c>
      <c r="E485" s="10" t="s">
        <v>24</v>
      </c>
      <c r="F485" s="12"/>
      <c r="G485" s="12"/>
      <c r="H485" s="10"/>
      <c r="I485" s="10"/>
      <c r="J485" s="9" t="n">
        <f aca="false">IFERROR(SUMIFS(SalesOrderLines!$I$5:$I$504,SalesOrderLines!$B$5:$B$504,A485),"")</f>
        <v>0</v>
      </c>
      <c r="K485" s="9" t="n">
        <f aca="false">IFERROR(SUMIFS(SalesOrderLines!$J$5:$J$504,SalesOrderLines!$B$5:$B$504,A485),"")</f>
        <v>0</v>
      </c>
      <c r="L485" s="9" t="n">
        <f aca="false">IFERROR(J485+K485,"")</f>
        <v>0</v>
      </c>
      <c r="M485" s="9" t="n">
        <f aca="false">IFERROR(SUMIFS(Payments!$E$5:$E$504,Payments!$D$5:$D$504,A485,Payments!$C$5:$C$504,"In"),"")</f>
        <v>0</v>
      </c>
      <c r="N485" s="9" t="n">
        <f aca="false">IFERROR(L485-M485,"")</f>
        <v>0</v>
      </c>
    </row>
    <row r="486" customFormat="false" ht="15" hidden="false" customHeight="false" outlineLevel="0" collapsed="false">
      <c r="A486" s="10"/>
      <c r="B486" s="12"/>
      <c r="C486" s="10"/>
      <c r="D486" s="14" t="str">
        <f aca="false">IFERROR(IF(C486="","",INDEX(Customers!$B$5:$B$504,MATCH(C486,Customers!$A$5:$A$504,0))),"")</f>
        <v/>
      </c>
      <c r="E486" s="10" t="s">
        <v>24</v>
      </c>
      <c r="F486" s="12"/>
      <c r="G486" s="12"/>
      <c r="H486" s="10"/>
      <c r="I486" s="10"/>
      <c r="J486" s="9" t="n">
        <f aca="false">IFERROR(SUMIFS(SalesOrderLines!$I$5:$I$504,SalesOrderLines!$B$5:$B$504,A486),"")</f>
        <v>0</v>
      </c>
      <c r="K486" s="9" t="n">
        <f aca="false">IFERROR(SUMIFS(SalesOrderLines!$J$5:$J$504,SalesOrderLines!$B$5:$B$504,A486),"")</f>
        <v>0</v>
      </c>
      <c r="L486" s="9" t="n">
        <f aca="false">IFERROR(J486+K486,"")</f>
        <v>0</v>
      </c>
      <c r="M486" s="9" t="n">
        <f aca="false">IFERROR(SUMIFS(Payments!$E$5:$E$504,Payments!$D$5:$D$504,A486,Payments!$C$5:$C$504,"In"),"")</f>
        <v>0</v>
      </c>
      <c r="N486" s="9" t="n">
        <f aca="false">IFERROR(L486-M486,"")</f>
        <v>0</v>
      </c>
    </row>
    <row r="487" customFormat="false" ht="15" hidden="false" customHeight="false" outlineLevel="0" collapsed="false">
      <c r="A487" s="10"/>
      <c r="B487" s="12"/>
      <c r="C487" s="10"/>
      <c r="D487" s="14" t="str">
        <f aca="false">IFERROR(IF(C487="","",INDEX(Customers!$B$5:$B$504,MATCH(C487,Customers!$A$5:$A$504,0))),"")</f>
        <v/>
      </c>
      <c r="E487" s="10" t="s">
        <v>24</v>
      </c>
      <c r="F487" s="12"/>
      <c r="G487" s="12"/>
      <c r="H487" s="10"/>
      <c r="I487" s="10"/>
      <c r="J487" s="9" t="n">
        <f aca="false">IFERROR(SUMIFS(SalesOrderLines!$I$5:$I$504,SalesOrderLines!$B$5:$B$504,A487),"")</f>
        <v>0</v>
      </c>
      <c r="K487" s="9" t="n">
        <f aca="false">IFERROR(SUMIFS(SalesOrderLines!$J$5:$J$504,SalesOrderLines!$B$5:$B$504,A487),"")</f>
        <v>0</v>
      </c>
      <c r="L487" s="9" t="n">
        <f aca="false">IFERROR(J487+K487,"")</f>
        <v>0</v>
      </c>
      <c r="M487" s="9" t="n">
        <f aca="false">IFERROR(SUMIFS(Payments!$E$5:$E$504,Payments!$D$5:$D$504,A487,Payments!$C$5:$C$504,"In"),"")</f>
        <v>0</v>
      </c>
      <c r="N487" s="9" t="n">
        <f aca="false">IFERROR(L487-M487,"")</f>
        <v>0</v>
      </c>
    </row>
    <row r="488" customFormat="false" ht="15" hidden="false" customHeight="false" outlineLevel="0" collapsed="false">
      <c r="A488" s="10"/>
      <c r="B488" s="12"/>
      <c r="C488" s="10"/>
      <c r="D488" s="14" t="str">
        <f aca="false">IFERROR(IF(C488="","",INDEX(Customers!$B$5:$B$504,MATCH(C488,Customers!$A$5:$A$504,0))),"")</f>
        <v/>
      </c>
      <c r="E488" s="10" t="s">
        <v>24</v>
      </c>
      <c r="F488" s="12"/>
      <c r="G488" s="12"/>
      <c r="H488" s="10"/>
      <c r="I488" s="10"/>
      <c r="J488" s="9" t="n">
        <f aca="false">IFERROR(SUMIFS(SalesOrderLines!$I$5:$I$504,SalesOrderLines!$B$5:$B$504,A488),"")</f>
        <v>0</v>
      </c>
      <c r="K488" s="9" t="n">
        <f aca="false">IFERROR(SUMIFS(SalesOrderLines!$J$5:$J$504,SalesOrderLines!$B$5:$B$504,A488),"")</f>
        <v>0</v>
      </c>
      <c r="L488" s="9" t="n">
        <f aca="false">IFERROR(J488+K488,"")</f>
        <v>0</v>
      </c>
      <c r="M488" s="9" t="n">
        <f aca="false">IFERROR(SUMIFS(Payments!$E$5:$E$504,Payments!$D$5:$D$504,A488,Payments!$C$5:$C$504,"In"),"")</f>
        <v>0</v>
      </c>
      <c r="N488" s="9" t="n">
        <f aca="false">IFERROR(L488-M488,"")</f>
        <v>0</v>
      </c>
    </row>
    <row r="489" customFormat="false" ht="15" hidden="false" customHeight="false" outlineLevel="0" collapsed="false">
      <c r="A489" s="10"/>
      <c r="B489" s="12"/>
      <c r="C489" s="10"/>
      <c r="D489" s="14" t="str">
        <f aca="false">IFERROR(IF(C489="","",INDEX(Customers!$B$5:$B$504,MATCH(C489,Customers!$A$5:$A$504,0))),"")</f>
        <v/>
      </c>
      <c r="E489" s="10" t="s">
        <v>24</v>
      </c>
      <c r="F489" s="12"/>
      <c r="G489" s="12"/>
      <c r="H489" s="10"/>
      <c r="I489" s="10"/>
      <c r="J489" s="9" t="n">
        <f aca="false">IFERROR(SUMIFS(SalesOrderLines!$I$5:$I$504,SalesOrderLines!$B$5:$B$504,A489),"")</f>
        <v>0</v>
      </c>
      <c r="K489" s="9" t="n">
        <f aca="false">IFERROR(SUMIFS(SalesOrderLines!$J$5:$J$504,SalesOrderLines!$B$5:$B$504,A489),"")</f>
        <v>0</v>
      </c>
      <c r="L489" s="9" t="n">
        <f aca="false">IFERROR(J489+K489,"")</f>
        <v>0</v>
      </c>
      <c r="M489" s="9" t="n">
        <f aca="false">IFERROR(SUMIFS(Payments!$E$5:$E$504,Payments!$D$5:$D$504,A489,Payments!$C$5:$C$504,"In"),"")</f>
        <v>0</v>
      </c>
      <c r="N489" s="9" t="n">
        <f aca="false">IFERROR(L489-M489,"")</f>
        <v>0</v>
      </c>
    </row>
    <row r="490" customFormat="false" ht="15" hidden="false" customHeight="false" outlineLevel="0" collapsed="false">
      <c r="A490" s="10"/>
      <c r="B490" s="12"/>
      <c r="C490" s="10"/>
      <c r="D490" s="14" t="str">
        <f aca="false">IFERROR(IF(C490="","",INDEX(Customers!$B$5:$B$504,MATCH(C490,Customers!$A$5:$A$504,0))),"")</f>
        <v/>
      </c>
      <c r="E490" s="10" t="s">
        <v>24</v>
      </c>
      <c r="F490" s="12"/>
      <c r="G490" s="12"/>
      <c r="H490" s="10"/>
      <c r="I490" s="10"/>
      <c r="J490" s="9" t="n">
        <f aca="false">IFERROR(SUMIFS(SalesOrderLines!$I$5:$I$504,SalesOrderLines!$B$5:$B$504,A490),"")</f>
        <v>0</v>
      </c>
      <c r="K490" s="9" t="n">
        <f aca="false">IFERROR(SUMIFS(SalesOrderLines!$J$5:$J$504,SalesOrderLines!$B$5:$B$504,A490),"")</f>
        <v>0</v>
      </c>
      <c r="L490" s="9" t="n">
        <f aca="false">IFERROR(J490+K490,"")</f>
        <v>0</v>
      </c>
      <c r="M490" s="9" t="n">
        <f aca="false">IFERROR(SUMIFS(Payments!$E$5:$E$504,Payments!$D$5:$D$504,A490,Payments!$C$5:$C$504,"In"),"")</f>
        <v>0</v>
      </c>
      <c r="N490" s="9" t="n">
        <f aca="false">IFERROR(L490-M490,"")</f>
        <v>0</v>
      </c>
    </row>
    <row r="491" customFormat="false" ht="15" hidden="false" customHeight="false" outlineLevel="0" collapsed="false">
      <c r="A491" s="10"/>
      <c r="B491" s="12"/>
      <c r="C491" s="10"/>
      <c r="D491" s="14" t="str">
        <f aca="false">IFERROR(IF(C491="","",INDEX(Customers!$B$5:$B$504,MATCH(C491,Customers!$A$5:$A$504,0))),"")</f>
        <v/>
      </c>
      <c r="E491" s="10" t="s">
        <v>24</v>
      </c>
      <c r="F491" s="12"/>
      <c r="G491" s="12"/>
      <c r="H491" s="10"/>
      <c r="I491" s="10"/>
      <c r="J491" s="9" t="n">
        <f aca="false">IFERROR(SUMIFS(SalesOrderLines!$I$5:$I$504,SalesOrderLines!$B$5:$B$504,A491),"")</f>
        <v>0</v>
      </c>
      <c r="K491" s="9" t="n">
        <f aca="false">IFERROR(SUMIFS(SalesOrderLines!$J$5:$J$504,SalesOrderLines!$B$5:$B$504,A491),"")</f>
        <v>0</v>
      </c>
      <c r="L491" s="9" t="n">
        <f aca="false">IFERROR(J491+K491,"")</f>
        <v>0</v>
      </c>
      <c r="M491" s="9" t="n">
        <f aca="false">IFERROR(SUMIFS(Payments!$E$5:$E$504,Payments!$D$5:$D$504,A491,Payments!$C$5:$C$504,"In"),"")</f>
        <v>0</v>
      </c>
      <c r="N491" s="9" t="n">
        <f aca="false">IFERROR(L491-M491,"")</f>
        <v>0</v>
      </c>
    </row>
    <row r="492" customFormat="false" ht="15" hidden="false" customHeight="false" outlineLevel="0" collapsed="false">
      <c r="A492" s="10"/>
      <c r="B492" s="12"/>
      <c r="C492" s="10"/>
      <c r="D492" s="14" t="str">
        <f aca="false">IFERROR(IF(C492="","",INDEX(Customers!$B$5:$B$504,MATCH(C492,Customers!$A$5:$A$504,0))),"")</f>
        <v/>
      </c>
      <c r="E492" s="10" t="s">
        <v>24</v>
      </c>
      <c r="F492" s="12"/>
      <c r="G492" s="12"/>
      <c r="H492" s="10"/>
      <c r="I492" s="10"/>
      <c r="J492" s="9" t="n">
        <f aca="false">IFERROR(SUMIFS(SalesOrderLines!$I$5:$I$504,SalesOrderLines!$B$5:$B$504,A492),"")</f>
        <v>0</v>
      </c>
      <c r="K492" s="9" t="n">
        <f aca="false">IFERROR(SUMIFS(SalesOrderLines!$J$5:$J$504,SalesOrderLines!$B$5:$B$504,A492),"")</f>
        <v>0</v>
      </c>
      <c r="L492" s="9" t="n">
        <f aca="false">IFERROR(J492+K492,"")</f>
        <v>0</v>
      </c>
      <c r="M492" s="9" t="n">
        <f aca="false">IFERROR(SUMIFS(Payments!$E$5:$E$504,Payments!$D$5:$D$504,A492,Payments!$C$5:$C$504,"In"),"")</f>
        <v>0</v>
      </c>
      <c r="N492" s="9" t="n">
        <f aca="false">IFERROR(L492-M492,"")</f>
        <v>0</v>
      </c>
    </row>
    <row r="493" customFormat="false" ht="15" hidden="false" customHeight="false" outlineLevel="0" collapsed="false">
      <c r="A493" s="10"/>
      <c r="B493" s="12"/>
      <c r="C493" s="10"/>
      <c r="D493" s="14" t="str">
        <f aca="false">IFERROR(IF(C493="","",INDEX(Customers!$B$5:$B$504,MATCH(C493,Customers!$A$5:$A$504,0))),"")</f>
        <v/>
      </c>
      <c r="E493" s="10" t="s">
        <v>24</v>
      </c>
      <c r="F493" s="12"/>
      <c r="G493" s="12"/>
      <c r="H493" s="10"/>
      <c r="I493" s="10"/>
      <c r="J493" s="9" t="n">
        <f aca="false">IFERROR(SUMIFS(SalesOrderLines!$I$5:$I$504,SalesOrderLines!$B$5:$B$504,A493),"")</f>
        <v>0</v>
      </c>
      <c r="K493" s="9" t="n">
        <f aca="false">IFERROR(SUMIFS(SalesOrderLines!$J$5:$J$504,SalesOrderLines!$B$5:$B$504,A493),"")</f>
        <v>0</v>
      </c>
      <c r="L493" s="9" t="n">
        <f aca="false">IFERROR(J493+K493,"")</f>
        <v>0</v>
      </c>
      <c r="M493" s="9" t="n">
        <f aca="false">IFERROR(SUMIFS(Payments!$E$5:$E$504,Payments!$D$5:$D$504,A493,Payments!$C$5:$C$504,"In"),"")</f>
        <v>0</v>
      </c>
      <c r="N493" s="9" t="n">
        <f aca="false">IFERROR(L493-M493,"")</f>
        <v>0</v>
      </c>
    </row>
    <row r="494" customFormat="false" ht="15" hidden="false" customHeight="false" outlineLevel="0" collapsed="false">
      <c r="A494" s="10"/>
      <c r="B494" s="12"/>
      <c r="C494" s="10"/>
      <c r="D494" s="14" t="str">
        <f aca="false">IFERROR(IF(C494="","",INDEX(Customers!$B$5:$B$504,MATCH(C494,Customers!$A$5:$A$504,0))),"")</f>
        <v/>
      </c>
      <c r="E494" s="10" t="s">
        <v>24</v>
      </c>
      <c r="F494" s="12"/>
      <c r="G494" s="12"/>
      <c r="H494" s="10"/>
      <c r="I494" s="10"/>
      <c r="J494" s="9" t="n">
        <f aca="false">IFERROR(SUMIFS(SalesOrderLines!$I$5:$I$504,SalesOrderLines!$B$5:$B$504,A494),"")</f>
        <v>0</v>
      </c>
      <c r="K494" s="9" t="n">
        <f aca="false">IFERROR(SUMIFS(SalesOrderLines!$J$5:$J$504,SalesOrderLines!$B$5:$B$504,A494),"")</f>
        <v>0</v>
      </c>
      <c r="L494" s="9" t="n">
        <f aca="false">IFERROR(J494+K494,"")</f>
        <v>0</v>
      </c>
      <c r="M494" s="9" t="n">
        <f aca="false">IFERROR(SUMIFS(Payments!$E$5:$E$504,Payments!$D$5:$D$504,A494,Payments!$C$5:$C$504,"In"),"")</f>
        <v>0</v>
      </c>
      <c r="N494" s="9" t="n">
        <f aca="false">IFERROR(L494-M494,"")</f>
        <v>0</v>
      </c>
    </row>
    <row r="495" customFormat="false" ht="15" hidden="false" customHeight="false" outlineLevel="0" collapsed="false">
      <c r="A495" s="10"/>
      <c r="B495" s="12"/>
      <c r="C495" s="10"/>
      <c r="D495" s="14" t="str">
        <f aca="false">IFERROR(IF(C495="","",INDEX(Customers!$B$5:$B$504,MATCH(C495,Customers!$A$5:$A$504,0))),"")</f>
        <v/>
      </c>
      <c r="E495" s="10" t="s">
        <v>24</v>
      </c>
      <c r="F495" s="12"/>
      <c r="G495" s="12"/>
      <c r="H495" s="10"/>
      <c r="I495" s="10"/>
      <c r="J495" s="9" t="n">
        <f aca="false">IFERROR(SUMIFS(SalesOrderLines!$I$5:$I$504,SalesOrderLines!$B$5:$B$504,A495),"")</f>
        <v>0</v>
      </c>
      <c r="K495" s="9" t="n">
        <f aca="false">IFERROR(SUMIFS(SalesOrderLines!$J$5:$J$504,SalesOrderLines!$B$5:$B$504,A495),"")</f>
        <v>0</v>
      </c>
      <c r="L495" s="9" t="n">
        <f aca="false">IFERROR(J495+K495,"")</f>
        <v>0</v>
      </c>
      <c r="M495" s="9" t="n">
        <f aca="false">IFERROR(SUMIFS(Payments!$E$5:$E$504,Payments!$D$5:$D$504,A495,Payments!$C$5:$C$504,"In"),"")</f>
        <v>0</v>
      </c>
      <c r="N495" s="9" t="n">
        <f aca="false">IFERROR(L495-M495,"")</f>
        <v>0</v>
      </c>
    </row>
    <row r="496" customFormat="false" ht="15" hidden="false" customHeight="false" outlineLevel="0" collapsed="false">
      <c r="A496" s="10"/>
      <c r="B496" s="12"/>
      <c r="C496" s="10"/>
      <c r="D496" s="14" t="str">
        <f aca="false">IFERROR(IF(C496="","",INDEX(Customers!$B$5:$B$504,MATCH(C496,Customers!$A$5:$A$504,0))),"")</f>
        <v/>
      </c>
      <c r="E496" s="10" t="s">
        <v>24</v>
      </c>
      <c r="F496" s="12"/>
      <c r="G496" s="12"/>
      <c r="H496" s="10"/>
      <c r="I496" s="10"/>
      <c r="J496" s="9" t="n">
        <f aca="false">IFERROR(SUMIFS(SalesOrderLines!$I$5:$I$504,SalesOrderLines!$B$5:$B$504,A496),"")</f>
        <v>0</v>
      </c>
      <c r="K496" s="9" t="n">
        <f aca="false">IFERROR(SUMIFS(SalesOrderLines!$J$5:$J$504,SalesOrderLines!$B$5:$B$504,A496),"")</f>
        <v>0</v>
      </c>
      <c r="L496" s="9" t="n">
        <f aca="false">IFERROR(J496+K496,"")</f>
        <v>0</v>
      </c>
      <c r="M496" s="9" t="n">
        <f aca="false">IFERROR(SUMIFS(Payments!$E$5:$E$504,Payments!$D$5:$D$504,A496,Payments!$C$5:$C$504,"In"),"")</f>
        <v>0</v>
      </c>
      <c r="N496" s="9" t="n">
        <f aca="false">IFERROR(L496-M496,"")</f>
        <v>0</v>
      </c>
    </row>
    <row r="497" customFormat="false" ht="15" hidden="false" customHeight="false" outlineLevel="0" collapsed="false">
      <c r="A497" s="10"/>
      <c r="B497" s="12"/>
      <c r="C497" s="10"/>
      <c r="D497" s="14" t="str">
        <f aca="false">IFERROR(IF(C497="","",INDEX(Customers!$B$5:$B$504,MATCH(C497,Customers!$A$5:$A$504,0))),"")</f>
        <v/>
      </c>
      <c r="E497" s="10" t="s">
        <v>24</v>
      </c>
      <c r="F497" s="12"/>
      <c r="G497" s="12"/>
      <c r="H497" s="10"/>
      <c r="I497" s="10"/>
      <c r="J497" s="9" t="n">
        <f aca="false">IFERROR(SUMIFS(SalesOrderLines!$I$5:$I$504,SalesOrderLines!$B$5:$B$504,A497),"")</f>
        <v>0</v>
      </c>
      <c r="K497" s="9" t="n">
        <f aca="false">IFERROR(SUMIFS(SalesOrderLines!$J$5:$J$504,SalesOrderLines!$B$5:$B$504,A497),"")</f>
        <v>0</v>
      </c>
      <c r="L497" s="9" t="n">
        <f aca="false">IFERROR(J497+K497,"")</f>
        <v>0</v>
      </c>
      <c r="M497" s="9" t="n">
        <f aca="false">IFERROR(SUMIFS(Payments!$E$5:$E$504,Payments!$D$5:$D$504,A497,Payments!$C$5:$C$504,"In"),"")</f>
        <v>0</v>
      </c>
      <c r="N497" s="9" t="n">
        <f aca="false">IFERROR(L497-M497,"")</f>
        <v>0</v>
      </c>
    </row>
    <row r="498" customFormat="false" ht="15" hidden="false" customHeight="false" outlineLevel="0" collapsed="false">
      <c r="A498" s="10"/>
      <c r="B498" s="12"/>
      <c r="C498" s="10"/>
      <c r="D498" s="14" t="str">
        <f aca="false">IFERROR(IF(C498="","",INDEX(Customers!$B$5:$B$504,MATCH(C498,Customers!$A$5:$A$504,0))),"")</f>
        <v/>
      </c>
      <c r="E498" s="10" t="s">
        <v>24</v>
      </c>
      <c r="F498" s="12"/>
      <c r="G498" s="12"/>
      <c r="H498" s="10"/>
      <c r="I498" s="10"/>
      <c r="J498" s="9" t="n">
        <f aca="false">IFERROR(SUMIFS(SalesOrderLines!$I$5:$I$504,SalesOrderLines!$B$5:$B$504,A498),"")</f>
        <v>0</v>
      </c>
      <c r="K498" s="9" t="n">
        <f aca="false">IFERROR(SUMIFS(SalesOrderLines!$J$5:$J$504,SalesOrderLines!$B$5:$B$504,A498),"")</f>
        <v>0</v>
      </c>
      <c r="L498" s="9" t="n">
        <f aca="false">IFERROR(J498+K498,"")</f>
        <v>0</v>
      </c>
      <c r="M498" s="9" t="n">
        <f aca="false">IFERROR(SUMIFS(Payments!$E$5:$E$504,Payments!$D$5:$D$504,A498,Payments!$C$5:$C$504,"In"),"")</f>
        <v>0</v>
      </c>
      <c r="N498" s="9" t="n">
        <f aca="false">IFERROR(L498-M498,"")</f>
        <v>0</v>
      </c>
    </row>
    <row r="499" customFormat="false" ht="15" hidden="false" customHeight="false" outlineLevel="0" collapsed="false">
      <c r="A499" s="10"/>
      <c r="B499" s="12"/>
      <c r="C499" s="10"/>
      <c r="D499" s="14" t="str">
        <f aca="false">IFERROR(IF(C499="","",INDEX(Customers!$B$5:$B$504,MATCH(C499,Customers!$A$5:$A$504,0))),"")</f>
        <v/>
      </c>
      <c r="E499" s="10" t="s">
        <v>24</v>
      </c>
      <c r="F499" s="12"/>
      <c r="G499" s="12"/>
      <c r="H499" s="10"/>
      <c r="I499" s="10"/>
      <c r="J499" s="9" t="n">
        <f aca="false">IFERROR(SUMIFS(SalesOrderLines!$I$5:$I$504,SalesOrderLines!$B$5:$B$504,A499),"")</f>
        <v>0</v>
      </c>
      <c r="K499" s="9" t="n">
        <f aca="false">IFERROR(SUMIFS(SalesOrderLines!$J$5:$J$504,SalesOrderLines!$B$5:$B$504,A499),"")</f>
        <v>0</v>
      </c>
      <c r="L499" s="9" t="n">
        <f aca="false">IFERROR(J499+K499,"")</f>
        <v>0</v>
      </c>
      <c r="M499" s="9" t="n">
        <f aca="false">IFERROR(SUMIFS(Payments!$E$5:$E$504,Payments!$D$5:$D$504,A499,Payments!$C$5:$C$504,"In"),"")</f>
        <v>0</v>
      </c>
      <c r="N499" s="9" t="n">
        <f aca="false">IFERROR(L499-M499,"")</f>
        <v>0</v>
      </c>
    </row>
    <row r="500" customFormat="false" ht="15" hidden="false" customHeight="false" outlineLevel="0" collapsed="false">
      <c r="A500" s="10"/>
      <c r="B500" s="12"/>
      <c r="C500" s="10"/>
      <c r="D500" s="14" t="str">
        <f aca="false">IFERROR(IF(C500="","",INDEX(Customers!$B$5:$B$504,MATCH(C500,Customers!$A$5:$A$504,0))),"")</f>
        <v/>
      </c>
      <c r="E500" s="10" t="s">
        <v>24</v>
      </c>
      <c r="F500" s="12"/>
      <c r="G500" s="12"/>
      <c r="H500" s="10"/>
      <c r="I500" s="10"/>
      <c r="J500" s="9" t="n">
        <f aca="false">IFERROR(SUMIFS(SalesOrderLines!$I$5:$I$504,SalesOrderLines!$B$5:$B$504,A500),"")</f>
        <v>0</v>
      </c>
      <c r="K500" s="9" t="n">
        <f aca="false">IFERROR(SUMIFS(SalesOrderLines!$J$5:$J$504,SalesOrderLines!$B$5:$B$504,A500),"")</f>
        <v>0</v>
      </c>
      <c r="L500" s="9" t="n">
        <f aca="false">IFERROR(J500+K500,"")</f>
        <v>0</v>
      </c>
      <c r="M500" s="9" t="n">
        <f aca="false">IFERROR(SUMIFS(Payments!$E$5:$E$504,Payments!$D$5:$D$504,A500,Payments!$C$5:$C$504,"In"),"")</f>
        <v>0</v>
      </c>
      <c r="N500" s="9" t="n">
        <f aca="false">IFERROR(L500-M500,"")</f>
        <v>0</v>
      </c>
    </row>
    <row r="501" customFormat="false" ht="15" hidden="false" customHeight="false" outlineLevel="0" collapsed="false">
      <c r="A501" s="10"/>
      <c r="B501" s="12"/>
      <c r="C501" s="10"/>
      <c r="D501" s="14" t="str">
        <f aca="false">IFERROR(IF(C501="","",INDEX(Customers!$B$5:$B$504,MATCH(C501,Customers!$A$5:$A$504,0))),"")</f>
        <v/>
      </c>
      <c r="E501" s="10" t="s">
        <v>24</v>
      </c>
      <c r="F501" s="12"/>
      <c r="G501" s="12"/>
      <c r="H501" s="10"/>
      <c r="I501" s="10"/>
      <c r="J501" s="9" t="n">
        <f aca="false">IFERROR(SUMIFS(SalesOrderLines!$I$5:$I$504,SalesOrderLines!$B$5:$B$504,A501),"")</f>
        <v>0</v>
      </c>
      <c r="K501" s="9" t="n">
        <f aca="false">IFERROR(SUMIFS(SalesOrderLines!$J$5:$J$504,SalesOrderLines!$B$5:$B$504,A501),"")</f>
        <v>0</v>
      </c>
      <c r="L501" s="9" t="n">
        <f aca="false">IFERROR(J501+K501,"")</f>
        <v>0</v>
      </c>
      <c r="M501" s="9" t="n">
        <f aca="false">IFERROR(SUMIFS(Payments!$E$5:$E$504,Payments!$D$5:$D$504,A501,Payments!$C$5:$C$504,"In"),"")</f>
        <v>0</v>
      </c>
      <c r="N501" s="9" t="n">
        <f aca="false">IFERROR(L501-M501,"")</f>
        <v>0</v>
      </c>
    </row>
    <row r="502" customFormat="false" ht="15" hidden="false" customHeight="false" outlineLevel="0" collapsed="false">
      <c r="A502" s="10"/>
      <c r="B502" s="12"/>
      <c r="C502" s="10"/>
      <c r="D502" s="14" t="str">
        <f aca="false">IFERROR(IF(C502="","",INDEX(Customers!$B$5:$B$504,MATCH(C502,Customers!$A$5:$A$504,0))),"")</f>
        <v/>
      </c>
      <c r="E502" s="10" t="s">
        <v>24</v>
      </c>
      <c r="F502" s="12"/>
      <c r="G502" s="12"/>
      <c r="H502" s="10"/>
      <c r="I502" s="10"/>
      <c r="J502" s="9" t="n">
        <f aca="false">IFERROR(SUMIFS(SalesOrderLines!$I$5:$I$504,SalesOrderLines!$B$5:$B$504,A502),"")</f>
        <v>0</v>
      </c>
      <c r="K502" s="9" t="n">
        <f aca="false">IFERROR(SUMIFS(SalesOrderLines!$J$5:$J$504,SalesOrderLines!$B$5:$B$504,A502),"")</f>
        <v>0</v>
      </c>
      <c r="L502" s="9" t="n">
        <f aca="false">IFERROR(J502+K502,"")</f>
        <v>0</v>
      </c>
      <c r="M502" s="9" t="n">
        <f aca="false">IFERROR(SUMIFS(Payments!$E$5:$E$504,Payments!$D$5:$D$504,A502,Payments!$C$5:$C$504,"In"),"")</f>
        <v>0</v>
      </c>
      <c r="N502" s="9" t="n">
        <f aca="false">IFERROR(L502-M502,"")</f>
        <v>0</v>
      </c>
    </row>
    <row r="503" customFormat="false" ht="15" hidden="false" customHeight="false" outlineLevel="0" collapsed="false">
      <c r="A503" s="10"/>
      <c r="B503" s="12"/>
      <c r="C503" s="10"/>
      <c r="D503" s="14" t="str">
        <f aca="false">IFERROR(IF(C503="","",INDEX(Customers!$B$5:$B$504,MATCH(C503,Customers!$A$5:$A$504,0))),"")</f>
        <v/>
      </c>
      <c r="E503" s="10" t="s">
        <v>24</v>
      </c>
      <c r="F503" s="12"/>
      <c r="G503" s="12"/>
      <c r="H503" s="10"/>
      <c r="I503" s="10"/>
      <c r="J503" s="9" t="n">
        <f aca="false">IFERROR(SUMIFS(SalesOrderLines!$I$5:$I$504,SalesOrderLines!$B$5:$B$504,A503),"")</f>
        <v>0</v>
      </c>
      <c r="K503" s="9" t="n">
        <f aca="false">IFERROR(SUMIFS(SalesOrderLines!$J$5:$J$504,SalesOrderLines!$B$5:$B$504,A503),"")</f>
        <v>0</v>
      </c>
      <c r="L503" s="9" t="n">
        <f aca="false">IFERROR(J503+K503,"")</f>
        <v>0</v>
      </c>
      <c r="M503" s="9" t="n">
        <f aca="false">IFERROR(SUMIFS(Payments!$E$5:$E$504,Payments!$D$5:$D$504,A503,Payments!$C$5:$C$504,"In"),"")</f>
        <v>0</v>
      </c>
      <c r="N503" s="9" t="n">
        <f aca="false">IFERROR(L503-M503,"")</f>
        <v>0</v>
      </c>
    </row>
    <row r="504" customFormat="false" ht="15" hidden="false" customHeight="false" outlineLevel="0" collapsed="false">
      <c r="A504" s="10"/>
      <c r="B504" s="12"/>
      <c r="C504" s="10"/>
      <c r="D504" s="14" t="str">
        <f aca="false">IFERROR(IF(C504="","",INDEX(Customers!$B$5:$B$504,MATCH(C504,Customers!$A$5:$A$504,0))),"")</f>
        <v/>
      </c>
      <c r="E504" s="10" t="s">
        <v>24</v>
      </c>
      <c r="F504" s="12"/>
      <c r="G504" s="12"/>
      <c r="H504" s="10"/>
      <c r="I504" s="10"/>
      <c r="J504" s="9" t="n">
        <f aca="false">IFERROR(SUMIFS(SalesOrderLines!$I$5:$I$504,SalesOrderLines!$B$5:$B$504,A504),"")</f>
        <v>0</v>
      </c>
      <c r="K504" s="9" t="n">
        <f aca="false">IFERROR(SUMIFS(SalesOrderLines!$J$5:$J$504,SalesOrderLines!$B$5:$B$504,A504),"")</f>
        <v>0</v>
      </c>
      <c r="L504" s="9" t="n">
        <f aca="false">IFERROR(J504+K504,"")</f>
        <v>0</v>
      </c>
      <c r="M504" s="9" t="n">
        <f aca="false">IFERROR(SUMIFS(Payments!$E$5:$E$504,Payments!$D$5:$D$504,A504,Payments!$C$5:$C$504,"In"),"")</f>
        <v>0</v>
      </c>
      <c r="N504" s="9" t="n">
        <f aca="false">IFERROR(L504-M504,"")</f>
        <v>0</v>
      </c>
    </row>
  </sheetData>
  <dataValidations count="2">
    <dataValidation allowBlank="true" error="Must match an existing Customers record" errorStyle="stop" errorTitle="Invalid foreign key" operator="between" showDropDown="false" showErrorMessage="false" showInputMessage="false" sqref="C5:C504" type="list">
      <formula1>Customers!$A$5:$A$504</formula1>
      <formula2>0</formula2>
    </dataValidation>
    <dataValidation allowBlank="true" error="Choose from order_status" errorStyle="stop" errorTitle="Invalid" operator="between" showDropDown="false" showErrorMessage="false" showInputMessage="false" sqref="E5:E504" type="list">
      <formula1>enum_order_status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K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1" min="9" style="0" width="13"/>
  </cols>
  <sheetData>
    <row r="1" customFormat="false" ht="19.7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15" hidden="false" customHeight="false" outlineLevel="0" collapsed="false">
      <c r="A4" s="6" t="s">
        <v>168</v>
      </c>
      <c r="B4" s="6" t="s">
        <v>142</v>
      </c>
      <c r="C4" s="6" t="s">
        <v>99</v>
      </c>
      <c r="D4" s="6" t="s">
        <v>169</v>
      </c>
      <c r="E4" s="6" t="s">
        <v>170</v>
      </c>
      <c r="F4" s="6" t="s">
        <v>171</v>
      </c>
      <c r="G4" s="6" t="s">
        <v>172</v>
      </c>
      <c r="H4" s="6" t="s">
        <v>173</v>
      </c>
      <c r="I4" s="6" t="s">
        <v>174</v>
      </c>
      <c r="J4" s="6" t="s">
        <v>175</v>
      </c>
      <c r="K4" s="6" t="s">
        <v>176</v>
      </c>
    </row>
    <row r="5" customFormat="false" ht="15" hidden="false" customHeight="false" outlineLevel="0" collapsed="false">
      <c r="A5" s="10" t="s">
        <v>177</v>
      </c>
      <c r="B5" s="10" t="s">
        <v>155</v>
      </c>
      <c r="C5" s="10" t="s">
        <v>108</v>
      </c>
      <c r="D5" s="14" t="str">
        <f aca="false">IFERROR(IF(C5="","",INDEX(Products!$C$5:$C$504,MATCH(C5,Products!$A$5:$A$504,0))),"")</f>
        <v>Standard Widget (Type A)</v>
      </c>
      <c r="E5" s="13" t="n">
        <v>100</v>
      </c>
      <c r="F5" s="11" t="n">
        <v>12.5</v>
      </c>
      <c r="G5" s="15" t="n">
        <v>0</v>
      </c>
      <c r="H5" s="10" t="s">
        <v>114</v>
      </c>
      <c r="I5" s="9" t="n">
        <f aca="false">IFERROR(E5*F5*(1-G5),"")</f>
        <v>1250</v>
      </c>
      <c r="J5" s="9" t="n">
        <f aca="false">IFERROR(I5*IFERROR(VLOOKUP(H5,VatRates,2,FALSE()),0),"")</f>
        <v>250</v>
      </c>
      <c r="K5" s="9" t="n">
        <f aca="false">IFERROR(I5+J5,"")</f>
        <v>1500</v>
      </c>
    </row>
    <row r="6" customFormat="false" ht="15" hidden="false" customHeight="false" outlineLevel="0" collapsed="false">
      <c r="A6" s="10" t="s">
        <v>178</v>
      </c>
      <c r="B6" s="10" t="s">
        <v>155</v>
      </c>
      <c r="C6" s="10" t="s">
        <v>119</v>
      </c>
      <c r="D6" s="14" t="str">
        <f aca="false">IFERROR(IF(C6="","",INDEX(Products!$C$5:$C$504,MATCH(C6,Products!$A$5:$A$504,0))),"")</f>
        <v>Small Packaging Box</v>
      </c>
      <c r="E6" s="13" t="n">
        <v>10</v>
      </c>
      <c r="F6" s="11" t="n">
        <v>1.2</v>
      </c>
      <c r="G6" s="15" t="n">
        <v>0</v>
      </c>
      <c r="H6" s="10" t="s">
        <v>114</v>
      </c>
      <c r="I6" s="9" t="n">
        <f aca="false">IFERROR(E6*F6*(1-G6),"")</f>
        <v>12</v>
      </c>
      <c r="J6" s="9" t="n">
        <f aca="false">IFERROR(I6*IFERROR(VLOOKUP(H6,VatRates,2,FALSE()),0),"")</f>
        <v>2.4</v>
      </c>
      <c r="K6" s="9" t="n">
        <f aca="false">IFERROR(I6+J6,"")</f>
        <v>14.4</v>
      </c>
    </row>
    <row r="7" customFormat="false" ht="15" hidden="false" customHeight="false" outlineLevel="0" collapsed="false">
      <c r="A7" s="10" t="s">
        <v>179</v>
      </c>
      <c r="B7" s="10" t="s">
        <v>157</v>
      </c>
      <c r="C7" s="10" t="s">
        <v>115</v>
      </c>
      <c r="D7" s="14" t="str">
        <f aca="false">IFERROR(IF(C7="","",INDEX(Products!$C$5:$C$504,MATCH(C7,Products!$A$5:$A$504,0))),"")</f>
        <v>Premium Widget (Type B)</v>
      </c>
      <c r="E7" s="13" t="n">
        <v>50</v>
      </c>
      <c r="F7" s="11" t="n">
        <v>22</v>
      </c>
      <c r="G7" s="15" t="n">
        <v>0.05</v>
      </c>
      <c r="H7" s="10" t="s">
        <v>114</v>
      </c>
      <c r="I7" s="9" t="n">
        <f aca="false">IFERROR(E7*F7*(1-G7),"")</f>
        <v>1045</v>
      </c>
      <c r="J7" s="9" t="n">
        <f aca="false">IFERROR(I7*IFERROR(VLOOKUP(H7,VatRates,2,FALSE()),0),"")</f>
        <v>209</v>
      </c>
      <c r="K7" s="9" t="n">
        <f aca="false">IFERROR(I7+J7,"")</f>
        <v>1254</v>
      </c>
    </row>
    <row r="8" customFormat="false" ht="15" hidden="false" customHeight="false" outlineLevel="0" collapsed="false">
      <c r="A8" s="10" t="s">
        <v>180</v>
      </c>
      <c r="B8" s="10" t="s">
        <v>160</v>
      </c>
      <c r="C8" s="10" t="s">
        <v>108</v>
      </c>
      <c r="D8" s="14" t="str">
        <f aca="false">IFERROR(IF(C8="","",INDEX(Products!$C$5:$C$504,MATCH(C8,Products!$A$5:$A$504,0))),"")</f>
        <v>Standard Widget (Type A)</v>
      </c>
      <c r="E8" s="13" t="n">
        <v>24</v>
      </c>
      <c r="F8" s="11" t="n">
        <v>12.5</v>
      </c>
      <c r="G8" s="15" t="n">
        <v>0</v>
      </c>
      <c r="H8" s="10" t="s">
        <v>114</v>
      </c>
      <c r="I8" s="9" t="n">
        <f aca="false">IFERROR(E8*F8*(1-G8),"")</f>
        <v>300</v>
      </c>
      <c r="J8" s="9" t="n">
        <f aca="false">IFERROR(I8*IFERROR(VLOOKUP(H8,VatRates,2,FALSE()),0),"")</f>
        <v>60</v>
      </c>
      <c r="K8" s="9" t="n">
        <f aca="false">IFERROR(I8+J8,"")</f>
        <v>360</v>
      </c>
    </row>
    <row r="9" customFormat="false" ht="15" hidden="false" customHeight="false" outlineLevel="0" collapsed="false">
      <c r="A9" s="10" t="s">
        <v>181</v>
      </c>
      <c r="B9" s="10" t="s">
        <v>160</v>
      </c>
      <c r="C9" s="10" t="s">
        <v>123</v>
      </c>
      <c r="D9" s="14" t="str">
        <f aca="false">IFERROR(IF(C9="","",INDEX(Products!$C$5:$C$504,MATCH(C9,Products!$A$5:$A$504,0))),"")</f>
        <v>Installation Service</v>
      </c>
      <c r="E9" s="13" t="n">
        <v>4</v>
      </c>
      <c r="F9" s="11" t="n">
        <v>85</v>
      </c>
      <c r="G9" s="15" t="n">
        <v>0</v>
      </c>
      <c r="H9" s="10" t="s">
        <v>114</v>
      </c>
      <c r="I9" s="9" t="n">
        <f aca="false">IFERROR(E9*F9*(1-G9),"")</f>
        <v>340</v>
      </c>
      <c r="J9" s="9" t="n">
        <f aca="false">IFERROR(I9*IFERROR(VLOOKUP(H9,VatRates,2,FALSE()),0),"")</f>
        <v>68</v>
      </c>
      <c r="K9" s="9" t="n">
        <f aca="false">IFERROR(I9+J9,"")</f>
        <v>408</v>
      </c>
    </row>
    <row r="10" customFormat="false" ht="15" hidden="false" customHeight="false" outlineLevel="0" collapsed="false">
      <c r="A10" s="10" t="s">
        <v>182</v>
      </c>
      <c r="B10" s="10" t="s">
        <v>162</v>
      </c>
      <c r="C10" s="10" t="s">
        <v>115</v>
      </c>
      <c r="D10" s="14" t="str">
        <f aca="false">IFERROR(IF(C10="","",INDEX(Products!$C$5:$C$504,MATCH(C10,Products!$A$5:$A$504,0))),"")</f>
        <v>Premium Widget (Type B)</v>
      </c>
      <c r="E10" s="13" t="n">
        <v>30</v>
      </c>
      <c r="F10" s="11" t="n">
        <v>22</v>
      </c>
      <c r="G10" s="15" t="n">
        <v>0.1</v>
      </c>
      <c r="H10" s="10" t="s">
        <v>114</v>
      </c>
      <c r="I10" s="9" t="n">
        <f aca="false">IFERROR(E10*F10*(1-G10),"")</f>
        <v>594</v>
      </c>
      <c r="J10" s="9" t="n">
        <f aca="false">IFERROR(I10*IFERROR(VLOOKUP(H10,VatRates,2,FALSE()),0),"")</f>
        <v>118.8</v>
      </c>
      <c r="K10" s="9" t="n">
        <f aca="false">IFERROR(I10+J10,"")</f>
        <v>712.8</v>
      </c>
    </row>
    <row r="11" customFormat="false" ht="15" hidden="false" customHeight="false" outlineLevel="0" collapsed="false">
      <c r="A11" s="10" t="s">
        <v>183</v>
      </c>
      <c r="B11" s="10" t="s">
        <v>162</v>
      </c>
      <c r="C11" s="10" t="s">
        <v>119</v>
      </c>
      <c r="D11" s="14" t="str">
        <f aca="false">IFERROR(IF(C11="","",INDEX(Products!$C$5:$C$504,MATCH(C11,Products!$A$5:$A$504,0))),"")</f>
        <v>Small Packaging Box</v>
      </c>
      <c r="E11" s="13" t="n">
        <v>30</v>
      </c>
      <c r="F11" s="11" t="n">
        <v>1.2</v>
      </c>
      <c r="G11" s="15" t="n">
        <v>0</v>
      </c>
      <c r="H11" s="10" t="s">
        <v>114</v>
      </c>
      <c r="I11" s="9" t="n">
        <f aca="false">IFERROR(E11*F11*(1-G11),"")</f>
        <v>36</v>
      </c>
      <c r="J11" s="9" t="n">
        <f aca="false">IFERROR(I11*IFERROR(VLOOKUP(H11,VatRates,2,FALSE()),0),"")</f>
        <v>7.2</v>
      </c>
      <c r="K11" s="9" t="n">
        <f aca="false">IFERROR(I11+J11,"")</f>
        <v>43.2</v>
      </c>
    </row>
    <row r="12" customFormat="false" ht="15" hidden="false" customHeight="false" outlineLevel="0" collapsed="false">
      <c r="A12" s="10" t="s">
        <v>184</v>
      </c>
      <c r="B12" s="10" t="s">
        <v>164</v>
      </c>
      <c r="C12" s="10" t="s">
        <v>108</v>
      </c>
      <c r="D12" s="14" t="str">
        <f aca="false">IFERROR(IF(C12="","",INDEX(Products!$C$5:$C$504,MATCH(C12,Products!$A$5:$A$504,0))),"")</f>
        <v>Standard Widget (Type A)</v>
      </c>
      <c r="E12" s="13" t="n">
        <v>200</v>
      </c>
      <c r="F12" s="11" t="n">
        <v>12</v>
      </c>
      <c r="G12" s="15" t="n">
        <v>0</v>
      </c>
      <c r="H12" s="10" t="s">
        <v>114</v>
      </c>
      <c r="I12" s="9" t="n">
        <f aca="false">IFERROR(E12*F12*(1-G12),"")</f>
        <v>2400</v>
      </c>
      <c r="J12" s="9" t="n">
        <f aca="false">IFERROR(I12*IFERROR(VLOOKUP(H12,VatRates,2,FALSE()),0),"")</f>
        <v>480</v>
      </c>
      <c r="K12" s="9" t="n">
        <f aca="false">IFERROR(I12+J12,"")</f>
        <v>2880</v>
      </c>
    </row>
    <row r="13" customFormat="false" ht="15" hidden="false" customHeight="false" outlineLevel="0" collapsed="false">
      <c r="A13" s="10"/>
      <c r="B13" s="10"/>
      <c r="C13" s="10"/>
      <c r="D13" s="14" t="str">
        <f aca="false">IFERROR(IF(C13="","",INDEX(Products!$C$5:$C$504,MATCH(C13,Products!$A$5:$A$504,0))),"")</f>
        <v/>
      </c>
      <c r="E13" s="13" t="n">
        <v>1</v>
      </c>
      <c r="F13" s="11"/>
      <c r="G13" s="15" t="n">
        <v>0</v>
      </c>
      <c r="H13" s="10" t="s">
        <v>114</v>
      </c>
      <c r="I13" s="9" t="n">
        <f aca="false">IFERROR(E13*F13*(1-G13),"")</f>
        <v>0</v>
      </c>
      <c r="J13" s="9" t="n">
        <f aca="false">IFERROR(I13*IFERROR(VLOOKUP(H13,VatRates,2,FALSE()),0),"")</f>
        <v>0</v>
      </c>
      <c r="K13" s="9" t="n">
        <f aca="false">IFERROR(I13+J13,"")</f>
        <v>0</v>
      </c>
    </row>
    <row r="14" customFormat="false" ht="15" hidden="false" customHeight="false" outlineLevel="0" collapsed="false">
      <c r="A14" s="10"/>
      <c r="B14" s="10"/>
      <c r="C14" s="10"/>
      <c r="D14" s="14" t="str">
        <f aca="false">IFERROR(IF(C14="","",INDEX(Products!$C$5:$C$504,MATCH(C14,Products!$A$5:$A$504,0))),"")</f>
        <v/>
      </c>
      <c r="E14" s="13" t="n">
        <v>1</v>
      </c>
      <c r="F14" s="11"/>
      <c r="G14" s="15" t="n">
        <v>0</v>
      </c>
      <c r="H14" s="10" t="s">
        <v>114</v>
      </c>
      <c r="I14" s="9" t="n">
        <f aca="false">IFERROR(E14*F14*(1-G14),"")</f>
        <v>0</v>
      </c>
      <c r="J14" s="9" t="n">
        <f aca="false">IFERROR(I14*IFERROR(VLOOKUP(H14,VatRates,2,FALSE()),0),"")</f>
        <v>0</v>
      </c>
      <c r="K14" s="9" t="n">
        <f aca="false">IFERROR(I14+J14,"")</f>
        <v>0</v>
      </c>
    </row>
    <row r="15" customFormat="false" ht="15" hidden="false" customHeight="false" outlineLevel="0" collapsed="false">
      <c r="A15" s="10"/>
      <c r="B15" s="10"/>
      <c r="C15" s="10"/>
      <c r="D15" s="14" t="str">
        <f aca="false">IFERROR(IF(C15="","",INDEX(Products!$C$5:$C$504,MATCH(C15,Products!$A$5:$A$504,0))),"")</f>
        <v/>
      </c>
      <c r="E15" s="13" t="n">
        <v>1</v>
      </c>
      <c r="F15" s="11"/>
      <c r="G15" s="15" t="n">
        <v>0</v>
      </c>
      <c r="H15" s="10" t="s">
        <v>114</v>
      </c>
      <c r="I15" s="9" t="n">
        <f aca="false">IFERROR(E15*F15*(1-G15),"")</f>
        <v>0</v>
      </c>
      <c r="J15" s="9" t="n">
        <f aca="false">IFERROR(I15*IFERROR(VLOOKUP(H15,VatRates,2,FALSE()),0),"")</f>
        <v>0</v>
      </c>
      <c r="K15" s="9" t="n">
        <f aca="false">IFERROR(I15+J15,"")</f>
        <v>0</v>
      </c>
    </row>
    <row r="16" customFormat="false" ht="15" hidden="false" customHeight="false" outlineLevel="0" collapsed="false">
      <c r="A16" s="10"/>
      <c r="B16" s="10"/>
      <c r="C16" s="10"/>
      <c r="D16" s="14" t="str">
        <f aca="false">IFERROR(IF(C16="","",INDEX(Products!$C$5:$C$504,MATCH(C16,Products!$A$5:$A$504,0))),"")</f>
        <v/>
      </c>
      <c r="E16" s="13" t="n">
        <v>1</v>
      </c>
      <c r="F16" s="11"/>
      <c r="G16" s="15" t="n">
        <v>0</v>
      </c>
      <c r="H16" s="10" t="s">
        <v>114</v>
      </c>
      <c r="I16" s="9" t="n">
        <f aca="false">IFERROR(E16*F16*(1-G16),"")</f>
        <v>0</v>
      </c>
      <c r="J16" s="9" t="n">
        <f aca="false">IFERROR(I16*IFERROR(VLOOKUP(H16,VatRates,2,FALSE()),0),"")</f>
        <v>0</v>
      </c>
      <c r="K16" s="9" t="n">
        <f aca="false">IFERROR(I16+J16,"")</f>
        <v>0</v>
      </c>
    </row>
    <row r="17" customFormat="false" ht="15" hidden="false" customHeight="false" outlineLevel="0" collapsed="false">
      <c r="A17" s="10"/>
      <c r="B17" s="10"/>
      <c r="C17" s="10"/>
      <c r="D17" s="14" t="str">
        <f aca="false">IFERROR(IF(C17="","",INDEX(Products!$C$5:$C$504,MATCH(C17,Products!$A$5:$A$504,0))),"")</f>
        <v/>
      </c>
      <c r="E17" s="13" t="n">
        <v>1</v>
      </c>
      <c r="F17" s="11"/>
      <c r="G17" s="15" t="n">
        <v>0</v>
      </c>
      <c r="H17" s="10" t="s">
        <v>114</v>
      </c>
      <c r="I17" s="9" t="n">
        <f aca="false">IFERROR(E17*F17*(1-G17),"")</f>
        <v>0</v>
      </c>
      <c r="J17" s="9" t="n">
        <f aca="false">IFERROR(I17*IFERROR(VLOOKUP(H17,VatRates,2,FALSE()),0),"")</f>
        <v>0</v>
      </c>
      <c r="K17" s="9" t="n">
        <f aca="false">IFERROR(I17+J17,"")</f>
        <v>0</v>
      </c>
    </row>
    <row r="18" customFormat="false" ht="15" hidden="false" customHeight="false" outlineLevel="0" collapsed="false">
      <c r="A18" s="10"/>
      <c r="B18" s="10"/>
      <c r="C18" s="10"/>
      <c r="D18" s="14" t="str">
        <f aca="false">IFERROR(IF(C18="","",INDEX(Products!$C$5:$C$504,MATCH(C18,Products!$A$5:$A$504,0))),"")</f>
        <v/>
      </c>
      <c r="E18" s="13" t="n">
        <v>1</v>
      </c>
      <c r="F18" s="11"/>
      <c r="G18" s="15" t="n">
        <v>0</v>
      </c>
      <c r="H18" s="10" t="s">
        <v>114</v>
      </c>
      <c r="I18" s="9" t="n">
        <f aca="false">IFERROR(E18*F18*(1-G18),"")</f>
        <v>0</v>
      </c>
      <c r="J18" s="9" t="n">
        <f aca="false">IFERROR(I18*IFERROR(VLOOKUP(H18,VatRates,2,FALSE()),0),"")</f>
        <v>0</v>
      </c>
      <c r="K18" s="9" t="n">
        <f aca="false">IFERROR(I18+J18,"")</f>
        <v>0</v>
      </c>
    </row>
    <row r="19" customFormat="false" ht="15" hidden="false" customHeight="false" outlineLevel="0" collapsed="false">
      <c r="A19" s="10"/>
      <c r="B19" s="10"/>
      <c r="C19" s="10"/>
      <c r="D19" s="14" t="str">
        <f aca="false">IFERROR(IF(C19="","",INDEX(Products!$C$5:$C$504,MATCH(C19,Products!$A$5:$A$504,0))),"")</f>
        <v/>
      </c>
      <c r="E19" s="13" t="n">
        <v>1</v>
      </c>
      <c r="F19" s="11"/>
      <c r="G19" s="15" t="n">
        <v>0</v>
      </c>
      <c r="H19" s="10" t="s">
        <v>114</v>
      </c>
      <c r="I19" s="9" t="n">
        <f aca="false">IFERROR(E19*F19*(1-G19),"")</f>
        <v>0</v>
      </c>
      <c r="J19" s="9" t="n">
        <f aca="false">IFERROR(I19*IFERROR(VLOOKUP(H19,VatRates,2,FALSE()),0),"")</f>
        <v>0</v>
      </c>
      <c r="K19" s="9" t="n">
        <f aca="false">IFERROR(I19+J19,"")</f>
        <v>0</v>
      </c>
    </row>
    <row r="20" customFormat="false" ht="15" hidden="false" customHeight="false" outlineLevel="0" collapsed="false">
      <c r="A20" s="10"/>
      <c r="B20" s="10"/>
      <c r="C20" s="10"/>
      <c r="D20" s="14" t="str">
        <f aca="false">IFERROR(IF(C20="","",INDEX(Products!$C$5:$C$504,MATCH(C20,Products!$A$5:$A$504,0))),"")</f>
        <v/>
      </c>
      <c r="E20" s="13" t="n">
        <v>1</v>
      </c>
      <c r="F20" s="11"/>
      <c r="G20" s="15" t="n">
        <v>0</v>
      </c>
      <c r="H20" s="10" t="s">
        <v>114</v>
      </c>
      <c r="I20" s="9" t="n">
        <f aca="false">IFERROR(E20*F20*(1-G20),"")</f>
        <v>0</v>
      </c>
      <c r="J20" s="9" t="n">
        <f aca="false">IFERROR(I20*IFERROR(VLOOKUP(H20,VatRates,2,FALSE()),0),"")</f>
        <v>0</v>
      </c>
      <c r="K20" s="9" t="n">
        <f aca="false">IFERROR(I20+J20,"")</f>
        <v>0</v>
      </c>
    </row>
    <row r="21" customFormat="false" ht="15" hidden="false" customHeight="false" outlineLevel="0" collapsed="false">
      <c r="A21" s="10"/>
      <c r="B21" s="10"/>
      <c r="C21" s="10"/>
      <c r="D21" s="14" t="str">
        <f aca="false">IFERROR(IF(C21="","",INDEX(Products!$C$5:$C$504,MATCH(C21,Products!$A$5:$A$504,0))),"")</f>
        <v/>
      </c>
      <c r="E21" s="13" t="n">
        <v>1</v>
      </c>
      <c r="F21" s="11"/>
      <c r="G21" s="15" t="n">
        <v>0</v>
      </c>
      <c r="H21" s="10" t="s">
        <v>114</v>
      </c>
      <c r="I21" s="9" t="n">
        <f aca="false">IFERROR(E21*F21*(1-G21),"")</f>
        <v>0</v>
      </c>
      <c r="J21" s="9" t="n">
        <f aca="false">IFERROR(I21*IFERROR(VLOOKUP(H21,VatRates,2,FALSE()),0),"")</f>
        <v>0</v>
      </c>
      <c r="K21" s="9" t="n">
        <f aca="false">IFERROR(I21+J21,"")</f>
        <v>0</v>
      </c>
    </row>
    <row r="22" customFormat="false" ht="15" hidden="false" customHeight="false" outlineLevel="0" collapsed="false">
      <c r="A22" s="10"/>
      <c r="B22" s="10"/>
      <c r="C22" s="10"/>
      <c r="D22" s="14" t="str">
        <f aca="false">IFERROR(IF(C22="","",INDEX(Products!$C$5:$C$504,MATCH(C22,Products!$A$5:$A$504,0))),"")</f>
        <v/>
      </c>
      <c r="E22" s="13" t="n">
        <v>1</v>
      </c>
      <c r="F22" s="11"/>
      <c r="G22" s="15" t="n">
        <v>0</v>
      </c>
      <c r="H22" s="10" t="s">
        <v>114</v>
      </c>
      <c r="I22" s="9" t="n">
        <f aca="false">IFERROR(E22*F22*(1-G22),"")</f>
        <v>0</v>
      </c>
      <c r="J22" s="9" t="n">
        <f aca="false">IFERROR(I22*IFERROR(VLOOKUP(H22,VatRates,2,FALSE()),0),"")</f>
        <v>0</v>
      </c>
      <c r="K22" s="9" t="n">
        <f aca="false">IFERROR(I22+J22,"")</f>
        <v>0</v>
      </c>
    </row>
    <row r="23" customFormat="false" ht="15" hidden="false" customHeight="false" outlineLevel="0" collapsed="false">
      <c r="A23" s="10"/>
      <c r="B23" s="10"/>
      <c r="C23" s="10"/>
      <c r="D23" s="14" t="str">
        <f aca="false">IFERROR(IF(C23="","",INDEX(Products!$C$5:$C$504,MATCH(C23,Products!$A$5:$A$504,0))),"")</f>
        <v/>
      </c>
      <c r="E23" s="13" t="n">
        <v>1</v>
      </c>
      <c r="F23" s="11"/>
      <c r="G23" s="15" t="n">
        <v>0</v>
      </c>
      <c r="H23" s="10" t="s">
        <v>114</v>
      </c>
      <c r="I23" s="9" t="n">
        <f aca="false">IFERROR(E23*F23*(1-G23),"")</f>
        <v>0</v>
      </c>
      <c r="J23" s="9" t="n">
        <f aca="false">IFERROR(I23*IFERROR(VLOOKUP(H23,VatRates,2,FALSE()),0),"")</f>
        <v>0</v>
      </c>
      <c r="K23" s="9" t="n">
        <f aca="false">IFERROR(I23+J23,"")</f>
        <v>0</v>
      </c>
    </row>
    <row r="24" customFormat="false" ht="15" hidden="false" customHeight="false" outlineLevel="0" collapsed="false">
      <c r="A24" s="10"/>
      <c r="B24" s="10"/>
      <c r="C24" s="10"/>
      <c r="D24" s="14" t="str">
        <f aca="false">IFERROR(IF(C24="","",INDEX(Products!$C$5:$C$504,MATCH(C24,Products!$A$5:$A$504,0))),"")</f>
        <v/>
      </c>
      <c r="E24" s="13" t="n">
        <v>1</v>
      </c>
      <c r="F24" s="11"/>
      <c r="G24" s="15" t="n">
        <v>0</v>
      </c>
      <c r="H24" s="10" t="s">
        <v>114</v>
      </c>
      <c r="I24" s="9" t="n">
        <f aca="false">IFERROR(E24*F24*(1-G24),"")</f>
        <v>0</v>
      </c>
      <c r="J24" s="9" t="n">
        <f aca="false">IFERROR(I24*IFERROR(VLOOKUP(H24,VatRates,2,FALSE()),0),"")</f>
        <v>0</v>
      </c>
      <c r="K24" s="9" t="n">
        <f aca="false">IFERROR(I24+J24,"")</f>
        <v>0</v>
      </c>
    </row>
    <row r="25" customFormat="false" ht="15" hidden="false" customHeight="false" outlineLevel="0" collapsed="false">
      <c r="A25" s="10"/>
      <c r="B25" s="10"/>
      <c r="C25" s="10"/>
      <c r="D25" s="14" t="str">
        <f aca="false">IFERROR(IF(C25="","",INDEX(Products!$C$5:$C$504,MATCH(C25,Products!$A$5:$A$504,0))),"")</f>
        <v/>
      </c>
      <c r="E25" s="13" t="n">
        <v>1</v>
      </c>
      <c r="F25" s="11"/>
      <c r="G25" s="15" t="n">
        <v>0</v>
      </c>
      <c r="H25" s="10" t="s">
        <v>114</v>
      </c>
      <c r="I25" s="9" t="n">
        <f aca="false">IFERROR(E25*F25*(1-G25),"")</f>
        <v>0</v>
      </c>
      <c r="J25" s="9" t="n">
        <f aca="false">IFERROR(I25*IFERROR(VLOOKUP(H25,VatRates,2,FALSE()),0),"")</f>
        <v>0</v>
      </c>
      <c r="K25" s="9" t="n">
        <f aca="false">IFERROR(I25+J25,"")</f>
        <v>0</v>
      </c>
    </row>
    <row r="26" customFormat="false" ht="15" hidden="false" customHeight="false" outlineLevel="0" collapsed="false">
      <c r="A26" s="10"/>
      <c r="B26" s="10"/>
      <c r="C26" s="10"/>
      <c r="D26" s="14" t="str">
        <f aca="false">IFERROR(IF(C26="","",INDEX(Products!$C$5:$C$504,MATCH(C26,Products!$A$5:$A$504,0))),"")</f>
        <v/>
      </c>
      <c r="E26" s="13" t="n">
        <v>1</v>
      </c>
      <c r="F26" s="11"/>
      <c r="G26" s="15" t="n">
        <v>0</v>
      </c>
      <c r="H26" s="10" t="s">
        <v>114</v>
      </c>
      <c r="I26" s="9" t="n">
        <f aca="false">IFERROR(E26*F26*(1-G26),"")</f>
        <v>0</v>
      </c>
      <c r="J26" s="9" t="n">
        <f aca="false">IFERROR(I26*IFERROR(VLOOKUP(H26,VatRates,2,FALSE()),0),"")</f>
        <v>0</v>
      </c>
      <c r="K26" s="9" t="n">
        <f aca="false">IFERROR(I26+J26,"")</f>
        <v>0</v>
      </c>
    </row>
    <row r="27" customFormat="false" ht="15" hidden="false" customHeight="false" outlineLevel="0" collapsed="false">
      <c r="A27" s="10"/>
      <c r="B27" s="10"/>
      <c r="C27" s="10"/>
      <c r="D27" s="14" t="str">
        <f aca="false">IFERROR(IF(C27="","",INDEX(Products!$C$5:$C$504,MATCH(C27,Products!$A$5:$A$504,0))),"")</f>
        <v/>
      </c>
      <c r="E27" s="13" t="n">
        <v>1</v>
      </c>
      <c r="F27" s="11"/>
      <c r="G27" s="15" t="n">
        <v>0</v>
      </c>
      <c r="H27" s="10" t="s">
        <v>114</v>
      </c>
      <c r="I27" s="9" t="n">
        <f aca="false">IFERROR(E27*F27*(1-G27),"")</f>
        <v>0</v>
      </c>
      <c r="J27" s="9" t="n">
        <f aca="false">IFERROR(I27*IFERROR(VLOOKUP(H27,VatRates,2,FALSE()),0),"")</f>
        <v>0</v>
      </c>
      <c r="K27" s="9" t="n">
        <f aca="false">IFERROR(I27+J27,"")</f>
        <v>0</v>
      </c>
    </row>
    <row r="28" customFormat="false" ht="15" hidden="false" customHeight="false" outlineLevel="0" collapsed="false">
      <c r="A28" s="10"/>
      <c r="B28" s="10"/>
      <c r="C28" s="10"/>
      <c r="D28" s="14" t="str">
        <f aca="false">IFERROR(IF(C28="","",INDEX(Products!$C$5:$C$504,MATCH(C28,Products!$A$5:$A$504,0))),"")</f>
        <v/>
      </c>
      <c r="E28" s="13" t="n">
        <v>1</v>
      </c>
      <c r="F28" s="11"/>
      <c r="G28" s="15" t="n">
        <v>0</v>
      </c>
      <c r="H28" s="10" t="s">
        <v>114</v>
      </c>
      <c r="I28" s="9" t="n">
        <f aca="false">IFERROR(E28*F28*(1-G28),"")</f>
        <v>0</v>
      </c>
      <c r="J28" s="9" t="n">
        <f aca="false">IFERROR(I28*IFERROR(VLOOKUP(H28,VatRates,2,FALSE()),0),"")</f>
        <v>0</v>
      </c>
      <c r="K28" s="9" t="n">
        <f aca="false">IFERROR(I28+J28,"")</f>
        <v>0</v>
      </c>
    </row>
    <row r="29" customFormat="false" ht="15" hidden="false" customHeight="false" outlineLevel="0" collapsed="false">
      <c r="A29" s="10"/>
      <c r="B29" s="10"/>
      <c r="C29" s="10"/>
      <c r="D29" s="14" t="str">
        <f aca="false">IFERROR(IF(C29="","",INDEX(Products!$C$5:$C$504,MATCH(C29,Products!$A$5:$A$504,0))),"")</f>
        <v/>
      </c>
      <c r="E29" s="13" t="n">
        <v>1</v>
      </c>
      <c r="F29" s="11"/>
      <c r="G29" s="15" t="n">
        <v>0</v>
      </c>
      <c r="H29" s="10" t="s">
        <v>114</v>
      </c>
      <c r="I29" s="9" t="n">
        <f aca="false">IFERROR(E29*F29*(1-G29),"")</f>
        <v>0</v>
      </c>
      <c r="J29" s="9" t="n">
        <f aca="false">IFERROR(I29*IFERROR(VLOOKUP(H29,VatRates,2,FALSE()),0),"")</f>
        <v>0</v>
      </c>
      <c r="K29" s="9" t="n">
        <f aca="false">IFERROR(I29+J29,"")</f>
        <v>0</v>
      </c>
    </row>
    <row r="30" customFormat="false" ht="15" hidden="false" customHeight="false" outlineLevel="0" collapsed="false">
      <c r="A30" s="10"/>
      <c r="B30" s="10"/>
      <c r="C30" s="10"/>
      <c r="D30" s="14" t="str">
        <f aca="false">IFERROR(IF(C30="","",INDEX(Products!$C$5:$C$504,MATCH(C30,Products!$A$5:$A$504,0))),"")</f>
        <v/>
      </c>
      <c r="E30" s="13" t="n">
        <v>1</v>
      </c>
      <c r="F30" s="11"/>
      <c r="G30" s="15" t="n">
        <v>0</v>
      </c>
      <c r="H30" s="10" t="s">
        <v>114</v>
      </c>
      <c r="I30" s="9" t="n">
        <f aca="false">IFERROR(E30*F30*(1-G30),"")</f>
        <v>0</v>
      </c>
      <c r="J30" s="9" t="n">
        <f aca="false">IFERROR(I30*IFERROR(VLOOKUP(H30,VatRates,2,FALSE()),0),"")</f>
        <v>0</v>
      </c>
      <c r="K30" s="9" t="n">
        <f aca="false">IFERROR(I30+J30,"")</f>
        <v>0</v>
      </c>
    </row>
    <row r="31" customFormat="false" ht="15" hidden="false" customHeight="false" outlineLevel="0" collapsed="false">
      <c r="A31" s="10"/>
      <c r="B31" s="10"/>
      <c r="C31" s="10"/>
      <c r="D31" s="14" t="str">
        <f aca="false">IFERROR(IF(C31="","",INDEX(Products!$C$5:$C$504,MATCH(C31,Products!$A$5:$A$504,0))),"")</f>
        <v/>
      </c>
      <c r="E31" s="13" t="n">
        <v>1</v>
      </c>
      <c r="F31" s="11"/>
      <c r="G31" s="15" t="n">
        <v>0</v>
      </c>
      <c r="H31" s="10" t="s">
        <v>114</v>
      </c>
      <c r="I31" s="9" t="n">
        <f aca="false">IFERROR(E31*F31*(1-G31),"")</f>
        <v>0</v>
      </c>
      <c r="J31" s="9" t="n">
        <f aca="false">IFERROR(I31*IFERROR(VLOOKUP(H31,VatRates,2,FALSE()),0),"")</f>
        <v>0</v>
      </c>
      <c r="K31" s="9" t="n">
        <f aca="false">IFERROR(I31+J31,"")</f>
        <v>0</v>
      </c>
    </row>
    <row r="32" customFormat="false" ht="15" hidden="false" customHeight="false" outlineLevel="0" collapsed="false">
      <c r="A32" s="10"/>
      <c r="B32" s="10"/>
      <c r="C32" s="10"/>
      <c r="D32" s="14" t="str">
        <f aca="false">IFERROR(IF(C32="","",INDEX(Products!$C$5:$C$504,MATCH(C32,Products!$A$5:$A$504,0))),"")</f>
        <v/>
      </c>
      <c r="E32" s="13" t="n">
        <v>1</v>
      </c>
      <c r="F32" s="11"/>
      <c r="G32" s="15" t="n">
        <v>0</v>
      </c>
      <c r="H32" s="10" t="s">
        <v>114</v>
      </c>
      <c r="I32" s="9" t="n">
        <f aca="false">IFERROR(E32*F32*(1-G32),"")</f>
        <v>0</v>
      </c>
      <c r="J32" s="9" t="n">
        <f aca="false">IFERROR(I32*IFERROR(VLOOKUP(H32,VatRates,2,FALSE()),0),"")</f>
        <v>0</v>
      </c>
      <c r="K32" s="9" t="n">
        <f aca="false">IFERROR(I32+J32,"")</f>
        <v>0</v>
      </c>
    </row>
    <row r="33" customFormat="false" ht="15" hidden="false" customHeight="false" outlineLevel="0" collapsed="false">
      <c r="A33" s="10"/>
      <c r="B33" s="10"/>
      <c r="C33" s="10"/>
      <c r="D33" s="14" t="str">
        <f aca="false">IFERROR(IF(C33="","",INDEX(Products!$C$5:$C$504,MATCH(C33,Products!$A$5:$A$504,0))),"")</f>
        <v/>
      </c>
      <c r="E33" s="13" t="n">
        <v>1</v>
      </c>
      <c r="F33" s="11"/>
      <c r="G33" s="15" t="n">
        <v>0</v>
      </c>
      <c r="H33" s="10" t="s">
        <v>114</v>
      </c>
      <c r="I33" s="9" t="n">
        <f aca="false">IFERROR(E33*F33*(1-G33),"")</f>
        <v>0</v>
      </c>
      <c r="J33" s="9" t="n">
        <f aca="false">IFERROR(I33*IFERROR(VLOOKUP(H33,VatRates,2,FALSE()),0),"")</f>
        <v>0</v>
      </c>
      <c r="K33" s="9" t="n">
        <f aca="false">IFERROR(I33+J33,"")</f>
        <v>0</v>
      </c>
    </row>
    <row r="34" customFormat="false" ht="15" hidden="false" customHeight="false" outlineLevel="0" collapsed="false">
      <c r="A34" s="10"/>
      <c r="B34" s="10"/>
      <c r="C34" s="10"/>
      <c r="D34" s="14" t="str">
        <f aca="false">IFERROR(IF(C34="","",INDEX(Products!$C$5:$C$504,MATCH(C34,Products!$A$5:$A$504,0))),"")</f>
        <v/>
      </c>
      <c r="E34" s="13" t="n">
        <v>1</v>
      </c>
      <c r="F34" s="11"/>
      <c r="G34" s="15" t="n">
        <v>0</v>
      </c>
      <c r="H34" s="10" t="s">
        <v>114</v>
      </c>
      <c r="I34" s="9" t="n">
        <f aca="false">IFERROR(E34*F34*(1-G34),"")</f>
        <v>0</v>
      </c>
      <c r="J34" s="9" t="n">
        <f aca="false">IFERROR(I34*IFERROR(VLOOKUP(H34,VatRates,2,FALSE()),0),"")</f>
        <v>0</v>
      </c>
      <c r="K34" s="9" t="n">
        <f aca="false">IFERROR(I34+J34,"")</f>
        <v>0</v>
      </c>
    </row>
    <row r="35" customFormat="false" ht="15" hidden="false" customHeight="false" outlineLevel="0" collapsed="false">
      <c r="A35" s="10"/>
      <c r="B35" s="10"/>
      <c r="C35" s="10"/>
      <c r="D35" s="14" t="str">
        <f aca="false">IFERROR(IF(C35="","",INDEX(Products!$C$5:$C$504,MATCH(C35,Products!$A$5:$A$504,0))),"")</f>
        <v/>
      </c>
      <c r="E35" s="13" t="n">
        <v>1</v>
      </c>
      <c r="F35" s="11"/>
      <c r="G35" s="15" t="n">
        <v>0</v>
      </c>
      <c r="H35" s="10" t="s">
        <v>114</v>
      </c>
      <c r="I35" s="9" t="n">
        <f aca="false">IFERROR(E35*F35*(1-G35),"")</f>
        <v>0</v>
      </c>
      <c r="J35" s="9" t="n">
        <f aca="false">IFERROR(I35*IFERROR(VLOOKUP(H35,VatRates,2,FALSE()),0),"")</f>
        <v>0</v>
      </c>
      <c r="K35" s="9" t="n">
        <f aca="false">IFERROR(I35+J35,"")</f>
        <v>0</v>
      </c>
    </row>
    <row r="36" customFormat="false" ht="15" hidden="false" customHeight="false" outlineLevel="0" collapsed="false">
      <c r="A36" s="10"/>
      <c r="B36" s="10"/>
      <c r="C36" s="10"/>
      <c r="D36" s="14" t="str">
        <f aca="false">IFERROR(IF(C36="","",INDEX(Products!$C$5:$C$504,MATCH(C36,Products!$A$5:$A$504,0))),"")</f>
        <v/>
      </c>
      <c r="E36" s="13" t="n">
        <v>1</v>
      </c>
      <c r="F36" s="11"/>
      <c r="G36" s="15" t="n">
        <v>0</v>
      </c>
      <c r="H36" s="10" t="s">
        <v>114</v>
      </c>
      <c r="I36" s="9" t="n">
        <f aca="false">IFERROR(E36*F36*(1-G36),"")</f>
        <v>0</v>
      </c>
      <c r="J36" s="9" t="n">
        <f aca="false">IFERROR(I36*IFERROR(VLOOKUP(H36,VatRates,2,FALSE()),0),"")</f>
        <v>0</v>
      </c>
      <c r="K36" s="9" t="n">
        <f aca="false">IFERROR(I36+J36,"")</f>
        <v>0</v>
      </c>
    </row>
    <row r="37" customFormat="false" ht="15" hidden="false" customHeight="false" outlineLevel="0" collapsed="false">
      <c r="A37" s="10"/>
      <c r="B37" s="10"/>
      <c r="C37" s="10"/>
      <c r="D37" s="14" t="str">
        <f aca="false">IFERROR(IF(C37="","",INDEX(Products!$C$5:$C$504,MATCH(C37,Products!$A$5:$A$504,0))),"")</f>
        <v/>
      </c>
      <c r="E37" s="13" t="n">
        <v>1</v>
      </c>
      <c r="F37" s="11"/>
      <c r="G37" s="15" t="n">
        <v>0</v>
      </c>
      <c r="H37" s="10" t="s">
        <v>114</v>
      </c>
      <c r="I37" s="9" t="n">
        <f aca="false">IFERROR(E37*F37*(1-G37),"")</f>
        <v>0</v>
      </c>
      <c r="J37" s="9" t="n">
        <f aca="false">IFERROR(I37*IFERROR(VLOOKUP(H37,VatRates,2,FALSE()),0),"")</f>
        <v>0</v>
      </c>
      <c r="K37" s="9" t="n">
        <f aca="false">IFERROR(I37+J37,"")</f>
        <v>0</v>
      </c>
    </row>
    <row r="38" customFormat="false" ht="15" hidden="false" customHeight="false" outlineLevel="0" collapsed="false">
      <c r="A38" s="10"/>
      <c r="B38" s="10"/>
      <c r="C38" s="10"/>
      <c r="D38" s="14" t="str">
        <f aca="false">IFERROR(IF(C38="","",INDEX(Products!$C$5:$C$504,MATCH(C38,Products!$A$5:$A$504,0))),"")</f>
        <v/>
      </c>
      <c r="E38" s="13" t="n">
        <v>1</v>
      </c>
      <c r="F38" s="11"/>
      <c r="G38" s="15" t="n">
        <v>0</v>
      </c>
      <c r="H38" s="10" t="s">
        <v>114</v>
      </c>
      <c r="I38" s="9" t="n">
        <f aca="false">IFERROR(E38*F38*(1-G38),"")</f>
        <v>0</v>
      </c>
      <c r="J38" s="9" t="n">
        <f aca="false">IFERROR(I38*IFERROR(VLOOKUP(H38,VatRates,2,FALSE()),0),"")</f>
        <v>0</v>
      </c>
      <c r="K38" s="9" t="n">
        <f aca="false">IFERROR(I38+J38,"")</f>
        <v>0</v>
      </c>
    </row>
    <row r="39" customFormat="false" ht="15" hidden="false" customHeight="false" outlineLevel="0" collapsed="false">
      <c r="A39" s="10"/>
      <c r="B39" s="10"/>
      <c r="C39" s="10"/>
      <c r="D39" s="14" t="str">
        <f aca="false">IFERROR(IF(C39="","",INDEX(Products!$C$5:$C$504,MATCH(C39,Products!$A$5:$A$504,0))),"")</f>
        <v/>
      </c>
      <c r="E39" s="13" t="n">
        <v>1</v>
      </c>
      <c r="F39" s="11"/>
      <c r="G39" s="15" t="n">
        <v>0</v>
      </c>
      <c r="H39" s="10" t="s">
        <v>114</v>
      </c>
      <c r="I39" s="9" t="n">
        <f aca="false">IFERROR(E39*F39*(1-G39),"")</f>
        <v>0</v>
      </c>
      <c r="J39" s="9" t="n">
        <f aca="false">IFERROR(I39*IFERROR(VLOOKUP(H39,VatRates,2,FALSE()),0),"")</f>
        <v>0</v>
      </c>
      <c r="K39" s="9" t="n">
        <f aca="false">IFERROR(I39+J39,"")</f>
        <v>0</v>
      </c>
    </row>
    <row r="40" customFormat="false" ht="15" hidden="false" customHeight="false" outlineLevel="0" collapsed="false">
      <c r="A40" s="10"/>
      <c r="B40" s="10"/>
      <c r="C40" s="10"/>
      <c r="D40" s="14" t="str">
        <f aca="false">IFERROR(IF(C40="","",INDEX(Products!$C$5:$C$504,MATCH(C40,Products!$A$5:$A$504,0))),"")</f>
        <v/>
      </c>
      <c r="E40" s="13" t="n">
        <v>1</v>
      </c>
      <c r="F40" s="11"/>
      <c r="G40" s="15" t="n">
        <v>0</v>
      </c>
      <c r="H40" s="10" t="s">
        <v>114</v>
      </c>
      <c r="I40" s="9" t="n">
        <f aca="false">IFERROR(E40*F40*(1-G40),"")</f>
        <v>0</v>
      </c>
      <c r="J40" s="9" t="n">
        <f aca="false">IFERROR(I40*IFERROR(VLOOKUP(H40,VatRates,2,FALSE()),0),"")</f>
        <v>0</v>
      </c>
      <c r="K40" s="9" t="n">
        <f aca="false">IFERROR(I40+J40,"")</f>
        <v>0</v>
      </c>
    </row>
    <row r="41" customFormat="false" ht="15" hidden="false" customHeight="false" outlineLevel="0" collapsed="false">
      <c r="A41" s="10"/>
      <c r="B41" s="10"/>
      <c r="C41" s="10"/>
      <c r="D41" s="14" t="str">
        <f aca="false">IFERROR(IF(C41="","",INDEX(Products!$C$5:$C$504,MATCH(C41,Products!$A$5:$A$504,0))),"")</f>
        <v/>
      </c>
      <c r="E41" s="13" t="n">
        <v>1</v>
      </c>
      <c r="F41" s="11"/>
      <c r="G41" s="15" t="n">
        <v>0</v>
      </c>
      <c r="H41" s="10" t="s">
        <v>114</v>
      </c>
      <c r="I41" s="9" t="n">
        <f aca="false">IFERROR(E41*F41*(1-G41),"")</f>
        <v>0</v>
      </c>
      <c r="J41" s="9" t="n">
        <f aca="false">IFERROR(I41*IFERROR(VLOOKUP(H41,VatRates,2,FALSE()),0),"")</f>
        <v>0</v>
      </c>
      <c r="K41" s="9" t="n">
        <f aca="false">IFERROR(I41+J41,"")</f>
        <v>0</v>
      </c>
    </row>
    <row r="42" customFormat="false" ht="15" hidden="false" customHeight="false" outlineLevel="0" collapsed="false">
      <c r="A42" s="10"/>
      <c r="B42" s="10"/>
      <c r="C42" s="10"/>
      <c r="D42" s="14" t="str">
        <f aca="false">IFERROR(IF(C42="","",INDEX(Products!$C$5:$C$504,MATCH(C42,Products!$A$5:$A$504,0))),"")</f>
        <v/>
      </c>
      <c r="E42" s="13" t="n">
        <v>1</v>
      </c>
      <c r="F42" s="11"/>
      <c r="G42" s="15" t="n">
        <v>0</v>
      </c>
      <c r="H42" s="10" t="s">
        <v>114</v>
      </c>
      <c r="I42" s="9" t="n">
        <f aca="false">IFERROR(E42*F42*(1-G42),"")</f>
        <v>0</v>
      </c>
      <c r="J42" s="9" t="n">
        <f aca="false">IFERROR(I42*IFERROR(VLOOKUP(H42,VatRates,2,FALSE()),0),"")</f>
        <v>0</v>
      </c>
      <c r="K42" s="9" t="n">
        <f aca="false">IFERROR(I42+J42,"")</f>
        <v>0</v>
      </c>
    </row>
    <row r="43" customFormat="false" ht="15" hidden="false" customHeight="false" outlineLevel="0" collapsed="false">
      <c r="A43" s="10"/>
      <c r="B43" s="10"/>
      <c r="C43" s="10"/>
      <c r="D43" s="14" t="str">
        <f aca="false">IFERROR(IF(C43="","",INDEX(Products!$C$5:$C$504,MATCH(C43,Products!$A$5:$A$504,0))),"")</f>
        <v/>
      </c>
      <c r="E43" s="13" t="n">
        <v>1</v>
      </c>
      <c r="F43" s="11"/>
      <c r="G43" s="15" t="n">
        <v>0</v>
      </c>
      <c r="H43" s="10" t="s">
        <v>114</v>
      </c>
      <c r="I43" s="9" t="n">
        <f aca="false">IFERROR(E43*F43*(1-G43),"")</f>
        <v>0</v>
      </c>
      <c r="J43" s="9" t="n">
        <f aca="false">IFERROR(I43*IFERROR(VLOOKUP(H43,VatRates,2,FALSE()),0),"")</f>
        <v>0</v>
      </c>
      <c r="K43" s="9" t="n">
        <f aca="false">IFERROR(I43+J43,"")</f>
        <v>0</v>
      </c>
    </row>
    <row r="44" customFormat="false" ht="15" hidden="false" customHeight="false" outlineLevel="0" collapsed="false">
      <c r="A44" s="10"/>
      <c r="B44" s="10"/>
      <c r="C44" s="10"/>
      <c r="D44" s="14" t="str">
        <f aca="false">IFERROR(IF(C44="","",INDEX(Products!$C$5:$C$504,MATCH(C44,Products!$A$5:$A$504,0))),"")</f>
        <v/>
      </c>
      <c r="E44" s="13" t="n">
        <v>1</v>
      </c>
      <c r="F44" s="11"/>
      <c r="G44" s="15" t="n">
        <v>0</v>
      </c>
      <c r="H44" s="10" t="s">
        <v>114</v>
      </c>
      <c r="I44" s="9" t="n">
        <f aca="false">IFERROR(E44*F44*(1-G44),"")</f>
        <v>0</v>
      </c>
      <c r="J44" s="9" t="n">
        <f aca="false">IFERROR(I44*IFERROR(VLOOKUP(H44,VatRates,2,FALSE()),0),"")</f>
        <v>0</v>
      </c>
      <c r="K44" s="9" t="n">
        <f aca="false">IFERROR(I44+J44,"")</f>
        <v>0</v>
      </c>
    </row>
    <row r="45" customFormat="false" ht="15" hidden="false" customHeight="false" outlineLevel="0" collapsed="false">
      <c r="A45" s="10"/>
      <c r="B45" s="10"/>
      <c r="C45" s="10"/>
      <c r="D45" s="14" t="str">
        <f aca="false">IFERROR(IF(C45="","",INDEX(Products!$C$5:$C$504,MATCH(C45,Products!$A$5:$A$504,0))),"")</f>
        <v/>
      </c>
      <c r="E45" s="13" t="n">
        <v>1</v>
      </c>
      <c r="F45" s="11"/>
      <c r="G45" s="15" t="n">
        <v>0</v>
      </c>
      <c r="H45" s="10" t="s">
        <v>114</v>
      </c>
      <c r="I45" s="9" t="n">
        <f aca="false">IFERROR(E45*F45*(1-G45),"")</f>
        <v>0</v>
      </c>
      <c r="J45" s="9" t="n">
        <f aca="false">IFERROR(I45*IFERROR(VLOOKUP(H45,VatRates,2,FALSE()),0),"")</f>
        <v>0</v>
      </c>
      <c r="K45" s="9" t="n">
        <f aca="false">IFERROR(I45+J45,"")</f>
        <v>0</v>
      </c>
    </row>
    <row r="46" customFormat="false" ht="15" hidden="false" customHeight="false" outlineLevel="0" collapsed="false">
      <c r="A46" s="10"/>
      <c r="B46" s="10"/>
      <c r="C46" s="10"/>
      <c r="D46" s="14" t="str">
        <f aca="false">IFERROR(IF(C46="","",INDEX(Products!$C$5:$C$504,MATCH(C46,Products!$A$5:$A$504,0))),"")</f>
        <v/>
      </c>
      <c r="E46" s="13" t="n">
        <v>1</v>
      </c>
      <c r="F46" s="11"/>
      <c r="G46" s="15" t="n">
        <v>0</v>
      </c>
      <c r="H46" s="10" t="s">
        <v>114</v>
      </c>
      <c r="I46" s="9" t="n">
        <f aca="false">IFERROR(E46*F46*(1-G46),"")</f>
        <v>0</v>
      </c>
      <c r="J46" s="9" t="n">
        <f aca="false">IFERROR(I46*IFERROR(VLOOKUP(H46,VatRates,2,FALSE()),0),"")</f>
        <v>0</v>
      </c>
      <c r="K46" s="9" t="n">
        <f aca="false">IFERROR(I46+J46,"")</f>
        <v>0</v>
      </c>
    </row>
    <row r="47" customFormat="false" ht="15" hidden="false" customHeight="false" outlineLevel="0" collapsed="false">
      <c r="A47" s="10"/>
      <c r="B47" s="10"/>
      <c r="C47" s="10"/>
      <c r="D47" s="14" t="str">
        <f aca="false">IFERROR(IF(C47="","",INDEX(Products!$C$5:$C$504,MATCH(C47,Products!$A$5:$A$504,0))),"")</f>
        <v/>
      </c>
      <c r="E47" s="13" t="n">
        <v>1</v>
      </c>
      <c r="F47" s="11"/>
      <c r="G47" s="15" t="n">
        <v>0</v>
      </c>
      <c r="H47" s="10" t="s">
        <v>114</v>
      </c>
      <c r="I47" s="9" t="n">
        <f aca="false">IFERROR(E47*F47*(1-G47),"")</f>
        <v>0</v>
      </c>
      <c r="J47" s="9" t="n">
        <f aca="false">IFERROR(I47*IFERROR(VLOOKUP(H47,VatRates,2,FALSE()),0),"")</f>
        <v>0</v>
      </c>
      <c r="K47" s="9" t="n">
        <f aca="false">IFERROR(I47+J47,"")</f>
        <v>0</v>
      </c>
    </row>
    <row r="48" customFormat="false" ht="15" hidden="false" customHeight="false" outlineLevel="0" collapsed="false">
      <c r="A48" s="10"/>
      <c r="B48" s="10"/>
      <c r="C48" s="10"/>
      <c r="D48" s="14" t="str">
        <f aca="false">IFERROR(IF(C48="","",INDEX(Products!$C$5:$C$504,MATCH(C48,Products!$A$5:$A$504,0))),"")</f>
        <v/>
      </c>
      <c r="E48" s="13" t="n">
        <v>1</v>
      </c>
      <c r="F48" s="11"/>
      <c r="G48" s="15" t="n">
        <v>0</v>
      </c>
      <c r="H48" s="10" t="s">
        <v>114</v>
      </c>
      <c r="I48" s="9" t="n">
        <f aca="false">IFERROR(E48*F48*(1-G48),"")</f>
        <v>0</v>
      </c>
      <c r="J48" s="9" t="n">
        <f aca="false">IFERROR(I48*IFERROR(VLOOKUP(H48,VatRates,2,FALSE()),0),"")</f>
        <v>0</v>
      </c>
      <c r="K48" s="9" t="n">
        <f aca="false">IFERROR(I48+J48,"")</f>
        <v>0</v>
      </c>
    </row>
    <row r="49" customFormat="false" ht="15" hidden="false" customHeight="false" outlineLevel="0" collapsed="false">
      <c r="A49" s="10"/>
      <c r="B49" s="10"/>
      <c r="C49" s="10"/>
      <c r="D49" s="14" t="str">
        <f aca="false">IFERROR(IF(C49="","",INDEX(Products!$C$5:$C$504,MATCH(C49,Products!$A$5:$A$504,0))),"")</f>
        <v/>
      </c>
      <c r="E49" s="13" t="n">
        <v>1</v>
      </c>
      <c r="F49" s="11"/>
      <c r="G49" s="15" t="n">
        <v>0</v>
      </c>
      <c r="H49" s="10" t="s">
        <v>114</v>
      </c>
      <c r="I49" s="9" t="n">
        <f aca="false">IFERROR(E49*F49*(1-G49),"")</f>
        <v>0</v>
      </c>
      <c r="J49" s="9" t="n">
        <f aca="false">IFERROR(I49*IFERROR(VLOOKUP(H49,VatRates,2,FALSE()),0),"")</f>
        <v>0</v>
      </c>
      <c r="K49" s="9" t="n">
        <f aca="false">IFERROR(I49+J49,"")</f>
        <v>0</v>
      </c>
    </row>
    <row r="50" customFormat="false" ht="15" hidden="false" customHeight="false" outlineLevel="0" collapsed="false">
      <c r="A50" s="10"/>
      <c r="B50" s="10"/>
      <c r="C50" s="10"/>
      <c r="D50" s="14" t="str">
        <f aca="false">IFERROR(IF(C50="","",INDEX(Products!$C$5:$C$504,MATCH(C50,Products!$A$5:$A$504,0))),"")</f>
        <v/>
      </c>
      <c r="E50" s="13" t="n">
        <v>1</v>
      </c>
      <c r="F50" s="11"/>
      <c r="G50" s="15" t="n">
        <v>0</v>
      </c>
      <c r="H50" s="10" t="s">
        <v>114</v>
      </c>
      <c r="I50" s="9" t="n">
        <f aca="false">IFERROR(E50*F50*(1-G50),"")</f>
        <v>0</v>
      </c>
      <c r="J50" s="9" t="n">
        <f aca="false">IFERROR(I50*IFERROR(VLOOKUP(H50,VatRates,2,FALSE()),0),"")</f>
        <v>0</v>
      </c>
      <c r="K50" s="9" t="n">
        <f aca="false">IFERROR(I50+J50,"")</f>
        <v>0</v>
      </c>
    </row>
    <row r="51" customFormat="false" ht="15" hidden="false" customHeight="false" outlineLevel="0" collapsed="false">
      <c r="A51" s="10"/>
      <c r="B51" s="10"/>
      <c r="C51" s="10"/>
      <c r="D51" s="14" t="str">
        <f aca="false">IFERROR(IF(C51="","",INDEX(Products!$C$5:$C$504,MATCH(C51,Products!$A$5:$A$504,0))),"")</f>
        <v/>
      </c>
      <c r="E51" s="13" t="n">
        <v>1</v>
      </c>
      <c r="F51" s="11"/>
      <c r="G51" s="15" t="n">
        <v>0</v>
      </c>
      <c r="H51" s="10" t="s">
        <v>114</v>
      </c>
      <c r="I51" s="9" t="n">
        <f aca="false">IFERROR(E51*F51*(1-G51),"")</f>
        <v>0</v>
      </c>
      <c r="J51" s="9" t="n">
        <f aca="false">IFERROR(I51*IFERROR(VLOOKUP(H51,VatRates,2,FALSE()),0),"")</f>
        <v>0</v>
      </c>
      <c r="K51" s="9" t="n">
        <f aca="false">IFERROR(I51+J51,"")</f>
        <v>0</v>
      </c>
    </row>
    <row r="52" customFormat="false" ht="15" hidden="false" customHeight="false" outlineLevel="0" collapsed="false">
      <c r="A52" s="10"/>
      <c r="B52" s="10"/>
      <c r="C52" s="10"/>
      <c r="D52" s="14" t="str">
        <f aca="false">IFERROR(IF(C52="","",INDEX(Products!$C$5:$C$504,MATCH(C52,Products!$A$5:$A$504,0))),"")</f>
        <v/>
      </c>
      <c r="E52" s="13" t="n">
        <v>1</v>
      </c>
      <c r="F52" s="11"/>
      <c r="G52" s="15" t="n">
        <v>0</v>
      </c>
      <c r="H52" s="10" t="s">
        <v>114</v>
      </c>
      <c r="I52" s="9" t="n">
        <f aca="false">IFERROR(E52*F52*(1-G52),"")</f>
        <v>0</v>
      </c>
      <c r="J52" s="9" t="n">
        <f aca="false">IFERROR(I52*IFERROR(VLOOKUP(H52,VatRates,2,FALSE()),0),"")</f>
        <v>0</v>
      </c>
      <c r="K52" s="9" t="n">
        <f aca="false">IFERROR(I52+J52,"")</f>
        <v>0</v>
      </c>
    </row>
    <row r="53" customFormat="false" ht="15" hidden="false" customHeight="false" outlineLevel="0" collapsed="false">
      <c r="A53" s="10"/>
      <c r="B53" s="10"/>
      <c r="C53" s="10"/>
      <c r="D53" s="14" t="str">
        <f aca="false">IFERROR(IF(C53="","",INDEX(Products!$C$5:$C$504,MATCH(C53,Products!$A$5:$A$504,0))),"")</f>
        <v/>
      </c>
      <c r="E53" s="13" t="n">
        <v>1</v>
      </c>
      <c r="F53" s="11"/>
      <c r="G53" s="15" t="n">
        <v>0</v>
      </c>
      <c r="H53" s="10" t="s">
        <v>114</v>
      </c>
      <c r="I53" s="9" t="n">
        <f aca="false">IFERROR(E53*F53*(1-G53),"")</f>
        <v>0</v>
      </c>
      <c r="J53" s="9" t="n">
        <f aca="false">IFERROR(I53*IFERROR(VLOOKUP(H53,VatRates,2,FALSE()),0),"")</f>
        <v>0</v>
      </c>
      <c r="K53" s="9" t="n">
        <f aca="false">IFERROR(I53+J53,"")</f>
        <v>0</v>
      </c>
    </row>
    <row r="54" customFormat="false" ht="15" hidden="false" customHeight="false" outlineLevel="0" collapsed="false">
      <c r="A54" s="10"/>
      <c r="B54" s="10"/>
      <c r="C54" s="10"/>
      <c r="D54" s="14" t="str">
        <f aca="false">IFERROR(IF(C54="","",INDEX(Products!$C$5:$C$504,MATCH(C54,Products!$A$5:$A$504,0))),"")</f>
        <v/>
      </c>
      <c r="E54" s="13" t="n">
        <v>1</v>
      </c>
      <c r="F54" s="11"/>
      <c r="G54" s="15" t="n">
        <v>0</v>
      </c>
      <c r="H54" s="10" t="s">
        <v>114</v>
      </c>
      <c r="I54" s="9" t="n">
        <f aca="false">IFERROR(E54*F54*(1-G54),"")</f>
        <v>0</v>
      </c>
      <c r="J54" s="9" t="n">
        <f aca="false">IFERROR(I54*IFERROR(VLOOKUP(H54,VatRates,2,FALSE()),0),"")</f>
        <v>0</v>
      </c>
      <c r="K54" s="9" t="n">
        <f aca="false">IFERROR(I54+J54,"")</f>
        <v>0</v>
      </c>
    </row>
    <row r="55" customFormat="false" ht="15" hidden="false" customHeight="false" outlineLevel="0" collapsed="false">
      <c r="A55" s="10"/>
      <c r="B55" s="10"/>
      <c r="C55" s="10"/>
      <c r="D55" s="14" t="str">
        <f aca="false">IFERROR(IF(C55="","",INDEX(Products!$C$5:$C$504,MATCH(C55,Products!$A$5:$A$504,0))),"")</f>
        <v/>
      </c>
      <c r="E55" s="13" t="n">
        <v>1</v>
      </c>
      <c r="F55" s="11"/>
      <c r="G55" s="15" t="n">
        <v>0</v>
      </c>
      <c r="H55" s="10" t="s">
        <v>114</v>
      </c>
      <c r="I55" s="9" t="n">
        <f aca="false">IFERROR(E55*F55*(1-G55),"")</f>
        <v>0</v>
      </c>
      <c r="J55" s="9" t="n">
        <f aca="false">IFERROR(I55*IFERROR(VLOOKUP(H55,VatRates,2,FALSE()),0),"")</f>
        <v>0</v>
      </c>
      <c r="K55" s="9" t="n">
        <f aca="false">IFERROR(I55+J55,"")</f>
        <v>0</v>
      </c>
    </row>
    <row r="56" customFormat="false" ht="15" hidden="false" customHeight="false" outlineLevel="0" collapsed="false">
      <c r="A56" s="10"/>
      <c r="B56" s="10"/>
      <c r="C56" s="10"/>
      <c r="D56" s="14" t="str">
        <f aca="false">IFERROR(IF(C56="","",INDEX(Products!$C$5:$C$504,MATCH(C56,Products!$A$5:$A$504,0))),"")</f>
        <v/>
      </c>
      <c r="E56" s="13" t="n">
        <v>1</v>
      </c>
      <c r="F56" s="11"/>
      <c r="G56" s="15" t="n">
        <v>0</v>
      </c>
      <c r="H56" s="10" t="s">
        <v>114</v>
      </c>
      <c r="I56" s="9" t="n">
        <f aca="false">IFERROR(E56*F56*(1-G56),"")</f>
        <v>0</v>
      </c>
      <c r="J56" s="9" t="n">
        <f aca="false">IFERROR(I56*IFERROR(VLOOKUP(H56,VatRates,2,FALSE()),0),"")</f>
        <v>0</v>
      </c>
      <c r="K56" s="9" t="n">
        <f aca="false">IFERROR(I56+J56,"")</f>
        <v>0</v>
      </c>
    </row>
    <row r="57" customFormat="false" ht="15" hidden="false" customHeight="false" outlineLevel="0" collapsed="false">
      <c r="A57" s="10"/>
      <c r="B57" s="10"/>
      <c r="C57" s="10"/>
      <c r="D57" s="14" t="str">
        <f aca="false">IFERROR(IF(C57="","",INDEX(Products!$C$5:$C$504,MATCH(C57,Products!$A$5:$A$504,0))),"")</f>
        <v/>
      </c>
      <c r="E57" s="13" t="n">
        <v>1</v>
      </c>
      <c r="F57" s="11"/>
      <c r="G57" s="15" t="n">
        <v>0</v>
      </c>
      <c r="H57" s="10" t="s">
        <v>114</v>
      </c>
      <c r="I57" s="9" t="n">
        <f aca="false">IFERROR(E57*F57*(1-G57),"")</f>
        <v>0</v>
      </c>
      <c r="J57" s="9" t="n">
        <f aca="false">IFERROR(I57*IFERROR(VLOOKUP(H57,VatRates,2,FALSE()),0),"")</f>
        <v>0</v>
      </c>
      <c r="K57" s="9" t="n">
        <f aca="false">IFERROR(I57+J57,"")</f>
        <v>0</v>
      </c>
    </row>
    <row r="58" customFormat="false" ht="15" hidden="false" customHeight="false" outlineLevel="0" collapsed="false">
      <c r="A58" s="10"/>
      <c r="B58" s="10"/>
      <c r="C58" s="10"/>
      <c r="D58" s="14" t="str">
        <f aca="false">IFERROR(IF(C58="","",INDEX(Products!$C$5:$C$504,MATCH(C58,Products!$A$5:$A$504,0))),"")</f>
        <v/>
      </c>
      <c r="E58" s="13" t="n">
        <v>1</v>
      </c>
      <c r="F58" s="11"/>
      <c r="G58" s="15" t="n">
        <v>0</v>
      </c>
      <c r="H58" s="10" t="s">
        <v>114</v>
      </c>
      <c r="I58" s="9" t="n">
        <f aca="false">IFERROR(E58*F58*(1-G58),"")</f>
        <v>0</v>
      </c>
      <c r="J58" s="9" t="n">
        <f aca="false">IFERROR(I58*IFERROR(VLOOKUP(H58,VatRates,2,FALSE()),0),"")</f>
        <v>0</v>
      </c>
      <c r="K58" s="9" t="n">
        <f aca="false">IFERROR(I58+J58,"")</f>
        <v>0</v>
      </c>
    </row>
    <row r="59" customFormat="false" ht="15" hidden="false" customHeight="false" outlineLevel="0" collapsed="false">
      <c r="A59" s="10"/>
      <c r="B59" s="10"/>
      <c r="C59" s="10"/>
      <c r="D59" s="14" t="str">
        <f aca="false">IFERROR(IF(C59="","",INDEX(Products!$C$5:$C$504,MATCH(C59,Products!$A$5:$A$504,0))),"")</f>
        <v/>
      </c>
      <c r="E59" s="13" t="n">
        <v>1</v>
      </c>
      <c r="F59" s="11"/>
      <c r="G59" s="15" t="n">
        <v>0</v>
      </c>
      <c r="H59" s="10" t="s">
        <v>114</v>
      </c>
      <c r="I59" s="9" t="n">
        <f aca="false">IFERROR(E59*F59*(1-G59),"")</f>
        <v>0</v>
      </c>
      <c r="J59" s="9" t="n">
        <f aca="false">IFERROR(I59*IFERROR(VLOOKUP(H59,VatRates,2,FALSE()),0),"")</f>
        <v>0</v>
      </c>
      <c r="K59" s="9" t="n">
        <f aca="false">IFERROR(I59+J59,"")</f>
        <v>0</v>
      </c>
    </row>
    <row r="60" customFormat="false" ht="15" hidden="false" customHeight="false" outlineLevel="0" collapsed="false">
      <c r="A60" s="10"/>
      <c r="B60" s="10"/>
      <c r="C60" s="10"/>
      <c r="D60" s="14" t="str">
        <f aca="false">IFERROR(IF(C60="","",INDEX(Products!$C$5:$C$504,MATCH(C60,Products!$A$5:$A$504,0))),"")</f>
        <v/>
      </c>
      <c r="E60" s="13" t="n">
        <v>1</v>
      </c>
      <c r="F60" s="11"/>
      <c r="G60" s="15" t="n">
        <v>0</v>
      </c>
      <c r="H60" s="10" t="s">
        <v>114</v>
      </c>
      <c r="I60" s="9" t="n">
        <f aca="false">IFERROR(E60*F60*(1-G60),"")</f>
        <v>0</v>
      </c>
      <c r="J60" s="9" t="n">
        <f aca="false">IFERROR(I60*IFERROR(VLOOKUP(H60,VatRates,2,FALSE()),0),"")</f>
        <v>0</v>
      </c>
      <c r="K60" s="9" t="n">
        <f aca="false">IFERROR(I60+J60,"")</f>
        <v>0</v>
      </c>
    </row>
    <row r="61" customFormat="false" ht="15" hidden="false" customHeight="false" outlineLevel="0" collapsed="false">
      <c r="A61" s="10"/>
      <c r="B61" s="10"/>
      <c r="C61" s="10"/>
      <c r="D61" s="14" t="str">
        <f aca="false">IFERROR(IF(C61="","",INDEX(Products!$C$5:$C$504,MATCH(C61,Products!$A$5:$A$504,0))),"")</f>
        <v/>
      </c>
      <c r="E61" s="13" t="n">
        <v>1</v>
      </c>
      <c r="F61" s="11"/>
      <c r="G61" s="15" t="n">
        <v>0</v>
      </c>
      <c r="H61" s="10" t="s">
        <v>114</v>
      </c>
      <c r="I61" s="9" t="n">
        <f aca="false">IFERROR(E61*F61*(1-G61),"")</f>
        <v>0</v>
      </c>
      <c r="J61" s="9" t="n">
        <f aca="false">IFERROR(I61*IFERROR(VLOOKUP(H61,VatRates,2,FALSE()),0),"")</f>
        <v>0</v>
      </c>
      <c r="K61" s="9" t="n">
        <f aca="false">IFERROR(I61+J61,"")</f>
        <v>0</v>
      </c>
    </row>
    <row r="62" customFormat="false" ht="15" hidden="false" customHeight="false" outlineLevel="0" collapsed="false">
      <c r="A62" s="10"/>
      <c r="B62" s="10"/>
      <c r="C62" s="10"/>
      <c r="D62" s="14" t="str">
        <f aca="false">IFERROR(IF(C62="","",INDEX(Products!$C$5:$C$504,MATCH(C62,Products!$A$5:$A$504,0))),"")</f>
        <v/>
      </c>
      <c r="E62" s="13" t="n">
        <v>1</v>
      </c>
      <c r="F62" s="11"/>
      <c r="G62" s="15" t="n">
        <v>0</v>
      </c>
      <c r="H62" s="10" t="s">
        <v>114</v>
      </c>
      <c r="I62" s="9" t="n">
        <f aca="false">IFERROR(E62*F62*(1-G62),"")</f>
        <v>0</v>
      </c>
      <c r="J62" s="9" t="n">
        <f aca="false">IFERROR(I62*IFERROR(VLOOKUP(H62,VatRates,2,FALSE()),0),"")</f>
        <v>0</v>
      </c>
      <c r="K62" s="9" t="n">
        <f aca="false">IFERROR(I62+J62,"")</f>
        <v>0</v>
      </c>
    </row>
    <row r="63" customFormat="false" ht="15" hidden="false" customHeight="false" outlineLevel="0" collapsed="false">
      <c r="A63" s="10"/>
      <c r="B63" s="10"/>
      <c r="C63" s="10"/>
      <c r="D63" s="14" t="str">
        <f aca="false">IFERROR(IF(C63="","",INDEX(Products!$C$5:$C$504,MATCH(C63,Products!$A$5:$A$504,0))),"")</f>
        <v/>
      </c>
      <c r="E63" s="13" t="n">
        <v>1</v>
      </c>
      <c r="F63" s="11"/>
      <c r="G63" s="15" t="n">
        <v>0</v>
      </c>
      <c r="H63" s="10" t="s">
        <v>114</v>
      </c>
      <c r="I63" s="9" t="n">
        <f aca="false">IFERROR(E63*F63*(1-G63),"")</f>
        <v>0</v>
      </c>
      <c r="J63" s="9" t="n">
        <f aca="false">IFERROR(I63*IFERROR(VLOOKUP(H63,VatRates,2,FALSE()),0),"")</f>
        <v>0</v>
      </c>
      <c r="K63" s="9" t="n">
        <f aca="false">IFERROR(I63+J63,"")</f>
        <v>0</v>
      </c>
    </row>
    <row r="64" customFormat="false" ht="15" hidden="false" customHeight="false" outlineLevel="0" collapsed="false">
      <c r="A64" s="10"/>
      <c r="B64" s="10"/>
      <c r="C64" s="10"/>
      <c r="D64" s="14" t="str">
        <f aca="false">IFERROR(IF(C64="","",INDEX(Products!$C$5:$C$504,MATCH(C64,Products!$A$5:$A$504,0))),"")</f>
        <v/>
      </c>
      <c r="E64" s="13" t="n">
        <v>1</v>
      </c>
      <c r="F64" s="11"/>
      <c r="G64" s="15" t="n">
        <v>0</v>
      </c>
      <c r="H64" s="10" t="s">
        <v>114</v>
      </c>
      <c r="I64" s="9" t="n">
        <f aca="false">IFERROR(E64*F64*(1-G64),"")</f>
        <v>0</v>
      </c>
      <c r="J64" s="9" t="n">
        <f aca="false">IFERROR(I64*IFERROR(VLOOKUP(H64,VatRates,2,FALSE()),0),"")</f>
        <v>0</v>
      </c>
      <c r="K64" s="9" t="n">
        <f aca="false">IFERROR(I64+J64,"")</f>
        <v>0</v>
      </c>
    </row>
    <row r="65" customFormat="false" ht="15" hidden="false" customHeight="false" outlineLevel="0" collapsed="false">
      <c r="A65" s="10"/>
      <c r="B65" s="10"/>
      <c r="C65" s="10"/>
      <c r="D65" s="14" t="str">
        <f aca="false">IFERROR(IF(C65="","",INDEX(Products!$C$5:$C$504,MATCH(C65,Products!$A$5:$A$504,0))),"")</f>
        <v/>
      </c>
      <c r="E65" s="13" t="n">
        <v>1</v>
      </c>
      <c r="F65" s="11"/>
      <c r="G65" s="15" t="n">
        <v>0</v>
      </c>
      <c r="H65" s="10" t="s">
        <v>114</v>
      </c>
      <c r="I65" s="9" t="n">
        <f aca="false">IFERROR(E65*F65*(1-G65),"")</f>
        <v>0</v>
      </c>
      <c r="J65" s="9" t="n">
        <f aca="false">IFERROR(I65*IFERROR(VLOOKUP(H65,VatRates,2,FALSE()),0),"")</f>
        <v>0</v>
      </c>
      <c r="K65" s="9" t="n">
        <f aca="false">IFERROR(I65+J65,"")</f>
        <v>0</v>
      </c>
    </row>
    <row r="66" customFormat="false" ht="15" hidden="false" customHeight="false" outlineLevel="0" collapsed="false">
      <c r="A66" s="10"/>
      <c r="B66" s="10"/>
      <c r="C66" s="10"/>
      <c r="D66" s="14" t="str">
        <f aca="false">IFERROR(IF(C66="","",INDEX(Products!$C$5:$C$504,MATCH(C66,Products!$A$5:$A$504,0))),"")</f>
        <v/>
      </c>
      <c r="E66" s="13" t="n">
        <v>1</v>
      </c>
      <c r="F66" s="11"/>
      <c r="G66" s="15" t="n">
        <v>0</v>
      </c>
      <c r="H66" s="10" t="s">
        <v>114</v>
      </c>
      <c r="I66" s="9" t="n">
        <f aca="false">IFERROR(E66*F66*(1-G66),"")</f>
        <v>0</v>
      </c>
      <c r="J66" s="9" t="n">
        <f aca="false">IFERROR(I66*IFERROR(VLOOKUP(H66,VatRates,2,FALSE()),0),"")</f>
        <v>0</v>
      </c>
      <c r="K66" s="9" t="n">
        <f aca="false">IFERROR(I66+J66,"")</f>
        <v>0</v>
      </c>
    </row>
    <row r="67" customFormat="false" ht="15" hidden="false" customHeight="false" outlineLevel="0" collapsed="false">
      <c r="A67" s="10"/>
      <c r="B67" s="10"/>
      <c r="C67" s="10"/>
      <c r="D67" s="14" t="str">
        <f aca="false">IFERROR(IF(C67="","",INDEX(Products!$C$5:$C$504,MATCH(C67,Products!$A$5:$A$504,0))),"")</f>
        <v/>
      </c>
      <c r="E67" s="13" t="n">
        <v>1</v>
      </c>
      <c r="F67" s="11"/>
      <c r="G67" s="15" t="n">
        <v>0</v>
      </c>
      <c r="H67" s="10" t="s">
        <v>114</v>
      </c>
      <c r="I67" s="9" t="n">
        <f aca="false">IFERROR(E67*F67*(1-G67),"")</f>
        <v>0</v>
      </c>
      <c r="J67" s="9" t="n">
        <f aca="false">IFERROR(I67*IFERROR(VLOOKUP(H67,VatRates,2,FALSE()),0),"")</f>
        <v>0</v>
      </c>
      <c r="K67" s="9" t="n">
        <f aca="false">IFERROR(I67+J67,"")</f>
        <v>0</v>
      </c>
    </row>
    <row r="68" customFormat="false" ht="15" hidden="false" customHeight="false" outlineLevel="0" collapsed="false">
      <c r="A68" s="10"/>
      <c r="B68" s="10"/>
      <c r="C68" s="10"/>
      <c r="D68" s="14" t="str">
        <f aca="false">IFERROR(IF(C68="","",INDEX(Products!$C$5:$C$504,MATCH(C68,Products!$A$5:$A$504,0))),"")</f>
        <v/>
      </c>
      <c r="E68" s="13" t="n">
        <v>1</v>
      </c>
      <c r="F68" s="11"/>
      <c r="G68" s="15" t="n">
        <v>0</v>
      </c>
      <c r="H68" s="10" t="s">
        <v>114</v>
      </c>
      <c r="I68" s="9" t="n">
        <f aca="false">IFERROR(E68*F68*(1-G68),"")</f>
        <v>0</v>
      </c>
      <c r="J68" s="9" t="n">
        <f aca="false">IFERROR(I68*IFERROR(VLOOKUP(H68,VatRates,2,FALSE()),0),"")</f>
        <v>0</v>
      </c>
      <c r="K68" s="9" t="n">
        <f aca="false">IFERROR(I68+J68,"")</f>
        <v>0</v>
      </c>
    </row>
    <row r="69" customFormat="false" ht="15" hidden="false" customHeight="false" outlineLevel="0" collapsed="false">
      <c r="A69" s="10"/>
      <c r="B69" s="10"/>
      <c r="C69" s="10"/>
      <c r="D69" s="14" t="str">
        <f aca="false">IFERROR(IF(C69="","",INDEX(Products!$C$5:$C$504,MATCH(C69,Products!$A$5:$A$504,0))),"")</f>
        <v/>
      </c>
      <c r="E69" s="13" t="n">
        <v>1</v>
      </c>
      <c r="F69" s="11"/>
      <c r="G69" s="15" t="n">
        <v>0</v>
      </c>
      <c r="H69" s="10" t="s">
        <v>114</v>
      </c>
      <c r="I69" s="9" t="n">
        <f aca="false">IFERROR(E69*F69*(1-G69),"")</f>
        <v>0</v>
      </c>
      <c r="J69" s="9" t="n">
        <f aca="false">IFERROR(I69*IFERROR(VLOOKUP(H69,VatRates,2,FALSE()),0),"")</f>
        <v>0</v>
      </c>
      <c r="K69" s="9" t="n">
        <f aca="false">IFERROR(I69+J69,"")</f>
        <v>0</v>
      </c>
    </row>
    <row r="70" customFormat="false" ht="15" hidden="false" customHeight="false" outlineLevel="0" collapsed="false">
      <c r="A70" s="10"/>
      <c r="B70" s="10"/>
      <c r="C70" s="10"/>
      <c r="D70" s="14" t="str">
        <f aca="false">IFERROR(IF(C70="","",INDEX(Products!$C$5:$C$504,MATCH(C70,Products!$A$5:$A$504,0))),"")</f>
        <v/>
      </c>
      <c r="E70" s="13" t="n">
        <v>1</v>
      </c>
      <c r="F70" s="11"/>
      <c r="G70" s="15" t="n">
        <v>0</v>
      </c>
      <c r="H70" s="10" t="s">
        <v>114</v>
      </c>
      <c r="I70" s="9" t="n">
        <f aca="false">IFERROR(E70*F70*(1-G70),"")</f>
        <v>0</v>
      </c>
      <c r="J70" s="9" t="n">
        <f aca="false">IFERROR(I70*IFERROR(VLOOKUP(H70,VatRates,2,FALSE()),0),"")</f>
        <v>0</v>
      </c>
      <c r="K70" s="9" t="n">
        <f aca="false">IFERROR(I70+J70,"")</f>
        <v>0</v>
      </c>
    </row>
    <row r="71" customFormat="false" ht="15" hidden="false" customHeight="false" outlineLevel="0" collapsed="false">
      <c r="A71" s="10"/>
      <c r="B71" s="10"/>
      <c r="C71" s="10"/>
      <c r="D71" s="14" t="str">
        <f aca="false">IFERROR(IF(C71="","",INDEX(Products!$C$5:$C$504,MATCH(C71,Products!$A$5:$A$504,0))),"")</f>
        <v/>
      </c>
      <c r="E71" s="13" t="n">
        <v>1</v>
      </c>
      <c r="F71" s="11"/>
      <c r="G71" s="15" t="n">
        <v>0</v>
      </c>
      <c r="H71" s="10" t="s">
        <v>114</v>
      </c>
      <c r="I71" s="9" t="n">
        <f aca="false">IFERROR(E71*F71*(1-G71),"")</f>
        <v>0</v>
      </c>
      <c r="J71" s="9" t="n">
        <f aca="false">IFERROR(I71*IFERROR(VLOOKUP(H71,VatRates,2,FALSE()),0),"")</f>
        <v>0</v>
      </c>
      <c r="K71" s="9" t="n">
        <f aca="false">IFERROR(I71+J71,"")</f>
        <v>0</v>
      </c>
    </row>
    <row r="72" customFormat="false" ht="15" hidden="false" customHeight="false" outlineLevel="0" collapsed="false">
      <c r="A72" s="10"/>
      <c r="B72" s="10"/>
      <c r="C72" s="10"/>
      <c r="D72" s="14" t="str">
        <f aca="false">IFERROR(IF(C72="","",INDEX(Products!$C$5:$C$504,MATCH(C72,Products!$A$5:$A$504,0))),"")</f>
        <v/>
      </c>
      <c r="E72" s="13" t="n">
        <v>1</v>
      </c>
      <c r="F72" s="11"/>
      <c r="G72" s="15" t="n">
        <v>0</v>
      </c>
      <c r="H72" s="10" t="s">
        <v>114</v>
      </c>
      <c r="I72" s="9" t="n">
        <f aca="false">IFERROR(E72*F72*(1-G72),"")</f>
        <v>0</v>
      </c>
      <c r="J72" s="9" t="n">
        <f aca="false">IFERROR(I72*IFERROR(VLOOKUP(H72,VatRates,2,FALSE()),0),"")</f>
        <v>0</v>
      </c>
      <c r="K72" s="9" t="n">
        <f aca="false">IFERROR(I72+J72,"")</f>
        <v>0</v>
      </c>
    </row>
    <row r="73" customFormat="false" ht="15" hidden="false" customHeight="false" outlineLevel="0" collapsed="false">
      <c r="A73" s="10"/>
      <c r="B73" s="10"/>
      <c r="C73" s="10"/>
      <c r="D73" s="14" t="str">
        <f aca="false">IFERROR(IF(C73="","",INDEX(Products!$C$5:$C$504,MATCH(C73,Products!$A$5:$A$504,0))),"")</f>
        <v/>
      </c>
      <c r="E73" s="13" t="n">
        <v>1</v>
      </c>
      <c r="F73" s="11"/>
      <c r="G73" s="15" t="n">
        <v>0</v>
      </c>
      <c r="H73" s="10" t="s">
        <v>114</v>
      </c>
      <c r="I73" s="9" t="n">
        <f aca="false">IFERROR(E73*F73*(1-G73),"")</f>
        <v>0</v>
      </c>
      <c r="J73" s="9" t="n">
        <f aca="false">IFERROR(I73*IFERROR(VLOOKUP(H73,VatRates,2,FALSE()),0),"")</f>
        <v>0</v>
      </c>
      <c r="K73" s="9" t="n">
        <f aca="false">IFERROR(I73+J73,"")</f>
        <v>0</v>
      </c>
    </row>
    <row r="74" customFormat="false" ht="15" hidden="false" customHeight="false" outlineLevel="0" collapsed="false">
      <c r="A74" s="10"/>
      <c r="B74" s="10"/>
      <c r="C74" s="10"/>
      <c r="D74" s="14" t="str">
        <f aca="false">IFERROR(IF(C74="","",INDEX(Products!$C$5:$C$504,MATCH(C74,Products!$A$5:$A$504,0))),"")</f>
        <v/>
      </c>
      <c r="E74" s="13" t="n">
        <v>1</v>
      </c>
      <c r="F74" s="11"/>
      <c r="G74" s="15" t="n">
        <v>0</v>
      </c>
      <c r="H74" s="10" t="s">
        <v>114</v>
      </c>
      <c r="I74" s="9" t="n">
        <f aca="false">IFERROR(E74*F74*(1-G74),"")</f>
        <v>0</v>
      </c>
      <c r="J74" s="9" t="n">
        <f aca="false">IFERROR(I74*IFERROR(VLOOKUP(H74,VatRates,2,FALSE()),0),"")</f>
        <v>0</v>
      </c>
      <c r="K74" s="9" t="n">
        <f aca="false">IFERROR(I74+J74,"")</f>
        <v>0</v>
      </c>
    </row>
    <row r="75" customFormat="false" ht="15" hidden="false" customHeight="false" outlineLevel="0" collapsed="false">
      <c r="A75" s="10"/>
      <c r="B75" s="10"/>
      <c r="C75" s="10"/>
      <c r="D75" s="14" t="str">
        <f aca="false">IFERROR(IF(C75="","",INDEX(Products!$C$5:$C$504,MATCH(C75,Products!$A$5:$A$504,0))),"")</f>
        <v/>
      </c>
      <c r="E75" s="13" t="n">
        <v>1</v>
      </c>
      <c r="F75" s="11"/>
      <c r="G75" s="15" t="n">
        <v>0</v>
      </c>
      <c r="H75" s="10" t="s">
        <v>114</v>
      </c>
      <c r="I75" s="9" t="n">
        <f aca="false">IFERROR(E75*F75*(1-G75),"")</f>
        <v>0</v>
      </c>
      <c r="J75" s="9" t="n">
        <f aca="false">IFERROR(I75*IFERROR(VLOOKUP(H75,VatRates,2,FALSE()),0),"")</f>
        <v>0</v>
      </c>
      <c r="K75" s="9" t="n">
        <f aca="false">IFERROR(I75+J75,"")</f>
        <v>0</v>
      </c>
    </row>
    <row r="76" customFormat="false" ht="15" hidden="false" customHeight="false" outlineLevel="0" collapsed="false">
      <c r="A76" s="10"/>
      <c r="B76" s="10"/>
      <c r="C76" s="10"/>
      <c r="D76" s="14" t="str">
        <f aca="false">IFERROR(IF(C76="","",INDEX(Products!$C$5:$C$504,MATCH(C76,Products!$A$5:$A$504,0))),"")</f>
        <v/>
      </c>
      <c r="E76" s="13" t="n">
        <v>1</v>
      </c>
      <c r="F76" s="11"/>
      <c r="G76" s="15" t="n">
        <v>0</v>
      </c>
      <c r="H76" s="10" t="s">
        <v>114</v>
      </c>
      <c r="I76" s="9" t="n">
        <f aca="false">IFERROR(E76*F76*(1-G76),"")</f>
        <v>0</v>
      </c>
      <c r="J76" s="9" t="n">
        <f aca="false">IFERROR(I76*IFERROR(VLOOKUP(H76,VatRates,2,FALSE()),0),"")</f>
        <v>0</v>
      </c>
      <c r="K76" s="9" t="n">
        <f aca="false">IFERROR(I76+J76,"")</f>
        <v>0</v>
      </c>
    </row>
    <row r="77" customFormat="false" ht="15" hidden="false" customHeight="false" outlineLevel="0" collapsed="false">
      <c r="A77" s="10"/>
      <c r="B77" s="10"/>
      <c r="C77" s="10"/>
      <c r="D77" s="14" t="str">
        <f aca="false">IFERROR(IF(C77="","",INDEX(Products!$C$5:$C$504,MATCH(C77,Products!$A$5:$A$504,0))),"")</f>
        <v/>
      </c>
      <c r="E77" s="13" t="n">
        <v>1</v>
      </c>
      <c r="F77" s="11"/>
      <c r="G77" s="15" t="n">
        <v>0</v>
      </c>
      <c r="H77" s="10" t="s">
        <v>114</v>
      </c>
      <c r="I77" s="9" t="n">
        <f aca="false">IFERROR(E77*F77*(1-G77),"")</f>
        <v>0</v>
      </c>
      <c r="J77" s="9" t="n">
        <f aca="false">IFERROR(I77*IFERROR(VLOOKUP(H77,VatRates,2,FALSE()),0),"")</f>
        <v>0</v>
      </c>
      <c r="K77" s="9" t="n">
        <f aca="false">IFERROR(I77+J77,"")</f>
        <v>0</v>
      </c>
    </row>
    <row r="78" customFormat="false" ht="15" hidden="false" customHeight="false" outlineLevel="0" collapsed="false">
      <c r="A78" s="10"/>
      <c r="B78" s="10"/>
      <c r="C78" s="10"/>
      <c r="D78" s="14" t="str">
        <f aca="false">IFERROR(IF(C78="","",INDEX(Products!$C$5:$C$504,MATCH(C78,Products!$A$5:$A$504,0))),"")</f>
        <v/>
      </c>
      <c r="E78" s="13" t="n">
        <v>1</v>
      </c>
      <c r="F78" s="11"/>
      <c r="G78" s="15" t="n">
        <v>0</v>
      </c>
      <c r="H78" s="10" t="s">
        <v>114</v>
      </c>
      <c r="I78" s="9" t="n">
        <f aca="false">IFERROR(E78*F78*(1-G78),"")</f>
        <v>0</v>
      </c>
      <c r="J78" s="9" t="n">
        <f aca="false">IFERROR(I78*IFERROR(VLOOKUP(H78,VatRates,2,FALSE()),0),"")</f>
        <v>0</v>
      </c>
      <c r="K78" s="9" t="n">
        <f aca="false">IFERROR(I78+J78,"")</f>
        <v>0</v>
      </c>
    </row>
    <row r="79" customFormat="false" ht="15" hidden="false" customHeight="false" outlineLevel="0" collapsed="false">
      <c r="A79" s="10"/>
      <c r="B79" s="10"/>
      <c r="C79" s="10"/>
      <c r="D79" s="14" t="str">
        <f aca="false">IFERROR(IF(C79="","",INDEX(Products!$C$5:$C$504,MATCH(C79,Products!$A$5:$A$504,0))),"")</f>
        <v/>
      </c>
      <c r="E79" s="13" t="n">
        <v>1</v>
      </c>
      <c r="F79" s="11"/>
      <c r="G79" s="15" t="n">
        <v>0</v>
      </c>
      <c r="H79" s="10" t="s">
        <v>114</v>
      </c>
      <c r="I79" s="9" t="n">
        <f aca="false">IFERROR(E79*F79*(1-G79),"")</f>
        <v>0</v>
      </c>
      <c r="J79" s="9" t="n">
        <f aca="false">IFERROR(I79*IFERROR(VLOOKUP(H79,VatRates,2,FALSE()),0),"")</f>
        <v>0</v>
      </c>
      <c r="K79" s="9" t="n">
        <f aca="false">IFERROR(I79+J79,"")</f>
        <v>0</v>
      </c>
    </row>
    <row r="80" customFormat="false" ht="15" hidden="false" customHeight="false" outlineLevel="0" collapsed="false">
      <c r="A80" s="10"/>
      <c r="B80" s="10"/>
      <c r="C80" s="10"/>
      <c r="D80" s="14" t="str">
        <f aca="false">IFERROR(IF(C80="","",INDEX(Products!$C$5:$C$504,MATCH(C80,Products!$A$5:$A$504,0))),"")</f>
        <v/>
      </c>
      <c r="E80" s="13" t="n">
        <v>1</v>
      </c>
      <c r="F80" s="11"/>
      <c r="G80" s="15" t="n">
        <v>0</v>
      </c>
      <c r="H80" s="10" t="s">
        <v>114</v>
      </c>
      <c r="I80" s="9" t="n">
        <f aca="false">IFERROR(E80*F80*(1-G80),"")</f>
        <v>0</v>
      </c>
      <c r="J80" s="9" t="n">
        <f aca="false">IFERROR(I80*IFERROR(VLOOKUP(H80,VatRates,2,FALSE()),0),"")</f>
        <v>0</v>
      </c>
      <c r="K80" s="9" t="n">
        <f aca="false">IFERROR(I80+J80,"")</f>
        <v>0</v>
      </c>
    </row>
    <row r="81" customFormat="false" ht="15" hidden="false" customHeight="false" outlineLevel="0" collapsed="false">
      <c r="A81" s="10"/>
      <c r="B81" s="10"/>
      <c r="C81" s="10"/>
      <c r="D81" s="14" t="str">
        <f aca="false">IFERROR(IF(C81="","",INDEX(Products!$C$5:$C$504,MATCH(C81,Products!$A$5:$A$504,0))),"")</f>
        <v/>
      </c>
      <c r="E81" s="13" t="n">
        <v>1</v>
      </c>
      <c r="F81" s="11"/>
      <c r="G81" s="15" t="n">
        <v>0</v>
      </c>
      <c r="H81" s="10" t="s">
        <v>114</v>
      </c>
      <c r="I81" s="9" t="n">
        <f aca="false">IFERROR(E81*F81*(1-G81),"")</f>
        <v>0</v>
      </c>
      <c r="J81" s="9" t="n">
        <f aca="false">IFERROR(I81*IFERROR(VLOOKUP(H81,VatRates,2,FALSE()),0),"")</f>
        <v>0</v>
      </c>
      <c r="K81" s="9" t="n">
        <f aca="false">IFERROR(I81+J81,"")</f>
        <v>0</v>
      </c>
    </row>
    <row r="82" customFormat="false" ht="15" hidden="false" customHeight="false" outlineLevel="0" collapsed="false">
      <c r="A82" s="10"/>
      <c r="B82" s="10"/>
      <c r="C82" s="10"/>
      <c r="D82" s="14" t="str">
        <f aca="false">IFERROR(IF(C82="","",INDEX(Products!$C$5:$C$504,MATCH(C82,Products!$A$5:$A$504,0))),"")</f>
        <v/>
      </c>
      <c r="E82" s="13" t="n">
        <v>1</v>
      </c>
      <c r="F82" s="11"/>
      <c r="G82" s="15" t="n">
        <v>0</v>
      </c>
      <c r="H82" s="10" t="s">
        <v>114</v>
      </c>
      <c r="I82" s="9" t="n">
        <f aca="false">IFERROR(E82*F82*(1-G82),"")</f>
        <v>0</v>
      </c>
      <c r="J82" s="9" t="n">
        <f aca="false">IFERROR(I82*IFERROR(VLOOKUP(H82,VatRates,2,FALSE()),0),"")</f>
        <v>0</v>
      </c>
      <c r="K82" s="9" t="n">
        <f aca="false">IFERROR(I82+J82,"")</f>
        <v>0</v>
      </c>
    </row>
    <row r="83" customFormat="false" ht="15" hidden="false" customHeight="false" outlineLevel="0" collapsed="false">
      <c r="A83" s="10"/>
      <c r="B83" s="10"/>
      <c r="C83" s="10"/>
      <c r="D83" s="14" t="str">
        <f aca="false">IFERROR(IF(C83="","",INDEX(Products!$C$5:$C$504,MATCH(C83,Products!$A$5:$A$504,0))),"")</f>
        <v/>
      </c>
      <c r="E83" s="13" t="n">
        <v>1</v>
      </c>
      <c r="F83" s="11"/>
      <c r="G83" s="15" t="n">
        <v>0</v>
      </c>
      <c r="H83" s="10" t="s">
        <v>114</v>
      </c>
      <c r="I83" s="9" t="n">
        <f aca="false">IFERROR(E83*F83*(1-G83),"")</f>
        <v>0</v>
      </c>
      <c r="J83" s="9" t="n">
        <f aca="false">IFERROR(I83*IFERROR(VLOOKUP(H83,VatRates,2,FALSE()),0),"")</f>
        <v>0</v>
      </c>
      <c r="K83" s="9" t="n">
        <f aca="false">IFERROR(I83+J83,"")</f>
        <v>0</v>
      </c>
    </row>
    <row r="84" customFormat="false" ht="15" hidden="false" customHeight="false" outlineLevel="0" collapsed="false">
      <c r="A84" s="10"/>
      <c r="B84" s="10"/>
      <c r="C84" s="10"/>
      <c r="D84" s="14" t="str">
        <f aca="false">IFERROR(IF(C84="","",INDEX(Products!$C$5:$C$504,MATCH(C84,Products!$A$5:$A$504,0))),"")</f>
        <v/>
      </c>
      <c r="E84" s="13" t="n">
        <v>1</v>
      </c>
      <c r="F84" s="11"/>
      <c r="G84" s="15" t="n">
        <v>0</v>
      </c>
      <c r="H84" s="10" t="s">
        <v>114</v>
      </c>
      <c r="I84" s="9" t="n">
        <f aca="false">IFERROR(E84*F84*(1-G84),"")</f>
        <v>0</v>
      </c>
      <c r="J84" s="9" t="n">
        <f aca="false">IFERROR(I84*IFERROR(VLOOKUP(H84,VatRates,2,FALSE()),0),"")</f>
        <v>0</v>
      </c>
      <c r="K84" s="9" t="n">
        <f aca="false">IFERROR(I84+J84,"")</f>
        <v>0</v>
      </c>
    </row>
    <row r="85" customFormat="false" ht="15" hidden="false" customHeight="false" outlineLevel="0" collapsed="false">
      <c r="A85" s="10"/>
      <c r="B85" s="10"/>
      <c r="C85" s="10"/>
      <c r="D85" s="14" t="str">
        <f aca="false">IFERROR(IF(C85="","",INDEX(Products!$C$5:$C$504,MATCH(C85,Products!$A$5:$A$504,0))),"")</f>
        <v/>
      </c>
      <c r="E85" s="13" t="n">
        <v>1</v>
      </c>
      <c r="F85" s="11"/>
      <c r="G85" s="15" t="n">
        <v>0</v>
      </c>
      <c r="H85" s="10" t="s">
        <v>114</v>
      </c>
      <c r="I85" s="9" t="n">
        <f aca="false">IFERROR(E85*F85*(1-G85),"")</f>
        <v>0</v>
      </c>
      <c r="J85" s="9" t="n">
        <f aca="false">IFERROR(I85*IFERROR(VLOOKUP(H85,VatRates,2,FALSE()),0),"")</f>
        <v>0</v>
      </c>
      <c r="K85" s="9" t="n">
        <f aca="false">IFERROR(I85+J85,"")</f>
        <v>0</v>
      </c>
    </row>
    <row r="86" customFormat="false" ht="15" hidden="false" customHeight="false" outlineLevel="0" collapsed="false">
      <c r="A86" s="10"/>
      <c r="B86" s="10"/>
      <c r="C86" s="10"/>
      <c r="D86" s="14" t="str">
        <f aca="false">IFERROR(IF(C86="","",INDEX(Products!$C$5:$C$504,MATCH(C86,Products!$A$5:$A$504,0))),"")</f>
        <v/>
      </c>
      <c r="E86" s="13" t="n">
        <v>1</v>
      </c>
      <c r="F86" s="11"/>
      <c r="G86" s="15" t="n">
        <v>0</v>
      </c>
      <c r="H86" s="10" t="s">
        <v>114</v>
      </c>
      <c r="I86" s="9" t="n">
        <f aca="false">IFERROR(E86*F86*(1-G86),"")</f>
        <v>0</v>
      </c>
      <c r="J86" s="9" t="n">
        <f aca="false">IFERROR(I86*IFERROR(VLOOKUP(H86,VatRates,2,FALSE()),0),"")</f>
        <v>0</v>
      </c>
      <c r="K86" s="9" t="n">
        <f aca="false">IFERROR(I86+J86,"")</f>
        <v>0</v>
      </c>
    </row>
    <row r="87" customFormat="false" ht="15" hidden="false" customHeight="false" outlineLevel="0" collapsed="false">
      <c r="A87" s="10"/>
      <c r="B87" s="10"/>
      <c r="C87" s="10"/>
      <c r="D87" s="14" t="str">
        <f aca="false">IFERROR(IF(C87="","",INDEX(Products!$C$5:$C$504,MATCH(C87,Products!$A$5:$A$504,0))),"")</f>
        <v/>
      </c>
      <c r="E87" s="13" t="n">
        <v>1</v>
      </c>
      <c r="F87" s="11"/>
      <c r="G87" s="15" t="n">
        <v>0</v>
      </c>
      <c r="H87" s="10" t="s">
        <v>114</v>
      </c>
      <c r="I87" s="9" t="n">
        <f aca="false">IFERROR(E87*F87*(1-G87),"")</f>
        <v>0</v>
      </c>
      <c r="J87" s="9" t="n">
        <f aca="false">IFERROR(I87*IFERROR(VLOOKUP(H87,VatRates,2,FALSE()),0),"")</f>
        <v>0</v>
      </c>
      <c r="K87" s="9" t="n">
        <f aca="false">IFERROR(I87+J87,"")</f>
        <v>0</v>
      </c>
    </row>
    <row r="88" customFormat="false" ht="15" hidden="false" customHeight="false" outlineLevel="0" collapsed="false">
      <c r="A88" s="10"/>
      <c r="B88" s="10"/>
      <c r="C88" s="10"/>
      <c r="D88" s="14" t="str">
        <f aca="false">IFERROR(IF(C88="","",INDEX(Products!$C$5:$C$504,MATCH(C88,Products!$A$5:$A$504,0))),"")</f>
        <v/>
      </c>
      <c r="E88" s="13" t="n">
        <v>1</v>
      </c>
      <c r="F88" s="11"/>
      <c r="G88" s="15" t="n">
        <v>0</v>
      </c>
      <c r="H88" s="10" t="s">
        <v>114</v>
      </c>
      <c r="I88" s="9" t="n">
        <f aca="false">IFERROR(E88*F88*(1-G88),"")</f>
        <v>0</v>
      </c>
      <c r="J88" s="9" t="n">
        <f aca="false">IFERROR(I88*IFERROR(VLOOKUP(H88,VatRates,2,FALSE()),0),"")</f>
        <v>0</v>
      </c>
      <c r="K88" s="9" t="n">
        <f aca="false">IFERROR(I88+J88,"")</f>
        <v>0</v>
      </c>
    </row>
    <row r="89" customFormat="false" ht="15" hidden="false" customHeight="false" outlineLevel="0" collapsed="false">
      <c r="A89" s="10"/>
      <c r="B89" s="10"/>
      <c r="C89" s="10"/>
      <c r="D89" s="14" t="str">
        <f aca="false">IFERROR(IF(C89="","",INDEX(Products!$C$5:$C$504,MATCH(C89,Products!$A$5:$A$504,0))),"")</f>
        <v/>
      </c>
      <c r="E89" s="13" t="n">
        <v>1</v>
      </c>
      <c r="F89" s="11"/>
      <c r="G89" s="15" t="n">
        <v>0</v>
      </c>
      <c r="H89" s="10" t="s">
        <v>114</v>
      </c>
      <c r="I89" s="9" t="n">
        <f aca="false">IFERROR(E89*F89*(1-G89),"")</f>
        <v>0</v>
      </c>
      <c r="J89" s="9" t="n">
        <f aca="false">IFERROR(I89*IFERROR(VLOOKUP(H89,VatRates,2,FALSE()),0),"")</f>
        <v>0</v>
      </c>
      <c r="K89" s="9" t="n">
        <f aca="false">IFERROR(I89+J89,"")</f>
        <v>0</v>
      </c>
    </row>
    <row r="90" customFormat="false" ht="15" hidden="false" customHeight="false" outlineLevel="0" collapsed="false">
      <c r="A90" s="10"/>
      <c r="B90" s="10"/>
      <c r="C90" s="10"/>
      <c r="D90" s="14" t="str">
        <f aca="false">IFERROR(IF(C90="","",INDEX(Products!$C$5:$C$504,MATCH(C90,Products!$A$5:$A$504,0))),"")</f>
        <v/>
      </c>
      <c r="E90" s="13" t="n">
        <v>1</v>
      </c>
      <c r="F90" s="11"/>
      <c r="G90" s="15" t="n">
        <v>0</v>
      </c>
      <c r="H90" s="10" t="s">
        <v>114</v>
      </c>
      <c r="I90" s="9" t="n">
        <f aca="false">IFERROR(E90*F90*(1-G90),"")</f>
        <v>0</v>
      </c>
      <c r="J90" s="9" t="n">
        <f aca="false">IFERROR(I90*IFERROR(VLOOKUP(H90,VatRates,2,FALSE()),0),"")</f>
        <v>0</v>
      </c>
      <c r="K90" s="9" t="n">
        <f aca="false">IFERROR(I90+J90,"")</f>
        <v>0</v>
      </c>
    </row>
    <row r="91" customFormat="false" ht="15" hidden="false" customHeight="false" outlineLevel="0" collapsed="false">
      <c r="A91" s="10"/>
      <c r="B91" s="10"/>
      <c r="C91" s="10"/>
      <c r="D91" s="14" t="str">
        <f aca="false">IFERROR(IF(C91="","",INDEX(Products!$C$5:$C$504,MATCH(C91,Products!$A$5:$A$504,0))),"")</f>
        <v/>
      </c>
      <c r="E91" s="13" t="n">
        <v>1</v>
      </c>
      <c r="F91" s="11"/>
      <c r="G91" s="15" t="n">
        <v>0</v>
      </c>
      <c r="H91" s="10" t="s">
        <v>114</v>
      </c>
      <c r="I91" s="9" t="n">
        <f aca="false">IFERROR(E91*F91*(1-G91),"")</f>
        <v>0</v>
      </c>
      <c r="J91" s="9" t="n">
        <f aca="false">IFERROR(I91*IFERROR(VLOOKUP(H91,VatRates,2,FALSE()),0),"")</f>
        <v>0</v>
      </c>
      <c r="K91" s="9" t="n">
        <f aca="false">IFERROR(I91+J91,"")</f>
        <v>0</v>
      </c>
    </row>
    <row r="92" customFormat="false" ht="15" hidden="false" customHeight="false" outlineLevel="0" collapsed="false">
      <c r="A92" s="10"/>
      <c r="B92" s="10"/>
      <c r="C92" s="10"/>
      <c r="D92" s="14" t="str">
        <f aca="false">IFERROR(IF(C92="","",INDEX(Products!$C$5:$C$504,MATCH(C92,Products!$A$5:$A$504,0))),"")</f>
        <v/>
      </c>
      <c r="E92" s="13" t="n">
        <v>1</v>
      </c>
      <c r="F92" s="11"/>
      <c r="G92" s="15" t="n">
        <v>0</v>
      </c>
      <c r="H92" s="10" t="s">
        <v>114</v>
      </c>
      <c r="I92" s="9" t="n">
        <f aca="false">IFERROR(E92*F92*(1-G92),"")</f>
        <v>0</v>
      </c>
      <c r="J92" s="9" t="n">
        <f aca="false">IFERROR(I92*IFERROR(VLOOKUP(H92,VatRates,2,FALSE()),0),"")</f>
        <v>0</v>
      </c>
      <c r="K92" s="9" t="n">
        <f aca="false">IFERROR(I92+J92,"")</f>
        <v>0</v>
      </c>
    </row>
    <row r="93" customFormat="false" ht="15" hidden="false" customHeight="false" outlineLevel="0" collapsed="false">
      <c r="A93" s="10"/>
      <c r="B93" s="10"/>
      <c r="C93" s="10"/>
      <c r="D93" s="14" t="str">
        <f aca="false">IFERROR(IF(C93="","",INDEX(Products!$C$5:$C$504,MATCH(C93,Products!$A$5:$A$504,0))),"")</f>
        <v/>
      </c>
      <c r="E93" s="13" t="n">
        <v>1</v>
      </c>
      <c r="F93" s="11"/>
      <c r="G93" s="15" t="n">
        <v>0</v>
      </c>
      <c r="H93" s="10" t="s">
        <v>114</v>
      </c>
      <c r="I93" s="9" t="n">
        <f aca="false">IFERROR(E93*F93*(1-G93),"")</f>
        <v>0</v>
      </c>
      <c r="J93" s="9" t="n">
        <f aca="false">IFERROR(I93*IFERROR(VLOOKUP(H93,VatRates,2,FALSE()),0),"")</f>
        <v>0</v>
      </c>
      <c r="K93" s="9" t="n">
        <f aca="false">IFERROR(I93+J93,"")</f>
        <v>0</v>
      </c>
    </row>
    <row r="94" customFormat="false" ht="15" hidden="false" customHeight="false" outlineLevel="0" collapsed="false">
      <c r="A94" s="10"/>
      <c r="B94" s="10"/>
      <c r="C94" s="10"/>
      <c r="D94" s="14" t="str">
        <f aca="false">IFERROR(IF(C94="","",INDEX(Products!$C$5:$C$504,MATCH(C94,Products!$A$5:$A$504,0))),"")</f>
        <v/>
      </c>
      <c r="E94" s="13" t="n">
        <v>1</v>
      </c>
      <c r="F94" s="11"/>
      <c r="G94" s="15" t="n">
        <v>0</v>
      </c>
      <c r="H94" s="10" t="s">
        <v>114</v>
      </c>
      <c r="I94" s="9" t="n">
        <f aca="false">IFERROR(E94*F94*(1-G94),"")</f>
        <v>0</v>
      </c>
      <c r="J94" s="9" t="n">
        <f aca="false">IFERROR(I94*IFERROR(VLOOKUP(H94,VatRates,2,FALSE()),0),"")</f>
        <v>0</v>
      </c>
      <c r="K94" s="9" t="n">
        <f aca="false">IFERROR(I94+J94,"")</f>
        <v>0</v>
      </c>
    </row>
    <row r="95" customFormat="false" ht="15" hidden="false" customHeight="false" outlineLevel="0" collapsed="false">
      <c r="A95" s="10"/>
      <c r="B95" s="10"/>
      <c r="C95" s="10"/>
      <c r="D95" s="14" t="str">
        <f aca="false">IFERROR(IF(C95="","",INDEX(Products!$C$5:$C$504,MATCH(C95,Products!$A$5:$A$504,0))),"")</f>
        <v/>
      </c>
      <c r="E95" s="13" t="n">
        <v>1</v>
      </c>
      <c r="F95" s="11"/>
      <c r="G95" s="15" t="n">
        <v>0</v>
      </c>
      <c r="H95" s="10" t="s">
        <v>114</v>
      </c>
      <c r="I95" s="9" t="n">
        <f aca="false">IFERROR(E95*F95*(1-G95),"")</f>
        <v>0</v>
      </c>
      <c r="J95" s="9" t="n">
        <f aca="false">IFERROR(I95*IFERROR(VLOOKUP(H95,VatRates,2,FALSE()),0),"")</f>
        <v>0</v>
      </c>
      <c r="K95" s="9" t="n">
        <f aca="false">IFERROR(I95+J95,"")</f>
        <v>0</v>
      </c>
    </row>
    <row r="96" customFormat="false" ht="15" hidden="false" customHeight="false" outlineLevel="0" collapsed="false">
      <c r="A96" s="10"/>
      <c r="B96" s="10"/>
      <c r="C96" s="10"/>
      <c r="D96" s="14" t="str">
        <f aca="false">IFERROR(IF(C96="","",INDEX(Products!$C$5:$C$504,MATCH(C96,Products!$A$5:$A$504,0))),"")</f>
        <v/>
      </c>
      <c r="E96" s="13" t="n">
        <v>1</v>
      </c>
      <c r="F96" s="11"/>
      <c r="G96" s="15" t="n">
        <v>0</v>
      </c>
      <c r="H96" s="10" t="s">
        <v>114</v>
      </c>
      <c r="I96" s="9" t="n">
        <f aca="false">IFERROR(E96*F96*(1-G96),"")</f>
        <v>0</v>
      </c>
      <c r="J96" s="9" t="n">
        <f aca="false">IFERROR(I96*IFERROR(VLOOKUP(H96,VatRates,2,FALSE()),0),"")</f>
        <v>0</v>
      </c>
      <c r="K96" s="9" t="n">
        <f aca="false">IFERROR(I96+J96,"")</f>
        <v>0</v>
      </c>
    </row>
    <row r="97" customFormat="false" ht="15" hidden="false" customHeight="false" outlineLevel="0" collapsed="false">
      <c r="A97" s="10"/>
      <c r="B97" s="10"/>
      <c r="C97" s="10"/>
      <c r="D97" s="14" t="str">
        <f aca="false">IFERROR(IF(C97="","",INDEX(Products!$C$5:$C$504,MATCH(C97,Products!$A$5:$A$504,0))),"")</f>
        <v/>
      </c>
      <c r="E97" s="13" t="n">
        <v>1</v>
      </c>
      <c r="F97" s="11"/>
      <c r="G97" s="15" t="n">
        <v>0</v>
      </c>
      <c r="H97" s="10" t="s">
        <v>114</v>
      </c>
      <c r="I97" s="9" t="n">
        <f aca="false">IFERROR(E97*F97*(1-G97),"")</f>
        <v>0</v>
      </c>
      <c r="J97" s="9" t="n">
        <f aca="false">IFERROR(I97*IFERROR(VLOOKUP(H97,VatRates,2,FALSE()),0),"")</f>
        <v>0</v>
      </c>
      <c r="K97" s="9" t="n">
        <f aca="false">IFERROR(I97+J97,"")</f>
        <v>0</v>
      </c>
    </row>
    <row r="98" customFormat="false" ht="15" hidden="false" customHeight="false" outlineLevel="0" collapsed="false">
      <c r="A98" s="10"/>
      <c r="B98" s="10"/>
      <c r="C98" s="10"/>
      <c r="D98" s="14" t="str">
        <f aca="false">IFERROR(IF(C98="","",INDEX(Products!$C$5:$C$504,MATCH(C98,Products!$A$5:$A$504,0))),"")</f>
        <v/>
      </c>
      <c r="E98" s="13" t="n">
        <v>1</v>
      </c>
      <c r="F98" s="11"/>
      <c r="G98" s="15" t="n">
        <v>0</v>
      </c>
      <c r="H98" s="10" t="s">
        <v>114</v>
      </c>
      <c r="I98" s="9" t="n">
        <f aca="false">IFERROR(E98*F98*(1-G98),"")</f>
        <v>0</v>
      </c>
      <c r="J98" s="9" t="n">
        <f aca="false">IFERROR(I98*IFERROR(VLOOKUP(H98,VatRates,2,FALSE()),0),"")</f>
        <v>0</v>
      </c>
      <c r="K98" s="9" t="n">
        <f aca="false">IFERROR(I98+J98,"")</f>
        <v>0</v>
      </c>
    </row>
    <row r="99" customFormat="false" ht="15" hidden="false" customHeight="false" outlineLevel="0" collapsed="false">
      <c r="A99" s="10"/>
      <c r="B99" s="10"/>
      <c r="C99" s="10"/>
      <c r="D99" s="14" t="str">
        <f aca="false">IFERROR(IF(C99="","",INDEX(Products!$C$5:$C$504,MATCH(C99,Products!$A$5:$A$504,0))),"")</f>
        <v/>
      </c>
      <c r="E99" s="13" t="n">
        <v>1</v>
      </c>
      <c r="F99" s="11"/>
      <c r="G99" s="15" t="n">
        <v>0</v>
      </c>
      <c r="H99" s="10" t="s">
        <v>114</v>
      </c>
      <c r="I99" s="9" t="n">
        <f aca="false">IFERROR(E99*F99*(1-G99),"")</f>
        <v>0</v>
      </c>
      <c r="J99" s="9" t="n">
        <f aca="false">IFERROR(I99*IFERROR(VLOOKUP(H99,VatRates,2,FALSE()),0),"")</f>
        <v>0</v>
      </c>
      <c r="K99" s="9" t="n">
        <f aca="false">IFERROR(I99+J99,"")</f>
        <v>0</v>
      </c>
    </row>
    <row r="100" customFormat="false" ht="15" hidden="false" customHeight="false" outlineLevel="0" collapsed="false">
      <c r="A100" s="10"/>
      <c r="B100" s="10"/>
      <c r="C100" s="10"/>
      <c r="D100" s="14" t="str">
        <f aca="false">IFERROR(IF(C100="","",INDEX(Products!$C$5:$C$504,MATCH(C100,Products!$A$5:$A$504,0))),"")</f>
        <v/>
      </c>
      <c r="E100" s="13" t="n">
        <v>1</v>
      </c>
      <c r="F100" s="11"/>
      <c r="G100" s="15" t="n">
        <v>0</v>
      </c>
      <c r="H100" s="10" t="s">
        <v>114</v>
      </c>
      <c r="I100" s="9" t="n">
        <f aca="false">IFERROR(E100*F100*(1-G100),"")</f>
        <v>0</v>
      </c>
      <c r="J100" s="9" t="n">
        <f aca="false">IFERROR(I100*IFERROR(VLOOKUP(H100,VatRates,2,FALSE()),0),"")</f>
        <v>0</v>
      </c>
      <c r="K100" s="9" t="n">
        <f aca="false">IFERROR(I100+J100,"")</f>
        <v>0</v>
      </c>
    </row>
    <row r="101" customFormat="false" ht="15" hidden="false" customHeight="false" outlineLevel="0" collapsed="false">
      <c r="A101" s="10"/>
      <c r="B101" s="10"/>
      <c r="C101" s="10"/>
      <c r="D101" s="14" t="str">
        <f aca="false">IFERROR(IF(C101="","",INDEX(Products!$C$5:$C$504,MATCH(C101,Products!$A$5:$A$504,0))),"")</f>
        <v/>
      </c>
      <c r="E101" s="13" t="n">
        <v>1</v>
      </c>
      <c r="F101" s="11"/>
      <c r="G101" s="15" t="n">
        <v>0</v>
      </c>
      <c r="H101" s="10" t="s">
        <v>114</v>
      </c>
      <c r="I101" s="9" t="n">
        <f aca="false">IFERROR(E101*F101*(1-G101),"")</f>
        <v>0</v>
      </c>
      <c r="J101" s="9" t="n">
        <f aca="false">IFERROR(I101*IFERROR(VLOOKUP(H101,VatRates,2,FALSE()),0),"")</f>
        <v>0</v>
      </c>
      <c r="K101" s="9" t="n">
        <f aca="false">IFERROR(I101+J101,"")</f>
        <v>0</v>
      </c>
    </row>
    <row r="102" customFormat="false" ht="15" hidden="false" customHeight="false" outlineLevel="0" collapsed="false">
      <c r="A102" s="10"/>
      <c r="B102" s="10"/>
      <c r="C102" s="10"/>
      <c r="D102" s="14" t="str">
        <f aca="false">IFERROR(IF(C102="","",INDEX(Products!$C$5:$C$504,MATCH(C102,Products!$A$5:$A$504,0))),"")</f>
        <v/>
      </c>
      <c r="E102" s="13" t="n">
        <v>1</v>
      </c>
      <c r="F102" s="11"/>
      <c r="G102" s="15" t="n">
        <v>0</v>
      </c>
      <c r="H102" s="10" t="s">
        <v>114</v>
      </c>
      <c r="I102" s="9" t="n">
        <f aca="false">IFERROR(E102*F102*(1-G102),"")</f>
        <v>0</v>
      </c>
      <c r="J102" s="9" t="n">
        <f aca="false">IFERROR(I102*IFERROR(VLOOKUP(H102,VatRates,2,FALSE()),0),"")</f>
        <v>0</v>
      </c>
      <c r="K102" s="9" t="n">
        <f aca="false">IFERROR(I102+J102,"")</f>
        <v>0</v>
      </c>
    </row>
    <row r="103" customFormat="false" ht="15" hidden="false" customHeight="false" outlineLevel="0" collapsed="false">
      <c r="A103" s="10"/>
      <c r="B103" s="10"/>
      <c r="C103" s="10"/>
      <c r="D103" s="14" t="str">
        <f aca="false">IFERROR(IF(C103="","",INDEX(Products!$C$5:$C$504,MATCH(C103,Products!$A$5:$A$504,0))),"")</f>
        <v/>
      </c>
      <c r="E103" s="13" t="n">
        <v>1</v>
      </c>
      <c r="F103" s="11"/>
      <c r="G103" s="15" t="n">
        <v>0</v>
      </c>
      <c r="H103" s="10" t="s">
        <v>114</v>
      </c>
      <c r="I103" s="9" t="n">
        <f aca="false">IFERROR(E103*F103*(1-G103),"")</f>
        <v>0</v>
      </c>
      <c r="J103" s="9" t="n">
        <f aca="false">IFERROR(I103*IFERROR(VLOOKUP(H103,VatRates,2,FALSE()),0),"")</f>
        <v>0</v>
      </c>
      <c r="K103" s="9" t="n">
        <f aca="false">IFERROR(I103+J103,"")</f>
        <v>0</v>
      </c>
    </row>
    <row r="104" customFormat="false" ht="15" hidden="false" customHeight="false" outlineLevel="0" collapsed="false">
      <c r="A104" s="10"/>
      <c r="B104" s="10"/>
      <c r="C104" s="10"/>
      <c r="D104" s="14" t="str">
        <f aca="false">IFERROR(IF(C104="","",INDEX(Products!$C$5:$C$504,MATCH(C104,Products!$A$5:$A$504,0))),"")</f>
        <v/>
      </c>
      <c r="E104" s="13" t="n">
        <v>1</v>
      </c>
      <c r="F104" s="11"/>
      <c r="G104" s="15" t="n">
        <v>0</v>
      </c>
      <c r="H104" s="10" t="s">
        <v>114</v>
      </c>
      <c r="I104" s="9" t="n">
        <f aca="false">IFERROR(E104*F104*(1-G104),"")</f>
        <v>0</v>
      </c>
      <c r="J104" s="9" t="n">
        <f aca="false">IFERROR(I104*IFERROR(VLOOKUP(H104,VatRates,2,FALSE()),0),"")</f>
        <v>0</v>
      </c>
      <c r="K104" s="9" t="n">
        <f aca="false">IFERROR(I104+J104,"")</f>
        <v>0</v>
      </c>
    </row>
    <row r="105" customFormat="false" ht="15" hidden="false" customHeight="false" outlineLevel="0" collapsed="false">
      <c r="A105" s="10"/>
      <c r="B105" s="10"/>
      <c r="C105" s="10"/>
      <c r="D105" s="14" t="str">
        <f aca="false">IFERROR(IF(C105="","",INDEX(Products!$C$5:$C$504,MATCH(C105,Products!$A$5:$A$504,0))),"")</f>
        <v/>
      </c>
      <c r="E105" s="13" t="n">
        <v>1</v>
      </c>
      <c r="F105" s="11"/>
      <c r="G105" s="15" t="n">
        <v>0</v>
      </c>
      <c r="H105" s="10" t="s">
        <v>114</v>
      </c>
      <c r="I105" s="9" t="n">
        <f aca="false">IFERROR(E105*F105*(1-G105),"")</f>
        <v>0</v>
      </c>
      <c r="J105" s="9" t="n">
        <f aca="false">IFERROR(I105*IFERROR(VLOOKUP(H105,VatRates,2,FALSE()),0),"")</f>
        <v>0</v>
      </c>
      <c r="K105" s="9" t="n">
        <f aca="false">IFERROR(I105+J105,"")</f>
        <v>0</v>
      </c>
    </row>
    <row r="106" customFormat="false" ht="15" hidden="false" customHeight="false" outlineLevel="0" collapsed="false">
      <c r="A106" s="10"/>
      <c r="B106" s="10"/>
      <c r="C106" s="10"/>
      <c r="D106" s="14" t="str">
        <f aca="false">IFERROR(IF(C106="","",INDEX(Products!$C$5:$C$504,MATCH(C106,Products!$A$5:$A$504,0))),"")</f>
        <v/>
      </c>
      <c r="E106" s="13" t="n">
        <v>1</v>
      </c>
      <c r="F106" s="11"/>
      <c r="G106" s="15" t="n">
        <v>0</v>
      </c>
      <c r="H106" s="10" t="s">
        <v>114</v>
      </c>
      <c r="I106" s="9" t="n">
        <f aca="false">IFERROR(E106*F106*(1-G106),"")</f>
        <v>0</v>
      </c>
      <c r="J106" s="9" t="n">
        <f aca="false">IFERROR(I106*IFERROR(VLOOKUP(H106,VatRates,2,FALSE()),0),"")</f>
        <v>0</v>
      </c>
      <c r="K106" s="9" t="n">
        <f aca="false">IFERROR(I106+J106,"")</f>
        <v>0</v>
      </c>
    </row>
    <row r="107" customFormat="false" ht="15" hidden="false" customHeight="false" outlineLevel="0" collapsed="false">
      <c r="A107" s="10"/>
      <c r="B107" s="10"/>
      <c r="C107" s="10"/>
      <c r="D107" s="14" t="str">
        <f aca="false">IFERROR(IF(C107="","",INDEX(Products!$C$5:$C$504,MATCH(C107,Products!$A$5:$A$504,0))),"")</f>
        <v/>
      </c>
      <c r="E107" s="13" t="n">
        <v>1</v>
      </c>
      <c r="F107" s="11"/>
      <c r="G107" s="15" t="n">
        <v>0</v>
      </c>
      <c r="H107" s="10" t="s">
        <v>114</v>
      </c>
      <c r="I107" s="9" t="n">
        <f aca="false">IFERROR(E107*F107*(1-G107),"")</f>
        <v>0</v>
      </c>
      <c r="J107" s="9" t="n">
        <f aca="false">IFERROR(I107*IFERROR(VLOOKUP(H107,VatRates,2,FALSE()),0),"")</f>
        <v>0</v>
      </c>
      <c r="K107" s="9" t="n">
        <f aca="false">IFERROR(I107+J107,"")</f>
        <v>0</v>
      </c>
    </row>
    <row r="108" customFormat="false" ht="15" hidden="false" customHeight="false" outlineLevel="0" collapsed="false">
      <c r="A108" s="10"/>
      <c r="B108" s="10"/>
      <c r="C108" s="10"/>
      <c r="D108" s="14" t="str">
        <f aca="false">IFERROR(IF(C108="","",INDEX(Products!$C$5:$C$504,MATCH(C108,Products!$A$5:$A$504,0))),"")</f>
        <v/>
      </c>
      <c r="E108" s="13" t="n">
        <v>1</v>
      </c>
      <c r="F108" s="11"/>
      <c r="G108" s="15" t="n">
        <v>0</v>
      </c>
      <c r="H108" s="10" t="s">
        <v>114</v>
      </c>
      <c r="I108" s="9" t="n">
        <f aca="false">IFERROR(E108*F108*(1-G108),"")</f>
        <v>0</v>
      </c>
      <c r="J108" s="9" t="n">
        <f aca="false">IFERROR(I108*IFERROR(VLOOKUP(H108,VatRates,2,FALSE()),0),"")</f>
        <v>0</v>
      </c>
      <c r="K108" s="9" t="n">
        <f aca="false">IFERROR(I108+J108,"")</f>
        <v>0</v>
      </c>
    </row>
    <row r="109" customFormat="false" ht="15" hidden="false" customHeight="false" outlineLevel="0" collapsed="false">
      <c r="A109" s="10"/>
      <c r="B109" s="10"/>
      <c r="C109" s="10"/>
      <c r="D109" s="14" t="str">
        <f aca="false">IFERROR(IF(C109="","",INDEX(Products!$C$5:$C$504,MATCH(C109,Products!$A$5:$A$504,0))),"")</f>
        <v/>
      </c>
      <c r="E109" s="13" t="n">
        <v>1</v>
      </c>
      <c r="F109" s="11"/>
      <c r="G109" s="15" t="n">
        <v>0</v>
      </c>
      <c r="H109" s="10" t="s">
        <v>114</v>
      </c>
      <c r="I109" s="9" t="n">
        <f aca="false">IFERROR(E109*F109*(1-G109),"")</f>
        <v>0</v>
      </c>
      <c r="J109" s="9" t="n">
        <f aca="false">IFERROR(I109*IFERROR(VLOOKUP(H109,VatRates,2,FALSE()),0),"")</f>
        <v>0</v>
      </c>
      <c r="K109" s="9" t="n">
        <f aca="false">IFERROR(I109+J109,"")</f>
        <v>0</v>
      </c>
    </row>
    <row r="110" customFormat="false" ht="15" hidden="false" customHeight="false" outlineLevel="0" collapsed="false">
      <c r="A110" s="10"/>
      <c r="B110" s="10"/>
      <c r="C110" s="10"/>
      <c r="D110" s="14" t="str">
        <f aca="false">IFERROR(IF(C110="","",INDEX(Products!$C$5:$C$504,MATCH(C110,Products!$A$5:$A$504,0))),"")</f>
        <v/>
      </c>
      <c r="E110" s="13" t="n">
        <v>1</v>
      </c>
      <c r="F110" s="11"/>
      <c r="G110" s="15" t="n">
        <v>0</v>
      </c>
      <c r="H110" s="10" t="s">
        <v>114</v>
      </c>
      <c r="I110" s="9" t="n">
        <f aca="false">IFERROR(E110*F110*(1-G110),"")</f>
        <v>0</v>
      </c>
      <c r="J110" s="9" t="n">
        <f aca="false">IFERROR(I110*IFERROR(VLOOKUP(H110,VatRates,2,FALSE()),0),"")</f>
        <v>0</v>
      </c>
      <c r="K110" s="9" t="n">
        <f aca="false">IFERROR(I110+J110,"")</f>
        <v>0</v>
      </c>
    </row>
    <row r="111" customFormat="false" ht="15" hidden="false" customHeight="false" outlineLevel="0" collapsed="false">
      <c r="A111" s="10"/>
      <c r="B111" s="10"/>
      <c r="C111" s="10"/>
      <c r="D111" s="14" t="str">
        <f aca="false">IFERROR(IF(C111="","",INDEX(Products!$C$5:$C$504,MATCH(C111,Products!$A$5:$A$504,0))),"")</f>
        <v/>
      </c>
      <c r="E111" s="13" t="n">
        <v>1</v>
      </c>
      <c r="F111" s="11"/>
      <c r="G111" s="15" t="n">
        <v>0</v>
      </c>
      <c r="H111" s="10" t="s">
        <v>114</v>
      </c>
      <c r="I111" s="9" t="n">
        <f aca="false">IFERROR(E111*F111*(1-G111),"")</f>
        <v>0</v>
      </c>
      <c r="J111" s="9" t="n">
        <f aca="false">IFERROR(I111*IFERROR(VLOOKUP(H111,VatRates,2,FALSE()),0),"")</f>
        <v>0</v>
      </c>
      <c r="K111" s="9" t="n">
        <f aca="false">IFERROR(I111+J111,"")</f>
        <v>0</v>
      </c>
    </row>
    <row r="112" customFormat="false" ht="15" hidden="false" customHeight="false" outlineLevel="0" collapsed="false">
      <c r="A112" s="10"/>
      <c r="B112" s="10"/>
      <c r="C112" s="10"/>
      <c r="D112" s="14" t="str">
        <f aca="false">IFERROR(IF(C112="","",INDEX(Products!$C$5:$C$504,MATCH(C112,Products!$A$5:$A$504,0))),"")</f>
        <v/>
      </c>
      <c r="E112" s="13" t="n">
        <v>1</v>
      </c>
      <c r="F112" s="11"/>
      <c r="G112" s="15" t="n">
        <v>0</v>
      </c>
      <c r="H112" s="10" t="s">
        <v>114</v>
      </c>
      <c r="I112" s="9" t="n">
        <f aca="false">IFERROR(E112*F112*(1-G112),"")</f>
        <v>0</v>
      </c>
      <c r="J112" s="9" t="n">
        <f aca="false">IFERROR(I112*IFERROR(VLOOKUP(H112,VatRates,2,FALSE()),0),"")</f>
        <v>0</v>
      </c>
      <c r="K112" s="9" t="n">
        <f aca="false">IFERROR(I112+J112,"")</f>
        <v>0</v>
      </c>
    </row>
    <row r="113" customFormat="false" ht="15" hidden="false" customHeight="false" outlineLevel="0" collapsed="false">
      <c r="A113" s="10"/>
      <c r="B113" s="10"/>
      <c r="C113" s="10"/>
      <c r="D113" s="14" t="str">
        <f aca="false">IFERROR(IF(C113="","",INDEX(Products!$C$5:$C$504,MATCH(C113,Products!$A$5:$A$504,0))),"")</f>
        <v/>
      </c>
      <c r="E113" s="13" t="n">
        <v>1</v>
      </c>
      <c r="F113" s="11"/>
      <c r="G113" s="15" t="n">
        <v>0</v>
      </c>
      <c r="H113" s="10" t="s">
        <v>114</v>
      </c>
      <c r="I113" s="9" t="n">
        <f aca="false">IFERROR(E113*F113*(1-G113),"")</f>
        <v>0</v>
      </c>
      <c r="J113" s="9" t="n">
        <f aca="false">IFERROR(I113*IFERROR(VLOOKUP(H113,VatRates,2,FALSE()),0),"")</f>
        <v>0</v>
      </c>
      <c r="K113" s="9" t="n">
        <f aca="false">IFERROR(I113+J113,"")</f>
        <v>0</v>
      </c>
    </row>
    <row r="114" customFormat="false" ht="15" hidden="false" customHeight="false" outlineLevel="0" collapsed="false">
      <c r="A114" s="10"/>
      <c r="B114" s="10"/>
      <c r="C114" s="10"/>
      <c r="D114" s="14" t="str">
        <f aca="false">IFERROR(IF(C114="","",INDEX(Products!$C$5:$C$504,MATCH(C114,Products!$A$5:$A$504,0))),"")</f>
        <v/>
      </c>
      <c r="E114" s="13" t="n">
        <v>1</v>
      </c>
      <c r="F114" s="11"/>
      <c r="G114" s="15" t="n">
        <v>0</v>
      </c>
      <c r="H114" s="10" t="s">
        <v>114</v>
      </c>
      <c r="I114" s="9" t="n">
        <f aca="false">IFERROR(E114*F114*(1-G114),"")</f>
        <v>0</v>
      </c>
      <c r="J114" s="9" t="n">
        <f aca="false">IFERROR(I114*IFERROR(VLOOKUP(H114,VatRates,2,FALSE()),0),"")</f>
        <v>0</v>
      </c>
      <c r="K114" s="9" t="n">
        <f aca="false">IFERROR(I114+J114,"")</f>
        <v>0</v>
      </c>
    </row>
    <row r="115" customFormat="false" ht="15" hidden="false" customHeight="false" outlineLevel="0" collapsed="false">
      <c r="A115" s="10"/>
      <c r="B115" s="10"/>
      <c r="C115" s="10"/>
      <c r="D115" s="14" t="str">
        <f aca="false">IFERROR(IF(C115="","",INDEX(Products!$C$5:$C$504,MATCH(C115,Products!$A$5:$A$504,0))),"")</f>
        <v/>
      </c>
      <c r="E115" s="13" t="n">
        <v>1</v>
      </c>
      <c r="F115" s="11"/>
      <c r="G115" s="15" t="n">
        <v>0</v>
      </c>
      <c r="H115" s="10" t="s">
        <v>114</v>
      </c>
      <c r="I115" s="9" t="n">
        <f aca="false">IFERROR(E115*F115*(1-G115),"")</f>
        <v>0</v>
      </c>
      <c r="J115" s="9" t="n">
        <f aca="false">IFERROR(I115*IFERROR(VLOOKUP(H115,VatRates,2,FALSE()),0),"")</f>
        <v>0</v>
      </c>
      <c r="K115" s="9" t="n">
        <f aca="false">IFERROR(I115+J115,"")</f>
        <v>0</v>
      </c>
    </row>
    <row r="116" customFormat="false" ht="15" hidden="false" customHeight="false" outlineLevel="0" collapsed="false">
      <c r="A116" s="10"/>
      <c r="B116" s="10"/>
      <c r="C116" s="10"/>
      <c r="D116" s="14" t="str">
        <f aca="false">IFERROR(IF(C116="","",INDEX(Products!$C$5:$C$504,MATCH(C116,Products!$A$5:$A$504,0))),"")</f>
        <v/>
      </c>
      <c r="E116" s="13" t="n">
        <v>1</v>
      </c>
      <c r="F116" s="11"/>
      <c r="G116" s="15" t="n">
        <v>0</v>
      </c>
      <c r="H116" s="10" t="s">
        <v>114</v>
      </c>
      <c r="I116" s="9" t="n">
        <f aca="false">IFERROR(E116*F116*(1-G116),"")</f>
        <v>0</v>
      </c>
      <c r="J116" s="9" t="n">
        <f aca="false">IFERROR(I116*IFERROR(VLOOKUP(H116,VatRates,2,FALSE()),0),"")</f>
        <v>0</v>
      </c>
      <c r="K116" s="9" t="n">
        <f aca="false">IFERROR(I116+J116,"")</f>
        <v>0</v>
      </c>
    </row>
    <row r="117" customFormat="false" ht="15" hidden="false" customHeight="false" outlineLevel="0" collapsed="false">
      <c r="A117" s="10"/>
      <c r="B117" s="10"/>
      <c r="C117" s="10"/>
      <c r="D117" s="14" t="str">
        <f aca="false">IFERROR(IF(C117="","",INDEX(Products!$C$5:$C$504,MATCH(C117,Products!$A$5:$A$504,0))),"")</f>
        <v/>
      </c>
      <c r="E117" s="13" t="n">
        <v>1</v>
      </c>
      <c r="F117" s="11"/>
      <c r="G117" s="15" t="n">
        <v>0</v>
      </c>
      <c r="H117" s="10" t="s">
        <v>114</v>
      </c>
      <c r="I117" s="9" t="n">
        <f aca="false">IFERROR(E117*F117*(1-G117),"")</f>
        <v>0</v>
      </c>
      <c r="J117" s="9" t="n">
        <f aca="false">IFERROR(I117*IFERROR(VLOOKUP(H117,VatRates,2,FALSE()),0),"")</f>
        <v>0</v>
      </c>
      <c r="K117" s="9" t="n">
        <f aca="false">IFERROR(I117+J117,"")</f>
        <v>0</v>
      </c>
    </row>
    <row r="118" customFormat="false" ht="15" hidden="false" customHeight="false" outlineLevel="0" collapsed="false">
      <c r="A118" s="10"/>
      <c r="B118" s="10"/>
      <c r="C118" s="10"/>
      <c r="D118" s="14" t="str">
        <f aca="false">IFERROR(IF(C118="","",INDEX(Products!$C$5:$C$504,MATCH(C118,Products!$A$5:$A$504,0))),"")</f>
        <v/>
      </c>
      <c r="E118" s="13" t="n">
        <v>1</v>
      </c>
      <c r="F118" s="11"/>
      <c r="G118" s="15" t="n">
        <v>0</v>
      </c>
      <c r="H118" s="10" t="s">
        <v>114</v>
      </c>
      <c r="I118" s="9" t="n">
        <f aca="false">IFERROR(E118*F118*(1-G118),"")</f>
        <v>0</v>
      </c>
      <c r="J118" s="9" t="n">
        <f aca="false">IFERROR(I118*IFERROR(VLOOKUP(H118,VatRates,2,FALSE()),0),"")</f>
        <v>0</v>
      </c>
      <c r="K118" s="9" t="n">
        <f aca="false">IFERROR(I118+J118,"")</f>
        <v>0</v>
      </c>
    </row>
    <row r="119" customFormat="false" ht="15" hidden="false" customHeight="false" outlineLevel="0" collapsed="false">
      <c r="A119" s="10"/>
      <c r="B119" s="10"/>
      <c r="C119" s="10"/>
      <c r="D119" s="14" t="str">
        <f aca="false">IFERROR(IF(C119="","",INDEX(Products!$C$5:$C$504,MATCH(C119,Products!$A$5:$A$504,0))),"")</f>
        <v/>
      </c>
      <c r="E119" s="13" t="n">
        <v>1</v>
      </c>
      <c r="F119" s="11"/>
      <c r="G119" s="15" t="n">
        <v>0</v>
      </c>
      <c r="H119" s="10" t="s">
        <v>114</v>
      </c>
      <c r="I119" s="9" t="n">
        <f aca="false">IFERROR(E119*F119*(1-G119),"")</f>
        <v>0</v>
      </c>
      <c r="J119" s="9" t="n">
        <f aca="false">IFERROR(I119*IFERROR(VLOOKUP(H119,VatRates,2,FALSE()),0),"")</f>
        <v>0</v>
      </c>
      <c r="K119" s="9" t="n">
        <f aca="false">IFERROR(I119+J119,"")</f>
        <v>0</v>
      </c>
    </row>
    <row r="120" customFormat="false" ht="15" hidden="false" customHeight="false" outlineLevel="0" collapsed="false">
      <c r="A120" s="10"/>
      <c r="B120" s="10"/>
      <c r="C120" s="10"/>
      <c r="D120" s="14" t="str">
        <f aca="false">IFERROR(IF(C120="","",INDEX(Products!$C$5:$C$504,MATCH(C120,Products!$A$5:$A$504,0))),"")</f>
        <v/>
      </c>
      <c r="E120" s="13" t="n">
        <v>1</v>
      </c>
      <c r="F120" s="11"/>
      <c r="G120" s="15" t="n">
        <v>0</v>
      </c>
      <c r="H120" s="10" t="s">
        <v>114</v>
      </c>
      <c r="I120" s="9" t="n">
        <f aca="false">IFERROR(E120*F120*(1-G120),"")</f>
        <v>0</v>
      </c>
      <c r="J120" s="9" t="n">
        <f aca="false">IFERROR(I120*IFERROR(VLOOKUP(H120,VatRates,2,FALSE()),0),"")</f>
        <v>0</v>
      </c>
      <c r="K120" s="9" t="n">
        <f aca="false">IFERROR(I120+J120,"")</f>
        <v>0</v>
      </c>
    </row>
    <row r="121" customFormat="false" ht="15" hidden="false" customHeight="false" outlineLevel="0" collapsed="false">
      <c r="A121" s="10"/>
      <c r="B121" s="10"/>
      <c r="C121" s="10"/>
      <c r="D121" s="14" t="str">
        <f aca="false">IFERROR(IF(C121="","",INDEX(Products!$C$5:$C$504,MATCH(C121,Products!$A$5:$A$504,0))),"")</f>
        <v/>
      </c>
      <c r="E121" s="13" t="n">
        <v>1</v>
      </c>
      <c r="F121" s="11"/>
      <c r="G121" s="15" t="n">
        <v>0</v>
      </c>
      <c r="H121" s="10" t="s">
        <v>114</v>
      </c>
      <c r="I121" s="9" t="n">
        <f aca="false">IFERROR(E121*F121*(1-G121),"")</f>
        <v>0</v>
      </c>
      <c r="J121" s="9" t="n">
        <f aca="false">IFERROR(I121*IFERROR(VLOOKUP(H121,VatRates,2,FALSE()),0),"")</f>
        <v>0</v>
      </c>
      <c r="K121" s="9" t="n">
        <f aca="false">IFERROR(I121+J121,"")</f>
        <v>0</v>
      </c>
    </row>
    <row r="122" customFormat="false" ht="15" hidden="false" customHeight="false" outlineLevel="0" collapsed="false">
      <c r="A122" s="10"/>
      <c r="B122" s="10"/>
      <c r="C122" s="10"/>
      <c r="D122" s="14" t="str">
        <f aca="false">IFERROR(IF(C122="","",INDEX(Products!$C$5:$C$504,MATCH(C122,Products!$A$5:$A$504,0))),"")</f>
        <v/>
      </c>
      <c r="E122" s="13" t="n">
        <v>1</v>
      </c>
      <c r="F122" s="11"/>
      <c r="G122" s="15" t="n">
        <v>0</v>
      </c>
      <c r="H122" s="10" t="s">
        <v>114</v>
      </c>
      <c r="I122" s="9" t="n">
        <f aca="false">IFERROR(E122*F122*(1-G122),"")</f>
        <v>0</v>
      </c>
      <c r="J122" s="9" t="n">
        <f aca="false">IFERROR(I122*IFERROR(VLOOKUP(H122,VatRates,2,FALSE()),0),"")</f>
        <v>0</v>
      </c>
      <c r="K122" s="9" t="n">
        <f aca="false">IFERROR(I122+J122,"")</f>
        <v>0</v>
      </c>
    </row>
    <row r="123" customFormat="false" ht="15" hidden="false" customHeight="false" outlineLevel="0" collapsed="false">
      <c r="A123" s="10"/>
      <c r="B123" s="10"/>
      <c r="C123" s="10"/>
      <c r="D123" s="14" t="str">
        <f aca="false">IFERROR(IF(C123="","",INDEX(Products!$C$5:$C$504,MATCH(C123,Products!$A$5:$A$504,0))),"")</f>
        <v/>
      </c>
      <c r="E123" s="13" t="n">
        <v>1</v>
      </c>
      <c r="F123" s="11"/>
      <c r="G123" s="15" t="n">
        <v>0</v>
      </c>
      <c r="H123" s="10" t="s">
        <v>114</v>
      </c>
      <c r="I123" s="9" t="n">
        <f aca="false">IFERROR(E123*F123*(1-G123),"")</f>
        <v>0</v>
      </c>
      <c r="J123" s="9" t="n">
        <f aca="false">IFERROR(I123*IFERROR(VLOOKUP(H123,VatRates,2,FALSE()),0),"")</f>
        <v>0</v>
      </c>
      <c r="K123" s="9" t="n">
        <f aca="false">IFERROR(I123+J123,"")</f>
        <v>0</v>
      </c>
    </row>
    <row r="124" customFormat="false" ht="15" hidden="false" customHeight="false" outlineLevel="0" collapsed="false">
      <c r="A124" s="10"/>
      <c r="B124" s="10"/>
      <c r="C124" s="10"/>
      <c r="D124" s="14" t="str">
        <f aca="false">IFERROR(IF(C124="","",INDEX(Products!$C$5:$C$504,MATCH(C124,Products!$A$5:$A$504,0))),"")</f>
        <v/>
      </c>
      <c r="E124" s="13" t="n">
        <v>1</v>
      </c>
      <c r="F124" s="11"/>
      <c r="G124" s="15" t="n">
        <v>0</v>
      </c>
      <c r="H124" s="10" t="s">
        <v>114</v>
      </c>
      <c r="I124" s="9" t="n">
        <f aca="false">IFERROR(E124*F124*(1-G124),"")</f>
        <v>0</v>
      </c>
      <c r="J124" s="9" t="n">
        <f aca="false">IFERROR(I124*IFERROR(VLOOKUP(H124,VatRates,2,FALSE()),0),"")</f>
        <v>0</v>
      </c>
      <c r="K124" s="9" t="n">
        <f aca="false">IFERROR(I124+J124,"")</f>
        <v>0</v>
      </c>
    </row>
    <row r="125" customFormat="false" ht="15" hidden="false" customHeight="false" outlineLevel="0" collapsed="false">
      <c r="A125" s="10"/>
      <c r="B125" s="10"/>
      <c r="C125" s="10"/>
      <c r="D125" s="14" t="str">
        <f aca="false">IFERROR(IF(C125="","",INDEX(Products!$C$5:$C$504,MATCH(C125,Products!$A$5:$A$504,0))),"")</f>
        <v/>
      </c>
      <c r="E125" s="13" t="n">
        <v>1</v>
      </c>
      <c r="F125" s="11"/>
      <c r="G125" s="15" t="n">
        <v>0</v>
      </c>
      <c r="H125" s="10" t="s">
        <v>114</v>
      </c>
      <c r="I125" s="9" t="n">
        <f aca="false">IFERROR(E125*F125*(1-G125),"")</f>
        <v>0</v>
      </c>
      <c r="J125" s="9" t="n">
        <f aca="false">IFERROR(I125*IFERROR(VLOOKUP(H125,VatRates,2,FALSE()),0),"")</f>
        <v>0</v>
      </c>
      <c r="K125" s="9" t="n">
        <f aca="false">IFERROR(I125+J125,"")</f>
        <v>0</v>
      </c>
    </row>
    <row r="126" customFormat="false" ht="15" hidden="false" customHeight="false" outlineLevel="0" collapsed="false">
      <c r="A126" s="10"/>
      <c r="B126" s="10"/>
      <c r="C126" s="10"/>
      <c r="D126" s="14" t="str">
        <f aca="false">IFERROR(IF(C126="","",INDEX(Products!$C$5:$C$504,MATCH(C126,Products!$A$5:$A$504,0))),"")</f>
        <v/>
      </c>
      <c r="E126" s="13" t="n">
        <v>1</v>
      </c>
      <c r="F126" s="11"/>
      <c r="G126" s="15" t="n">
        <v>0</v>
      </c>
      <c r="H126" s="10" t="s">
        <v>114</v>
      </c>
      <c r="I126" s="9" t="n">
        <f aca="false">IFERROR(E126*F126*(1-G126),"")</f>
        <v>0</v>
      </c>
      <c r="J126" s="9" t="n">
        <f aca="false">IFERROR(I126*IFERROR(VLOOKUP(H126,VatRates,2,FALSE()),0),"")</f>
        <v>0</v>
      </c>
      <c r="K126" s="9" t="n">
        <f aca="false">IFERROR(I126+J126,"")</f>
        <v>0</v>
      </c>
    </row>
    <row r="127" customFormat="false" ht="15" hidden="false" customHeight="false" outlineLevel="0" collapsed="false">
      <c r="A127" s="10"/>
      <c r="B127" s="10"/>
      <c r="C127" s="10"/>
      <c r="D127" s="14" t="str">
        <f aca="false">IFERROR(IF(C127="","",INDEX(Products!$C$5:$C$504,MATCH(C127,Products!$A$5:$A$504,0))),"")</f>
        <v/>
      </c>
      <c r="E127" s="13" t="n">
        <v>1</v>
      </c>
      <c r="F127" s="11"/>
      <c r="G127" s="15" t="n">
        <v>0</v>
      </c>
      <c r="H127" s="10" t="s">
        <v>114</v>
      </c>
      <c r="I127" s="9" t="n">
        <f aca="false">IFERROR(E127*F127*(1-G127),"")</f>
        <v>0</v>
      </c>
      <c r="J127" s="9" t="n">
        <f aca="false">IFERROR(I127*IFERROR(VLOOKUP(H127,VatRates,2,FALSE()),0),"")</f>
        <v>0</v>
      </c>
      <c r="K127" s="9" t="n">
        <f aca="false">IFERROR(I127+J127,"")</f>
        <v>0</v>
      </c>
    </row>
    <row r="128" customFormat="false" ht="15" hidden="false" customHeight="false" outlineLevel="0" collapsed="false">
      <c r="A128" s="10"/>
      <c r="B128" s="10"/>
      <c r="C128" s="10"/>
      <c r="D128" s="14" t="str">
        <f aca="false">IFERROR(IF(C128="","",INDEX(Products!$C$5:$C$504,MATCH(C128,Products!$A$5:$A$504,0))),"")</f>
        <v/>
      </c>
      <c r="E128" s="13" t="n">
        <v>1</v>
      </c>
      <c r="F128" s="11"/>
      <c r="G128" s="15" t="n">
        <v>0</v>
      </c>
      <c r="H128" s="10" t="s">
        <v>114</v>
      </c>
      <c r="I128" s="9" t="n">
        <f aca="false">IFERROR(E128*F128*(1-G128),"")</f>
        <v>0</v>
      </c>
      <c r="J128" s="9" t="n">
        <f aca="false">IFERROR(I128*IFERROR(VLOOKUP(H128,VatRates,2,FALSE()),0),"")</f>
        <v>0</v>
      </c>
      <c r="K128" s="9" t="n">
        <f aca="false">IFERROR(I128+J128,"")</f>
        <v>0</v>
      </c>
    </row>
    <row r="129" customFormat="false" ht="15" hidden="false" customHeight="false" outlineLevel="0" collapsed="false">
      <c r="A129" s="10"/>
      <c r="B129" s="10"/>
      <c r="C129" s="10"/>
      <c r="D129" s="14" t="str">
        <f aca="false">IFERROR(IF(C129="","",INDEX(Products!$C$5:$C$504,MATCH(C129,Products!$A$5:$A$504,0))),"")</f>
        <v/>
      </c>
      <c r="E129" s="13" t="n">
        <v>1</v>
      </c>
      <c r="F129" s="11"/>
      <c r="G129" s="15" t="n">
        <v>0</v>
      </c>
      <c r="H129" s="10" t="s">
        <v>114</v>
      </c>
      <c r="I129" s="9" t="n">
        <f aca="false">IFERROR(E129*F129*(1-G129),"")</f>
        <v>0</v>
      </c>
      <c r="J129" s="9" t="n">
        <f aca="false">IFERROR(I129*IFERROR(VLOOKUP(H129,VatRates,2,FALSE()),0),"")</f>
        <v>0</v>
      </c>
      <c r="K129" s="9" t="n">
        <f aca="false">IFERROR(I129+J129,"")</f>
        <v>0</v>
      </c>
    </row>
    <row r="130" customFormat="false" ht="15" hidden="false" customHeight="false" outlineLevel="0" collapsed="false">
      <c r="A130" s="10"/>
      <c r="B130" s="10"/>
      <c r="C130" s="10"/>
      <c r="D130" s="14" t="str">
        <f aca="false">IFERROR(IF(C130="","",INDEX(Products!$C$5:$C$504,MATCH(C130,Products!$A$5:$A$504,0))),"")</f>
        <v/>
      </c>
      <c r="E130" s="13" t="n">
        <v>1</v>
      </c>
      <c r="F130" s="11"/>
      <c r="G130" s="15" t="n">
        <v>0</v>
      </c>
      <c r="H130" s="10" t="s">
        <v>114</v>
      </c>
      <c r="I130" s="9" t="n">
        <f aca="false">IFERROR(E130*F130*(1-G130),"")</f>
        <v>0</v>
      </c>
      <c r="J130" s="9" t="n">
        <f aca="false">IFERROR(I130*IFERROR(VLOOKUP(H130,VatRates,2,FALSE()),0),"")</f>
        <v>0</v>
      </c>
      <c r="K130" s="9" t="n">
        <f aca="false">IFERROR(I130+J130,"")</f>
        <v>0</v>
      </c>
    </row>
    <row r="131" customFormat="false" ht="15" hidden="false" customHeight="false" outlineLevel="0" collapsed="false">
      <c r="A131" s="10"/>
      <c r="B131" s="10"/>
      <c r="C131" s="10"/>
      <c r="D131" s="14" t="str">
        <f aca="false">IFERROR(IF(C131="","",INDEX(Products!$C$5:$C$504,MATCH(C131,Products!$A$5:$A$504,0))),"")</f>
        <v/>
      </c>
      <c r="E131" s="13" t="n">
        <v>1</v>
      </c>
      <c r="F131" s="11"/>
      <c r="G131" s="15" t="n">
        <v>0</v>
      </c>
      <c r="H131" s="10" t="s">
        <v>114</v>
      </c>
      <c r="I131" s="9" t="n">
        <f aca="false">IFERROR(E131*F131*(1-G131),"")</f>
        <v>0</v>
      </c>
      <c r="J131" s="9" t="n">
        <f aca="false">IFERROR(I131*IFERROR(VLOOKUP(H131,VatRates,2,FALSE()),0),"")</f>
        <v>0</v>
      </c>
      <c r="K131" s="9" t="n">
        <f aca="false">IFERROR(I131+J131,"")</f>
        <v>0</v>
      </c>
    </row>
    <row r="132" customFormat="false" ht="15" hidden="false" customHeight="false" outlineLevel="0" collapsed="false">
      <c r="A132" s="10"/>
      <c r="B132" s="10"/>
      <c r="C132" s="10"/>
      <c r="D132" s="14" t="str">
        <f aca="false">IFERROR(IF(C132="","",INDEX(Products!$C$5:$C$504,MATCH(C132,Products!$A$5:$A$504,0))),"")</f>
        <v/>
      </c>
      <c r="E132" s="13" t="n">
        <v>1</v>
      </c>
      <c r="F132" s="11"/>
      <c r="G132" s="15" t="n">
        <v>0</v>
      </c>
      <c r="H132" s="10" t="s">
        <v>114</v>
      </c>
      <c r="I132" s="9" t="n">
        <f aca="false">IFERROR(E132*F132*(1-G132),"")</f>
        <v>0</v>
      </c>
      <c r="J132" s="9" t="n">
        <f aca="false">IFERROR(I132*IFERROR(VLOOKUP(H132,VatRates,2,FALSE()),0),"")</f>
        <v>0</v>
      </c>
      <c r="K132" s="9" t="n">
        <f aca="false">IFERROR(I132+J132,"")</f>
        <v>0</v>
      </c>
    </row>
    <row r="133" customFormat="false" ht="15" hidden="false" customHeight="false" outlineLevel="0" collapsed="false">
      <c r="A133" s="10"/>
      <c r="B133" s="10"/>
      <c r="C133" s="10"/>
      <c r="D133" s="14" t="str">
        <f aca="false">IFERROR(IF(C133="","",INDEX(Products!$C$5:$C$504,MATCH(C133,Products!$A$5:$A$504,0))),"")</f>
        <v/>
      </c>
      <c r="E133" s="13" t="n">
        <v>1</v>
      </c>
      <c r="F133" s="11"/>
      <c r="G133" s="15" t="n">
        <v>0</v>
      </c>
      <c r="H133" s="10" t="s">
        <v>114</v>
      </c>
      <c r="I133" s="9" t="n">
        <f aca="false">IFERROR(E133*F133*(1-G133),"")</f>
        <v>0</v>
      </c>
      <c r="J133" s="9" t="n">
        <f aca="false">IFERROR(I133*IFERROR(VLOOKUP(H133,VatRates,2,FALSE()),0),"")</f>
        <v>0</v>
      </c>
      <c r="K133" s="9" t="n">
        <f aca="false">IFERROR(I133+J133,"")</f>
        <v>0</v>
      </c>
    </row>
    <row r="134" customFormat="false" ht="15" hidden="false" customHeight="false" outlineLevel="0" collapsed="false">
      <c r="A134" s="10"/>
      <c r="B134" s="10"/>
      <c r="C134" s="10"/>
      <c r="D134" s="14" t="str">
        <f aca="false">IFERROR(IF(C134="","",INDEX(Products!$C$5:$C$504,MATCH(C134,Products!$A$5:$A$504,0))),"")</f>
        <v/>
      </c>
      <c r="E134" s="13" t="n">
        <v>1</v>
      </c>
      <c r="F134" s="11"/>
      <c r="G134" s="15" t="n">
        <v>0</v>
      </c>
      <c r="H134" s="10" t="s">
        <v>114</v>
      </c>
      <c r="I134" s="9" t="n">
        <f aca="false">IFERROR(E134*F134*(1-G134),"")</f>
        <v>0</v>
      </c>
      <c r="J134" s="9" t="n">
        <f aca="false">IFERROR(I134*IFERROR(VLOOKUP(H134,VatRates,2,FALSE()),0),"")</f>
        <v>0</v>
      </c>
      <c r="K134" s="9" t="n">
        <f aca="false">IFERROR(I134+J134,"")</f>
        <v>0</v>
      </c>
    </row>
    <row r="135" customFormat="false" ht="15" hidden="false" customHeight="false" outlineLevel="0" collapsed="false">
      <c r="A135" s="10"/>
      <c r="B135" s="10"/>
      <c r="C135" s="10"/>
      <c r="D135" s="14" t="str">
        <f aca="false">IFERROR(IF(C135="","",INDEX(Products!$C$5:$C$504,MATCH(C135,Products!$A$5:$A$504,0))),"")</f>
        <v/>
      </c>
      <c r="E135" s="13" t="n">
        <v>1</v>
      </c>
      <c r="F135" s="11"/>
      <c r="G135" s="15" t="n">
        <v>0</v>
      </c>
      <c r="H135" s="10" t="s">
        <v>114</v>
      </c>
      <c r="I135" s="9" t="n">
        <f aca="false">IFERROR(E135*F135*(1-G135),"")</f>
        <v>0</v>
      </c>
      <c r="J135" s="9" t="n">
        <f aca="false">IFERROR(I135*IFERROR(VLOOKUP(H135,VatRates,2,FALSE()),0),"")</f>
        <v>0</v>
      </c>
      <c r="K135" s="9" t="n">
        <f aca="false">IFERROR(I135+J135,"")</f>
        <v>0</v>
      </c>
    </row>
    <row r="136" customFormat="false" ht="15" hidden="false" customHeight="false" outlineLevel="0" collapsed="false">
      <c r="A136" s="10"/>
      <c r="B136" s="10"/>
      <c r="C136" s="10"/>
      <c r="D136" s="14" t="str">
        <f aca="false">IFERROR(IF(C136="","",INDEX(Products!$C$5:$C$504,MATCH(C136,Products!$A$5:$A$504,0))),"")</f>
        <v/>
      </c>
      <c r="E136" s="13" t="n">
        <v>1</v>
      </c>
      <c r="F136" s="11"/>
      <c r="G136" s="15" t="n">
        <v>0</v>
      </c>
      <c r="H136" s="10" t="s">
        <v>114</v>
      </c>
      <c r="I136" s="9" t="n">
        <f aca="false">IFERROR(E136*F136*(1-G136),"")</f>
        <v>0</v>
      </c>
      <c r="J136" s="9" t="n">
        <f aca="false">IFERROR(I136*IFERROR(VLOOKUP(H136,VatRates,2,FALSE()),0),"")</f>
        <v>0</v>
      </c>
      <c r="K136" s="9" t="n">
        <f aca="false">IFERROR(I136+J136,"")</f>
        <v>0</v>
      </c>
    </row>
    <row r="137" customFormat="false" ht="15" hidden="false" customHeight="false" outlineLevel="0" collapsed="false">
      <c r="A137" s="10"/>
      <c r="B137" s="10"/>
      <c r="C137" s="10"/>
      <c r="D137" s="14" t="str">
        <f aca="false">IFERROR(IF(C137="","",INDEX(Products!$C$5:$C$504,MATCH(C137,Products!$A$5:$A$504,0))),"")</f>
        <v/>
      </c>
      <c r="E137" s="13" t="n">
        <v>1</v>
      </c>
      <c r="F137" s="11"/>
      <c r="G137" s="15" t="n">
        <v>0</v>
      </c>
      <c r="H137" s="10" t="s">
        <v>114</v>
      </c>
      <c r="I137" s="9" t="n">
        <f aca="false">IFERROR(E137*F137*(1-G137),"")</f>
        <v>0</v>
      </c>
      <c r="J137" s="9" t="n">
        <f aca="false">IFERROR(I137*IFERROR(VLOOKUP(H137,VatRates,2,FALSE()),0),"")</f>
        <v>0</v>
      </c>
      <c r="K137" s="9" t="n">
        <f aca="false">IFERROR(I137+J137,"")</f>
        <v>0</v>
      </c>
    </row>
    <row r="138" customFormat="false" ht="15" hidden="false" customHeight="false" outlineLevel="0" collapsed="false">
      <c r="A138" s="10"/>
      <c r="B138" s="10"/>
      <c r="C138" s="10"/>
      <c r="D138" s="14" t="str">
        <f aca="false">IFERROR(IF(C138="","",INDEX(Products!$C$5:$C$504,MATCH(C138,Products!$A$5:$A$504,0))),"")</f>
        <v/>
      </c>
      <c r="E138" s="13" t="n">
        <v>1</v>
      </c>
      <c r="F138" s="11"/>
      <c r="G138" s="15" t="n">
        <v>0</v>
      </c>
      <c r="H138" s="10" t="s">
        <v>114</v>
      </c>
      <c r="I138" s="9" t="n">
        <f aca="false">IFERROR(E138*F138*(1-G138),"")</f>
        <v>0</v>
      </c>
      <c r="J138" s="9" t="n">
        <f aca="false">IFERROR(I138*IFERROR(VLOOKUP(H138,VatRates,2,FALSE()),0),"")</f>
        <v>0</v>
      </c>
      <c r="K138" s="9" t="n">
        <f aca="false">IFERROR(I138+J138,"")</f>
        <v>0</v>
      </c>
    </row>
    <row r="139" customFormat="false" ht="15" hidden="false" customHeight="false" outlineLevel="0" collapsed="false">
      <c r="A139" s="10"/>
      <c r="B139" s="10"/>
      <c r="C139" s="10"/>
      <c r="D139" s="14" t="str">
        <f aca="false">IFERROR(IF(C139="","",INDEX(Products!$C$5:$C$504,MATCH(C139,Products!$A$5:$A$504,0))),"")</f>
        <v/>
      </c>
      <c r="E139" s="13" t="n">
        <v>1</v>
      </c>
      <c r="F139" s="11"/>
      <c r="G139" s="15" t="n">
        <v>0</v>
      </c>
      <c r="H139" s="10" t="s">
        <v>114</v>
      </c>
      <c r="I139" s="9" t="n">
        <f aca="false">IFERROR(E139*F139*(1-G139),"")</f>
        <v>0</v>
      </c>
      <c r="J139" s="9" t="n">
        <f aca="false">IFERROR(I139*IFERROR(VLOOKUP(H139,VatRates,2,FALSE()),0),"")</f>
        <v>0</v>
      </c>
      <c r="K139" s="9" t="n">
        <f aca="false">IFERROR(I139+J139,"")</f>
        <v>0</v>
      </c>
    </row>
    <row r="140" customFormat="false" ht="15" hidden="false" customHeight="false" outlineLevel="0" collapsed="false">
      <c r="A140" s="10"/>
      <c r="B140" s="10"/>
      <c r="C140" s="10"/>
      <c r="D140" s="14" t="str">
        <f aca="false">IFERROR(IF(C140="","",INDEX(Products!$C$5:$C$504,MATCH(C140,Products!$A$5:$A$504,0))),"")</f>
        <v/>
      </c>
      <c r="E140" s="13" t="n">
        <v>1</v>
      </c>
      <c r="F140" s="11"/>
      <c r="G140" s="15" t="n">
        <v>0</v>
      </c>
      <c r="H140" s="10" t="s">
        <v>114</v>
      </c>
      <c r="I140" s="9" t="n">
        <f aca="false">IFERROR(E140*F140*(1-G140),"")</f>
        <v>0</v>
      </c>
      <c r="J140" s="9" t="n">
        <f aca="false">IFERROR(I140*IFERROR(VLOOKUP(H140,VatRates,2,FALSE()),0),"")</f>
        <v>0</v>
      </c>
      <c r="K140" s="9" t="n">
        <f aca="false">IFERROR(I140+J140,"")</f>
        <v>0</v>
      </c>
    </row>
    <row r="141" customFormat="false" ht="15" hidden="false" customHeight="false" outlineLevel="0" collapsed="false">
      <c r="A141" s="10"/>
      <c r="B141" s="10"/>
      <c r="C141" s="10"/>
      <c r="D141" s="14" t="str">
        <f aca="false">IFERROR(IF(C141="","",INDEX(Products!$C$5:$C$504,MATCH(C141,Products!$A$5:$A$504,0))),"")</f>
        <v/>
      </c>
      <c r="E141" s="13" t="n">
        <v>1</v>
      </c>
      <c r="F141" s="11"/>
      <c r="G141" s="15" t="n">
        <v>0</v>
      </c>
      <c r="H141" s="10" t="s">
        <v>114</v>
      </c>
      <c r="I141" s="9" t="n">
        <f aca="false">IFERROR(E141*F141*(1-G141),"")</f>
        <v>0</v>
      </c>
      <c r="J141" s="9" t="n">
        <f aca="false">IFERROR(I141*IFERROR(VLOOKUP(H141,VatRates,2,FALSE()),0),"")</f>
        <v>0</v>
      </c>
      <c r="K141" s="9" t="n">
        <f aca="false">IFERROR(I141+J141,"")</f>
        <v>0</v>
      </c>
    </row>
    <row r="142" customFormat="false" ht="15" hidden="false" customHeight="false" outlineLevel="0" collapsed="false">
      <c r="A142" s="10"/>
      <c r="B142" s="10"/>
      <c r="C142" s="10"/>
      <c r="D142" s="14" t="str">
        <f aca="false">IFERROR(IF(C142="","",INDEX(Products!$C$5:$C$504,MATCH(C142,Products!$A$5:$A$504,0))),"")</f>
        <v/>
      </c>
      <c r="E142" s="13" t="n">
        <v>1</v>
      </c>
      <c r="F142" s="11"/>
      <c r="G142" s="15" t="n">
        <v>0</v>
      </c>
      <c r="H142" s="10" t="s">
        <v>114</v>
      </c>
      <c r="I142" s="9" t="n">
        <f aca="false">IFERROR(E142*F142*(1-G142),"")</f>
        <v>0</v>
      </c>
      <c r="J142" s="9" t="n">
        <f aca="false">IFERROR(I142*IFERROR(VLOOKUP(H142,VatRates,2,FALSE()),0),"")</f>
        <v>0</v>
      </c>
      <c r="K142" s="9" t="n">
        <f aca="false">IFERROR(I142+J142,"")</f>
        <v>0</v>
      </c>
    </row>
    <row r="143" customFormat="false" ht="15" hidden="false" customHeight="false" outlineLevel="0" collapsed="false">
      <c r="A143" s="10"/>
      <c r="B143" s="10"/>
      <c r="C143" s="10"/>
      <c r="D143" s="14" t="str">
        <f aca="false">IFERROR(IF(C143="","",INDEX(Products!$C$5:$C$504,MATCH(C143,Products!$A$5:$A$504,0))),"")</f>
        <v/>
      </c>
      <c r="E143" s="13" t="n">
        <v>1</v>
      </c>
      <c r="F143" s="11"/>
      <c r="G143" s="15" t="n">
        <v>0</v>
      </c>
      <c r="H143" s="10" t="s">
        <v>114</v>
      </c>
      <c r="I143" s="9" t="n">
        <f aca="false">IFERROR(E143*F143*(1-G143),"")</f>
        <v>0</v>
      </c>
      <c r="J143" s="9" t="n">
        <f aca="false">IFERROR(I143*IFERROR(VLOOKUP(H143,VatRates,2,FALSE()),0),"")</f>
        <v>0</v>
      </c>
      <c r="K143" s="9" t="n">
        <f aca="false">IFERROR(I143+J143,"")</f>
        <v>0</v>
      </c>
    </row>
    <row r="144" customFormat="false" ht="15" hidden="false" customHeight="false" outlineLevel="0" collapsed="false">
      <c r="A144" s="10"/>
      <c r="B144" s="10"/>
      <c r="C144" s="10"/>
      <c r="D144" s="14" t="str">
        <f aca="false">IFERROR(IF(C144="","",INDEX(Products!$C$5:$C$504,MATCH(C144,Products!$A$5:$A$504,0))),"")</f>
        <v/>
      </c>
      <c r="E144" s="13" t="n">
        <v>1</v>
      </c>
      <c r="F144" s="11"/>
      <c r="G144" s="15" t="n">
        <v>0</v>
      </c>
      <c r="H144" s="10" t="s">
        <v>114</v>
      </c>
      <c r="I144" s="9" t="n">
        <f aca="false">IFERROR(E144*F144*(1-G144),"")</f>
        <v>0</v>
      </c>
      <c r="J144" s="9" t="n">
        <f aca="false">IFERROR(I144*IFERROR(VLOOKUP(H144,VatRates,2,FALSE()),0),"")</f>
        <v>0</v>
      </c>
      <c r="K144" s="9" t="n">
        <f aca="false">IFERROR(I144+J144,"")</f>
        <v>0</v>
      </c>
    </row>
    <row r="145" customFormat="false" ht="15" hidden="false" customHeight="false" outlineLevel="0" collapsed="false">
      <c r="A145" s="10"/>
      <c r="B145" s="10"/>
      <c r="C145" s="10"/>
      <c r="D145" s="14" t="str">
        <f aca="false">IFERROR(IF(C145="","",INDEX(Products!$C$5:$C$504,MATCH(C145,Products!$A$5:$A$504,0))),"")</f>
        <v/>
      </c>
      <c r="E145" s="13" t="n">
        <v>1</v>
      </c>
      <c r="F145" s="11"/>
      <c r="G145" s="15" t="n">
        <v>0</v>
      </c>
      <c r="H145" s="10" t="s">
        <v>114</v>
      </c>
      <c r="I145" s="9" t="n">
        <f aca="false">IFERROR(E145*F145*(1-G145),"")</f>
        <v>0</v>
      </c>
      <c r="J145" s="9" t="n">
        <f aca="false">IFERROR(I145*IFERROR(VLOOKUP(H145,VatRates,2,FALSE()),0),"")</f>
        <v>0</v>
      </c>
      <c r="K145" s="9" t="n">
        <f aca="false">IFERROR(I145+J145,"")</f>
        <v>0</v>
      </c>
    </row>
    <row r="146" customFormat="false" ht="15" hidden="false" customHeight="false" outlineLevel="0" collapsed="false">
      <c r="A146" s="10"/>
      <c r="B146" s="10"/>
      <c r="C146" s="10"/>
      <c r="D146" s="14" t="str">
        <f aca="false">IFERROR(IF(C146="","",INDEX(Products!$C$5:$C$504,MATCH(C146,Products!$A$5:$A$504,0))),"")</f>
        <v/>
      </c>
      <c r="E146" s="13" t="n">
        <v>1</v>
      </c>
      <c r="F146" s="11"/>
      <c r="G146" s="15" t="n">
        <v>0</v>
      </c>
      <c r="H146" s="10" t="s">
        <v>114</v>
      </c>
      <c r="I146" s="9" t="n">
        <f aca="false">IFERROR(E146*F146*(1-G146),"")</f>
        <v>0</v>
      </c>
      <c r="J146" s="9" t="n">
        <f aca="false">IFERROR(I146*IFERROR(VLOOKUP(H146,VatRates,2,FALSE()),0),"")</f>
        <v>0</v>
      </c>
      <c r="K146" s="9" t="n">
        <f aca="false">IFERROR(I146+J146,"")</f>
        <v>0</v>
      </c>
    </row>
    <row r="147" customFormat="false" ht="15" hidden="false" customHeight="false" outlineLevel="0" collapsed="false">
      <c r="A147" s="10"/>
      <c r="B147" s="10"/>
      <c r="C147" s="10"/>
      <c r="D147" s="14" t="str">
        <f aca="false">IFERROR(IF(C147="","",INDEX(Products!$C$5:$C$504,MATCH(C147,Products!$A$5:$A$504,0))),"")</f>
        <v/>
      </c>
      <c r="E147" s="13" t="n">
        <v>1</v>
      </c>
      <c r="F147" s="11"/>
      <c r="G147" s="15" t="n">
        <v>0</v>
      </c>
      <c r="H147" s="10" t="s">
        <v>114</v>
      </c>
      <c r="I147" s="9" t="n">
        <f aca="false">IFERROR(E147*F147*(1-G147),"")</f>
        <v>0</v>
      </c>
      <c r="J147" s="9" t="n">
        <f aca="false">IFERROR(I147*IFERROR(VLOOKUP(H147,VatRates,2,FALSE()),0),"")</f>
        <v>0</v>
      </c>
      <c r="K147" s="9" t="n">
        <f aca="false">IFERROR(I147+J147,"")</f>
        <v>0</v>
      </c>
    </row>
    <row r="148" customFormat="false" ht="15" hidden="false" customHeight="false" outlineLevel="0" collapsed="false">
      <c r="A148" s="10"/>
      <c r="B148" s="10"/>
      <c r="C148" s="10"/>
      <c r="D148" s="14" t="str">
        <f aca="false">IFERROR(IF(C148="","",INDEX(Products!$C$5:$C$504,MATCH(C148,Products!$A$5:$A$504,0))),"")</f>
        <v/>
      </c>
      <c r="E148" s="13" t="n">
        <v>1</v>
      </c>
      <c r="F148" s="11"/>
      <c r="G148" s="15" t="n">
        <v>0</v>
      </c>
      <c r="H148" s="10" t="s">
        <v>114</v>
      </c>
      <c r="I148" s="9" t="n">
        <f aca="false">IFERROR(E148*F148*(1-G148),"")</f>
        <v>0</v>
      </c>
      <c r="J148" s="9" t="n">
        <f aca="false">IFERROR(I148*IFERROR(VLOOKUP(H148,VatRates,2,FALSE()),0),"")</f>
        <v>0</v>
      </c>
      <c r="K148" s="9" t="n">
        <f aca="false">IFERROR(I148+J148,"")</f>
        <v>0</v>
      </c>
    </row>
    <row r="149" customFormat="false" ht="15" hidden="false" customHeight="false" outlineLevel="0" collapsed="false">
      <c r="A149" s="10"/>
      <c r="B149" s="10"/>
      <c r="C149" s="10"/>
      <c r="D149" s="14" t="str">
        <f aca="false">IFERROR(IF(C149="","",INDEX(Products!$C$5:$C$504,MATCH(C149,Products!$A$5:$A$504,0))),"")</f>
        <v/>
      </c>
      <c r="E149" s="13" t="n">
        <v>1</v>
      </c>
      <c r="F149" s="11"/>
      <c r="G149" s="15" t="n">
        <v>0</v>
      </c>
      <c r="H149" s="10" t="s">
        <v>114</v>
      </c>
      <c r="I149" s="9" t="n">
        <f aca="false">IFERROR(E149*F149*(1-G149),"")</f>
        <v>0</v>
      </c>
      <c r="J149" s="9" t="n">
        <f aca="false">IFERROR(I149*IFERROR(VLOOKUP(H149,VatRates,2,FALSE()),0),"")</f>
        <v>0</v>
      </c>
      <c r="K149" s="9" t="n">
        <f aca="false">IFERROR(I149+J149,"")</f>
        <v>0</v>
      </c>
    </row>
    <row r="150" customFormat="false" ht="15" hidden="false" customHeight="false" outlineLevel="0" collapsed="false">
      <c r="A150" s="10"/>
      <c r="B150" s="10"/>
      <c r="C150" s="10"/>
      <c r="D150" s="14" t="str">
        <f aca="false">IFERROR(IF(C150="","",INDEX(Products!$C$5:$C$504,MATCH(C150,Products!$A$5:$A$504,0))),"")</f>
        <v/>
      </c>
      <c r="E150" s="13" t="n">
        <v>1</v>
      </c>
      <c r="F150" s="11"/>
      <c r="G150" s="15" t="n">
        <v>0</v>
      </c>
      <c r="H150" s="10" t="s">
        <v>114</v>
      </c>
      <c r="I150" s="9" t="n">
        <f aca="false">IFERROR(E150*F150*(1-G150),"")</f>
        <v>0</v>
      </c>
      <c r="J150" s="9" t="n">
        <f aca="false">IFERROR(I150*IFERROR(VLOOKUP(H150,VatRates,2,FALSE()),0),"")</f>
        <v>0</v>
      </c>
      <c r="K150" s="9" t="n">
        <f aca="false">IFERROR(I150+J150,"")</f>
        <v>0</v>
      </c>
    </row>
    <row r="151" customFormat="false" ht="15" hidden="false" customHeight="false" outlineLevel="0" collapsed="false">
      <c r="A151" s="10"/>
      <c r="B151" s="10"/>
      <c r="C151" s="10"/>
      <c r="D151" s="14" t="str">
        <f aca="false">IFERROR(IF(C151="","",INDEX(Products!$C$5:$C$504,MATCH(C151,Products!$A$5:$A$504,0))),"")</f>
        <v/>
      </c>
      <c r="E151" s="13" t="n">
        <v>1</v>
      </c>
      <c r="F151" s="11"/>
      <c r="G151" s="15" t="n">
        <v>0</v>
      </c>
      <c r="H151" s="10" t="s">
        <v>114</v>
      </c>
      <c r="I151" s="9" t="n">
        <f aca="false">IFERROR(E151*F151*(1-G151),"")</f>
        <v>0</v>
      </c>
      <c r="J151" s="9" t="n">
        <f aca="false">IFERROR(I151*IFERROR(VLOOKUP(H151,VatRates,2,FALSE()),0),"")</f>
        <v>0</v>
      </c>
      <c r="K151" s="9" t="n">
        <f aca="false">IFERROR(I151+J151,"")</f>
        <v>0</v>
      </c>
    </row>
    <row r="152" customFormat="false" ht="15" hidden="false" customHeight="false" outlineLevel="0" collapsed="false">
      <c r="A152" s="10"/>
      <c r="B152" s="10"/>
      <c r="C152" s="10"/>
      <c r="D152" s="14" t="str">
        <f aca="false">IFERROR(IF(C152="","",INDEX(Products!$C$5:$C$504,MATCH(C152,Products!$A$5:$A$504,0))),"")</f>
        <v/>
      </c>
      <c r="E152" s="13" t="n">
        <v>1</v>
      </c>
      <c r="F152" s="11"/>
      <c r="G152" s="15" t="n">
        <v>0</v>
      </c>
      <c r="H152" s="10" t="s">
        <v>114</v>
      </c>
      <c r="I152" s="9" t="n">
        <f aca="false">IFERROR(E152*F152*(1-G152),"")</f>
        <v>0</v>
      </c>
      <c r="J152" s="9" t="n">
        <f aca="false">IFERROR(I152*IFERROR(VLOOKUP(H152,VatRates,2,FALSE()),0),"")</f>
        <v>0</v>
      </c>
      <c r="K152" s="9" t="n">
        <f aca="false">IFERROR(I152+J152,"")</f>
        <v>0</v>
      </c>
    </row>
    <row r="153" customFormat="false" ht="15" hidden="false" customHeight="false" outlineLevel="0" collapsed="false">
      <c r="A153" s="10"/>
      <c r="B153" s="10"/>
      <c r="C153" s="10"/>
      <c r="D153" s="14" t="str">
        <f aca="false">IFERROR(IF(C153="","",INDEX(Products!$C$5:$C$504,MATCH(C153,Products!$A$5:$A$504,0))),"")</f>
        <v/>
      </c>
      <c r="E153" s="13" t="n">
        <v>1</v>
      </c>
      <c r="F153" s="11"/>
      <c r="G153" s="15" t="n">
        <v>0</v>
      </c>
      <c r="H153" s="10" t="s">
        <v>114</v>
      </c>
      <c r="I153" s="9" t="n">
        <f aca="false">IFERROR(E153*F153*(1-G153),"")</f>
        <v>0</v>
      </c>
      <c r="J153" s="9" t="n">
        <f aca="false">IFERROR(I153*IFERROR(VLOOKUP(H153,VatRates,2,FALSE()),0),"")</f>
        <v>0</v>
      </c>
      <c r="K153" s="9" t="n">
        <f aca="false">IFERROR(I153+J153,"")</f>
        <v>0</v>
      </c>
    </row>
    <row r="154" customFormat="false" ht="15" hidden="false" customHeight="false" outlineLevel="0" collapsed="false">
      <c r="A154" s="10"/>
      <c r="B154" s="10"/>
      <c r="C154" s="10"/>
      <c r="D154" s="14" t="str">
        <f aca="false">IFERROR(IF(C154="","",INDEX(Products!$C$5:$C$504,MATCH(C154,Products!$A$5:$A$504,0))),"")</f>
        <v/>
      </c>
      <c r="E154" s="13" t="n">
        <v>1</v>
      </c>
      <c r="F154" s="11"/>
      <c r="G154" s="15" t="n">
        <v>0</v>
      </c>
      <c r="H154" s="10" t="s">
        <v>114</v>
      </c>
      <c r="I154" s="9" t="n">
        <f aca="false">IFERROR(E154*F154*(1-G154),"")</f>
        <v>0</v>
      </c>
      <c r="J154" s="9" t="n">
        <f aca="false">IFERROR(I154*IFERROR(VLOOKUP(H154,VatRates,2,FALSE()),0),"")</f>
        <v>0</v>
      </c>
      <c r="K154" s="9" t="n">
        <f aca="false">IFERROR(I154+J154,"")</f>
        <v>0</v>
      </c>
    </row>
    <row r="155" customFormat="false" ht="15" hidden="false" customHeight="false" outlineLevel="0" collapsed="false">
      <c r="A155" s="10"/>
      <c r="B155" s="10"/>
      <c r="C155" s="10"/>
      <c r="D155" s="14" t="str">
        <f aca="false">IFERROR(IF(C155="","",INDEX(Products!$C$5:$C$504,MATCH(C155,Products!$A$5:$A$504,0))),"")</f>
        <v/>
      </c>
      <c r="E155" s="13" t="n">
        <v>1</v>
      </c>
      <c r="F155" s="11"/>
      <c r="G155" s="15" t="n">
        <v>0</v>
      </c>
      <c r="H155" s="10" t="s">
        <v>114</v>
      </c>
      <c r="I155" s="9" t="n">
        <f aca="false">IFERROR(E155*F155*(1-G155),"")</f>
        <v>0</v>
      </c>
      <c r="J155" s="9" t="n">
        <f aca="false">IFERROR(I155*IFERROR(VLOOKUP(H155,VatRates,2,FALSE()),0),"")</f>
        <v>0</v>
      </c>
      <c r="K155" s="9" t="n">
        <f aca="false">IFERROR(I155+J155,"")</f>
        <v>0</v>
      </c>
    </row>
    <row r="156" customFormat="false" ht="15" hidden="false" customHeight="false" outlineLevel="0" collapsed="false">
      <c r="A156" s="10"/>
      <c r="B156" s="10"/>
      <c r="C156" s="10"/>
      <c r="D156" s="14" t="str">
        <f aca="false">IFERROR(IF(C156="","",INDEX(Products!$C$5:$C$504,MATCH(C156,Products!$A$5:$A$504,0))),"")</f>
        <v/>
      </c>
      <c r="E156" s="13" t="n">
        <v>1</v>
      </c>
      <c r="F156" s="11"/>
      <c r="G156" s="15" t="n">
        <v>0</v>
      </c>
      <c r="H156" s="10" t="s">
        <v>114</v>
      </c>
      <c r="I156" s="9" t="n">
        <f aca="false">IFERROR(E156*F156*(1-G156),"")</f>
        <v>0</v>
      </c>
      <c r="J156" s="9" t="n">
        <f aca="false">IFERROR(I156*IFERROR(VLOOKUP(H156,VatRates,2,FALSE()),0),"")</f>
        <v>0</v>
      </c>
      <c r="K156" s="9" t="n">
        <f aca="false">IFERROR(I156+J156,"")</f>
        <v>0</v>
      </c>
    </row>
    <row r="157" customFormat="false" ht="15" hidden="false" customHeight="false" outlineLevel="0" collapsed="false">
      <c r="A157" s="10"/>
      <c r="B157" s="10"/>
      <c r="C157" s="10"/>
      <c r="D157" s="14" t="str">
        <f aca="false">IFERROR(IF(C157="","",INDEX(Products!$C$5:$C$504,MATCH(C157,Products!$A$5:$A$504,0))),"")</f>
        <v/>
      </c>
      <c r="E157" s="13" t="n">
        <v>1</v>
      </c>
      <c r="F157" s="11"/>
      <c r="G157" s="15" t="n">
        <v>0</v>
      </c>
      <c r="H157" s="10" t="s">
        <v>114</v>
      </c>
      <c r="I157" s="9" t="n">
        <f aca="false">IFERROR(E157*F157*(1-G157),"")</f>
        <v>0</v>
      </c>
      <c r="J157" s="9" t="n">
        <f aca="false">IFERROR(I157*IFERROR(VLOOKUP(H157,VatRates,2,FALSE()),0),"")</f>
        <v>0</v>
      </c>
      <c r="K157" s="9" t="n">
        <f aca="false">IFERROR(I157+J157,"")</f>
        <v>0</v>
      </c>
    </row>
    <row r="158" customFormat="false" ht="15" hidden="false" customHeight="false" outlineLevel="0" collapsed="false">
      <c r="A158" s="10"/>
      <c r="B158" s="10"/>
      <c r="C158" s="10"/>
      <c r="D158" s="14" t="str">
        <f aca="false">IFERROR(IF(C158="","",INDEX(Products!$C$5:$C$504,MATCH(C158,Products!$A$5:$A$504,0))),"")</f>
        <v/>
      </c>
      <c r="E158" s="13" t="n">
        <v>1</v>
      </c>
      <c r="F158" s="11"/>
      <c r="G158" s="15" t="n">
        <v>0</v>
      </c>
      <c r="H158" s="10" t="s">
        <v>114</v>
      </c>
      <c r="I158" s="9" t="n">
        <f aca="false">IFERROR(E158*F158*(1-G158),"")</f>
        <v>0</v>
      </c>
      <c r="J158" s="9" t="n">
        <f aca="false">IFERROR(I158*IFERROR(VLOOKUP(H158,VatRates,2,FALSE()),0),"")</f>
        <v>0</v>
      </c>
      <c r="K158" s="9" t="n">
        <f aca="false">IFERROR(I158+J158,"")</f>
        <v>0</v>
      </c>
    </row>
    <row r="159" customFormat="false" ht="15" hidden="false" customHeight="false" outlineLevel="0" collapsed="false">
      <c r="A159" s="10"/>
      <c r="B159" s="10"/>
      <c r="C159" s="10"/>
      <c r="D159" s="14" t="str">
        <f aca="false">IFERROR(IF(C159="","",INDEX(Products!$C$5:$C$504,MATCH(C159,Products!$A$5:$A$504,0))),"")</f>
        <v/>
      </c>
      <c r="E159" s="13" t="n">
        <v>1</v>
      </c>
      <c r="F159" s="11"/>
      <c r="G159" s="15" t="n">
        <v>0</v>
      </c>
      <c r="H159" s="10" t="s">
        <v>114</v>
      </c>
      <c r="I159" s="9" t="n">
        <f aca="false">IFERROR(E159*F159*(1-G159),"")</f>
        <v>0</v>
      </c>
      <c r="J159" s="9" t="n">
        <f aca="false">IFERROR(I159*IFERROR(VLOOKUP(H159,VatRates,2,FALSE()),0),"")</f>
        <v>0</v>
      </c>
      <c r="K159" s="9" t="n">
        <f aca="false">IFERROR(I159+J159,"")</f>
        <v>0</v>
      </c>
    </row>
    <row r="160" customFormat="false" ht="15" hidden="false" customHeight="false" outlineLevel="0" collapsed="false">
      <c r="A160" s="10"/>
      <c r="B160" s="10"/>
      <c r="C160" s="10"/>
      <c r="D160" s="14" t="str">
        <f aca="false">IFERROR(IF(C160="","",INDEX(Products!$C$5:$C$504,MATCH(C160,Products!$A$5:$A$504,0))),"")</f>
        <v/>
      </c>
      <c r="E160" s="13" t="n">
        <v>1</v>
      </c>
      <c r="F160" s="11"/>
      <c r="G160" s="15" t="n">
        <v>0</v>
      </c>
      <c r="H160" s="10" t="s">
        <v>114</v>
      </c>
      <c r="I160" s="9" t="n">
        <f aca="false">IFERROR(E160*F160*(1-G160),"")</f>
        <v>0</v>
      </c>
      <c r="J160" s="9" t="n">
        <f aca="false">IFERROR(I160*IFERROR(VLOOKUP(H160,VatRates,2,FALSE()),0),"")</f>
        <v>0</v>
      </c>
      <c r="K160" s="9" t="n">
        <f aca="false">IFERROR(I160+J160,"")</f>
        <v>0</v>
      </c>
    </row>
    <row r="161" customFormat="false" ht="15" hidden="false" customHeight="false" outlineLevel="0" collapsed="false">
      <c r="A161" s="10"/>
      <c r="B161" s="10"/>
      <c r="C161" s="10"/>
      <c r="D161" s="14" t="str">
        <f aca="false">IFERROR(IF(C161="","",INDEX(Products!$C$5:$C$504,MATCH(C161,Products!$A$5:$A$504,0))),"")</f>
        <v/>
      </c>
      <c r="E161" s="13" t="n">
        <v>1</v>
      </c>
      <c r="F161" s="11"/>
      <c r="G161" s="15" t="n">
        <v>0</v>
      </c>
      <c r="H161" s="10" t="s">
        <v>114</v>
      </c>
      <c r="I161" s="9" t="n">
        <f aca="false">IFERROR(E161*F161*(1-G161),"")</f>
        <v>0</v>
      </c>
      <c r="J161" s="9" t="n">
        <f aca="false">IFERROR(I161*IFERROR(VLOOKUP(H161,VatRates,2,FALSE()),0),"")</f>
        <v>0</v>
      </c>
      <c r="K161" s="9" t="n">
        <f aca="false">IFERROR(I161+J161,"")</f>
        <v>0</v>
      </c>
    </row>
    <row r="162" customFormat="false" ht="15" hidden="false" customHeight="false" outlineLevel="0" collapsed="false">
      <c r="A162" s="10"/>
      <c r="B162" s="10"/>
      <c r="C162" s="10"/>
      <c r="D162" s="14" t="str">
        <f aca="false">IFERROR(IF(C162="","",INDEX(Products!$C$5:$C$504,MATCH(C162,Products!$A$5:$A$504,0))),"")</f>
        <v/>
      </c>
      <c r="E162" s="13" t="n">
        <v>1</v>
      </c>
      <c r="F162" s="11"/>
      <c r="G162" s="15" t="n">
        <v>0</v>
      </c>
      <c r="H162" s="10" t="s">
        <v>114</v>
      </c>
      <c r="I162" s="9" t="n">
        <f aca="false">IFERROR(E162*F162*(1-G162),"")</f>
        <v>0</v>
      </c>
      <c r="J162" s="9" t="n">
        <f aca="false">IFERROR(I162*IFERROR(VLOOKUP(H162,VatRates,2,FALSE()),0),"")</f>
        <v>0</v>
      </c>
      <c r="K162" s="9" t="n">
        <f aca="false">IFERROR(I162+J162,"")</f>
        <v>0</v>
      </c>
    </row>
    <row r="163" customFormat="false" ht="15" hidden="false" customHeight="false" outlineLevel="0" collapsed="false">
      <c r="A163" s="10"/>
      <c r="B163" s="10"/>
      <c r="C163" s="10"/>
      <c r="D163" s="14" t="str">
        <f aca="false">IFERROR(IF(C163="","",INDEX(Products!$C$5:$C$504,MATCH(C163,Products!$A$5:$A$504,0))),"")</f>
        <v/>
      </c>
      <c r="E163" s="13" t="n">
        <v>1</v>
      </c>
      <c r="F163" s="11"/>
      <c r="G163" s="15" t="n">
        <v>0</v>
      </c>
      <c r="H163" s="10" t="s">
        <v>114</v>
      </c>
      <c r="I163" s="9" t="n">
        <f aca="false">IFERROR(E163*F163*(1-G163),"")</f>
        <v>0</v>
      </c>
      <c r="J163" s="9" t="n">
        <f aca="false">IFERROR(I163*IFERROR(VLOOKUP(H163,VatRates,2,FALSE()),0),"")</f>
        <v>0</v>
      </c>
      <c r="K163" s="9" t="n">
        <f aca="false">IFERROR(I163+J163,"")</f>
        <v>0</v>
      </c>
    </row>
    <row r="164" customFormat="false" ht="15" hidden="false" customHeight="false" outlineLevel="0" collapsed="false">
      <c r="A164" s="10"/>
      <c r="B164" s="10"/>
      <c r="C164" s="10"/>
      <c r="D164" s="14" t="str">
        <f aca="false">IFERROR(IF(C164="","",INDEX(Products!$C$5:$C$504,MATCH(C164,Products!$A$5:$A$504,0))),"")</f>
        <v/>
      </c>
      <c r="E164" s="13" t="n">
        <v>1</v>
      </c>
      <c r="F164" s="11"/>
      <c r="G164" s="15" t="n">
        <v>0</v>
      </c>
      <c r="H164" s="10" t="s">
        <v>114</v>
      </c>
      <c r="I164" s="9" t="n">
        <f aca="false">IFERROR(E164*F164*(1-G164),"")</f>
        <v>0</v>
      </c>
      <c r="J164" s="9" t="n">
        <f aca="false">IFERROR(I164*IFERROR(VLOOKUP(H164,VatRates,2,FALSE()),0),"")</f>
        <v>0</v>
      </c>
      <c r="K164" s="9" t="n">
        <f aca="false">IFERROR(I164+J164,"")</f>
        <v>0</v>
      </c>
    </row>
    <row r="165" customFormat="false" ht="15" hidden="false" customHeight="false" outlineLevel="0" collapsed="false">
      <c r="A165" s="10"/>
      <c r="B165" s="10"/>
      <c r="C165" s="10"/>
      <c r="D165" s="14" t="str">
        <f aca="false">IFERROR(IF(C165="","",INDEX(Products!$C$5:$C$504,MATCH(C165,Products!$A$5:$A$504,0))),"")</f>
        <v/>
      </c>
      <c r="E165" s="13" t="n">
        <v>1</v>
      </c>
      <c r="F165" s="11"/>
      <c r="G165" s="15" t="n">
        <v>0</v>
      </c>
      <c r="H165" s="10" t="s">
        <v>114</v>
      </c>
      <c r="I165" s="9" t="n">
        <f aca="false">IFERROR(E165*F165*(1-G165),"")</f>
        <v>0</v>
      </c>
      <c r="J165" s="9" t="n">
        <f aca="false">IFERROR(I165*IFERROR(VLOOKUP(H165,VatRates,2,FALSE()),0),"")</f>
        <v>0</v>
      </c>
      <c r="K165" s="9" t="n">
        <f aca="false">IFERROR(I165+J165,"")</f>
        <v>0</v>
      </c>
    </row>
    <row r="166" customFormat="false" ht="15" hidden="false" customHeight="false" outlineLevel="0" collapsed="false">
      <c r="A166" s="10"/>
      <c r="B166" s="10"/>
      <c r="C166" s="10"/>
      <c r="D166" s="14" t="str">
        <f aca="false">IFERROR(IF(C166="","",INDEX(Products!$C$5:$C$504,MATCH(C166,Products!$A$5:$A$504,0))),"")</f>
        <v/>
      </c>
      <c r="E166" s="13" t="n">
        <v>1</v>
      </c>
      <c r="F166" s="11"/>
      <c r="G166" s="15" t="n">
        <v>0</v>
      </c>
      <c r="H166" s="10" t="s">
        <v>114</v>
      </c>
      <c r="I166" s="9" t="n">
        <f aca="false">IFERROR(E166*F166*(1-G166),"")</f>
        <v>0</v>
      </c>
      <c r="J166" s="9" t="n">
        <f aca="false">IFERROR(I166*IFERROR(VLOOKUP(H166,VatRates,2,FALSE()),0),"")</f>
        <v>0</v>
      </c>
      <c r="K166" s="9" t="n">
        <f aca="false">IFERROR(I166+J166,"")</f>
        <v>0</v>
      </c>
    </row>
    <row r="167" customFormat="false" ht="15" hidden="false" customHeight="false" outlineLevel="0" collapsed="false">
      <c r="A167" s="10"/>
      <c r="B167" s="10"/>
      <c r="C167" s="10"/>
      <c r="D167" s="14" t="str">
        <f aca="false">IFERROR(IF(C167="","",INDEX(Products!$C$5:$C$504,MATCH(C167,Products!$A$5:$A$504,0))),"")</f>
        <v/>
      </c>
      <c r="E167" s="13" t="n">
        <v>1</v>
      </c>
      <c r="F167" s="11"/>
      <c r="G167" s="15" t="n">
        <v>0</v>
      </c>
      <c r="H167" s="10" t="s">
        <v>114</v>
      </c>
      <c r="I167" s="9" t="n">
        <f aca="false">IFERROR(E167*F167*(1-G167),"")</f>
        <v>0</v>
      </c>
      <c r="J167" s="9" t="n">
        <f aca="false">IFERROR(I167*IFERROR(VLOOKUP(H167,VatRates,2,FALSE()),0),"")</f>
        <v>0</v>
      </c>
      <c r="K167" s="9" t="n">
        <f aca="false">IFERROR(I167+J167,"")</f>
        <v>0</v>
      </c>
    </row>
    <row r="168" customFormat="false" ht="15" hidden="false" customHeight="false" outlineLevel="0" collapsed="false">
      <c r="A168" s="10"/>
      <c r="B168" s="10"/>
      <c r="C168" s="10"/>
      <c r="D168" s="14" t="str">
        <f aca="false">IFERROR(IF(C168="","",INDEX(Products!$C$5:$C$504,MATCH(C168,Products!$A$5:$A$504,0))),"")</f>
        <v/>
      </c>
      <c r="E168" s="13" t="n">
        <v>1</v>
      </c>
      <c r="F168" s="11"/>
      <c r="G168" s="15" t="n">
        <v>0</v>
      </c>
      <c r="H168" s="10" t="s">
        <v>114</v>
      </c>
      <c r="I168" s="9" t="n">
        <f aca="false">IFERROR(E168*F168*(1-G168),"")</f>
        <v>0</v>
      </c>
      <c r="J168" s="9" t="n">
        <f aca="false">IFERROR(I168*IFERROR(VLOOKUP(H168,VatRates,2,FALSE()),0),"")</f>
        <v>0</v>
      </c>
      <c r="K168" s="9" t="n">
        <f aca="false">IFERROR(I168+J168,"")</f>
        <v>0</v>
      </c>
    </row>
    <row r="169" customFormat="false" ht="15" hidden="false" customHeight="false" outlineLevel="0" collapsed="false">
      <c r="A169" s="10"/>
      <c r="B169" s="10"/>
      <c r="C169" s="10"/>
      <c r="D169" s="14" t="str">
        <f aca="false">IFERROR(IF(C169="","",INDEX(Products!$C$5:$C$504,MATCH(C169,Products!$A$5:$A$504,0))),"")</f>
        <v/>
      </c>
      <c r="E169" s="13" t="n">
        <v>1</v>
      </c>
      <c r="F169" s="11"/>
      <c r="G169" s="15" t="n">
        <v>0</v>
      </c>
      <c r="H169" s="10" t="s">
        <v>114</v>
      </c>
      <c r="I169" s="9" t="n">
        <f aca="false">IFERROR(E169*F169*(1-G169),"")</f>
        <v>0</v>
      </c>
      <c r="J169" s="9" t="n">
        <f aca="false">IFERROR(I169*IFERROR(VLOOKUP(H169,VatRates,2,FALSE()),0),"")</f>
        <v>0</v>
      </c>
      <c r="K169" s="9" t="n">
        <f aca="false">IFERROR(I169+J169,"")</f>
        <v>0</v>
      </c>
    </row>
    <row r="170" customFormat="false" ht="15" hidden="false" customHeight="false" outlineLevel="0" collapsed="false">
      <c r="A170" s="10"/>
      <c r="B170" s="10"/>
      <c r="C170" s="10"/>
      <c r="D170" s="14" t="str">
        <f aca="false">IFERROR(IF(C170="","",INDEX(Products!$C$5:$C$504,MATCH(C170,Products!$A$5:$A$504,0))),"")</f>
        <v/>
      </c>
      <c r="E170" s="13" t="n">
        <v>1</v>
      </c>
      <c r="F170" s="11"/>
      <c r="G170" s="15" t="n">
        <v>0</v>
      </c>
      <c r="H170" s="10" t="s">
        <v>114</v>
      </c>
      <c r="I170" s="9" t="n">
        <f aca="false">IFERROR(E170*F170*(1-G170),"")</f>
        <v>0</v>
      </c>
      <c r="J170" s="9" t="n">
        <f aca="false">IFERROR(I170*IFERROR(VLOOKUP(H170,VatRates,2,FALSE()),0),"")</f>
        <v>0</v>
      </c>
      <c r="K170" s="9" t="n">
        <f aca="false">IFERROR(I170+J170,"")</f>
        <v>0</v>
      </c>
    </row>
    <row r="171" customFormat="false" ht="15" hidden="false" customHeight="false" outlineLevel="0" collapsed="false">
      <c r="A171" s="10"/>
      <c r="B171" s="10"/>
      <c r="C171" s="10"/>
      <c r="D171" s="14" t="str">
        <f aca="false">IFERROR(IF(C171="","",INDEX(Products!$C$5:$C$504,MATCH(C171,Products!$A$5:$A$504,0))),"")</f>
        <v/>
      </c>
      <c r="E171" s="13" t="n">
        <v>1</v>
      </c>
      <c r="F171" s="11"/>
      <c r="G171" s="15" t="n">
        <v>0</v>
      </c>
      <c r="H171" s="10" t="s">
        <v>114</v>
      </c>
      <c r="I171" s="9" t="n">
        <f aca="false">IFERROR(E171*F171*(1-G171),"")</f>
        <v>0</v>
      </c>
      <c r="J171" s="9" t="n">
        <f aca="false">IFERROR(I171*IFERROR(VLOOKUP(H171,VatRates,2,FALSE()),0),"")</f>
        <v>0</v>
      </c>
      <c r="K171" s="9" t="n">
        <f aca="false">IFERROR(I171+J171,"")</f>
        <v>0</v>
      </c>
    </row>
    <row r="172" customFormat="false" ht="15" hidden="false" customHeight="false" outlineLevel="0" collapsed="false">
      <c r="A172" s="10"/>
      <c r="B172" s="10"/>
      <c r="C172" s="10"/>
      <c r="D172" s="14" t="str">
        <f aca="false">IFERROR(IF(C172="","",INDEX(Products!$C$5:$C$504,MATCH(C172,Products!$A$5:$A$504,0))),"")</f>
        <v/>
      </c>
      <c r="E172" s="13" t="n">
        <v>1</v>
      </c>
      <c r="F172" s="11"/>
      <c r="G172" s="15" t="n">
        <v>0</v>
      </c>
      <c r="H172" s="10" t="s">
        <v>114</v>
      </c>
      <c r="I172" s="9" t="n">
        <f aca="false">IFERROR(E172*F172*(1-G172),"")</f>
        <v>0</v>
      </c>
      <c r="J172" s="9" t="n">
        <f aca="false">IFERROR(I172*IFERROR(VLOOKUP(H172,VatRates,2,FALSE()),0),"")</f>
        <v>0</v>
      </c>
      <c r="K172" s="9" t="n">
        <f aca="false">IFERROR(I172+J172,"")</f>
        <v>0</v>
      </c>
    </row>
    <row r="173" customFormat="false" ht="15" hidden="false" customHeight="false" outlineLevel="0" collapsed="false">
      <c r="A173" s="10"/>
      <c r="B173" s="10"/>
      <c r="C173" s="10"/>
      <c r="D173" s="14" t="str">
        <f aca="false">IFERROR(IF(C173="","",INDEX(Products!$C$5:$C$504,MATCH(C173,Products!$A$5:$A$504,0))),"")</f>
        <v/>
      </c>
      <c r="E173" s="13" t="n">
        <v>1</v>
      </c>
      <c r="F173" s="11"/>
      <c r="G173" s="15" t="n">
        <v>0</v>
      </c>
      <c r="H173" s="10" t="s">
        <v>114</v>
      </c>
      <c r="I173" s="9" t="n">
        <f aca="false">IFERROR(E173*F173*(1-G173),"")</f>
        <v>0</v>
      </c>
      <c r="J173" s="9" t="n">
        <f aca="false">IFERROR(I173*IFERROR(VLOOKUP(H173,VatRates,2,FALSE()),0),"")</f>
        <v>0</v>
      </c>
      <c r="K173" s="9" t="n">
        <f aca="false">IFERROR(I173+J173,"")</f>
        <v>0</v>
      </c>
    </row>
    <row r="174" customFormat="false" ht="15" hidden="false" customHeight="false" outlineLevel="0" collapsed="false">
      <c r="A174" s="10"/>
      <c r="B174" s="10"/>
      <c r="C174" s="10"/>
      <c r="D174" s="14" t="str">
        <f aca="false">IFERROR(IF(C174="","",INDEX(Products!$C$5:$C$504,MATCH(C174,Products!$A$5:$A$504,0))),"")</f>
        <v/>
      </c>
      <c r="E174" s="13" t="n">
        <v>1</v>
      </c>
      <c r="F174" s="11"/>
      <c r="G174" s="15" t="n">
        <v>0</v>
      </c>
      <c r="H174" s="10" t="s">
        <v>114</v>
      </c>
      <c r="I174" s="9" t="n">
        <f aca="false">IFERROR(E174*F174*(1-G174),"")</f>
        <v>0</v>
      </c>
      <c r="J174" s="9" t="n">
        <f aca="false">IFERROR(I174*IFERROR(VLOOKUP(H174,VatRates,2,FALSE()),0),"")</f>
        <v>0</v>
      </c>
      <c r="K174" s="9" t="n">
        <f aca="false">IFERROR(I174+J174,"")</f>
        <v>0</v>
      </c>
    </row>
    <row r="175" customFormat="false" ht="15" hidden="false" customHeight="false" outlineLevel="0" collapsed="false">
      <c r="A175" s="10"/>
      <c r="B175" s="10"/>
      <c r="C175" s="10"/>
      <c r="D175" s="14" t="str">
        <f aca="false">IFERROR(IF(C175="","",INDEX(Products!$C$5:$C$504,MATCH(C175,Products!$A$5:$A$504,0))),"")</f>
        <v/>
      </c>
      <c r="E175" s="13" t="n">
        <v>1</v>
      </c>
      <c r="F175" s="11"/>
      <c r="G175" s="15" t="n">
        <v>0</v>
      </c>
      <c r="H175" s="10" t="s">
        <v>114</v>
      </c>
      <c r="I175" s="9" t="n">
        <f aca="false">IFERROR(E175*F175*(1-G175),"")</f>
        <v>0</v>
      </c>
      <c r="J175" s="9" t="n">
        <f aca="false">IFERROR(I175*IFERROR(VLOOKUP(H175,VatRates,2,FALSE()),0),"")</f>
        <v>0</v>
      </c>
      <c r="K175" s="9" t="n">
        <f aca="false">IFERROR(I175+J175,"")</f>
        <v>0</v>
      </c>
    </row>
    <row r="176" customFormat="false" ht="15" hidden="false" customHeight="false" outlineLevel="0" collapsed="false">
      <c r="A176" s="10"/>
      <c r="B176" s="10"/>
      <c r="C176" s="10"/>
      <c r="D176" s="14" t="str">
        <f aca="false">IFERROR(IF(C176="","",INDEX(Products!$C$5:$C$504,MATCH(C176,Products!$A$5:$A$504,0))),"")</f>
        <v/>
      </c>
      <c r="E176" s="13" t="n">
        <v>1</v>
      </c>
      <c r="F176" s="11"/>
      <c r="G176" s="15" t="n">
        <v>0</v>
      </c>
      <c r="H176" s="10" t="s">
        <v>114</v>
      </c>
      <c r="I176" s="9" t="n">
        <f aca="false">IFERROR(E176*F176*(1-G176),"")</f>
        <v>0</v>
      </c>
      <c r="J176" s="9" t="n">
        <f aca="false">IFERROR(I176*IFERROR(VLOOKUP(H176,VatRates,2,FALSE()),0),"")</f>
        <v>0</v>
      </c>
      <c r="K176" s="9" t="n">
        <f aca="false">IFERROR(I176+J176,"")</f>
        <v>0</v>
      </c>
    </row>
    <row r="177" customFormat="false" ht="15" hidden="false" customHeight="false" outlineLevel="0" collapsed="false">
      <c r="A177" s="10"/>
      <c r="B177" s="10"/>
      <c r="C177" s="10"/>
      <c r="D177" s="14" t="str">
        <f aca="false">IFERROR(IF(C177="","",INDEX(Products!$C$5:$C$504,MATCH(C177,Products!$A$5:$A$504,0))),"")</f>
        <v/>
      </c>
      <c r="E177" s="13" t="n">
        <v>1</v>
      </c>
      <c r="F177" s="11"/>
      <c r="G177" s="15" t="n">
        <v>0</v>
      </c>
      <c r="H177" s="10" t="s">
        <v>114</v>
      </c>
      <c r="I177" s="9" t="n">
        <f aca="false">IFERROR(E177*F177*(1-G177),"")</f>
        <v>0</v>
      </c>
      <c r="J177" s="9" t="n">
        <f aca="false">IFERROR(I177*IFERROR(VLOOKUP(H177,VatRates,2,FALSE()),0),"")</f>
        <v>0</v>
      </c>
      <c r="K177" s="9" t="n">
        <f aca="false">IFERROR(I177+J177,"")</f>
        <v>0</v>
      </c>
    </row>
    <row r="178" customFormat="false" ht="15" hidden="false" customHeight="false" outlineLevel="0" collapsed="false">
      <c r="A178" s="10"/>
      <c r="B178" s="10"/>
      <c r="C178" s="10"/>
      <c r="D178" s="14" t="str">
        <f aca="false">IFERROR(IF(C178="","",INDEX(Products!$C$5:$C$504,MATCH(C178,Products!$A$5:$A$504,0))),"")</f>
        <v/>
      </c>
      <c r="E178" s="13" t="n">
        <v>1</v>
      </c>
      <c r="F178" s="11"/>
      <c r="G178" s="15" t="n">
        <v>0</v>
      </c>
      <c r="H178" s="10" t="s">
        <v>114</v>
      </c>
      <c r="I178" s="9" t="n">
        <f aca="false">IFERROR(E178*F178*(1-G178),"")</f>
        <v>0</v>
      </c>
      <c r="J178" s="9" t="n">
        <f aca="false">IFERROR(I178*IFERROR(VLOOKUP(H178,VatRates,2,FALSE()),0),"")</f>
        <v>0</v>
      </c>
      <c r="K178" s="9" t="n">
        <f aca="false">IFERROR(I178+J178,"")</f>
        <v>0</v>
      </c>
    </row>
    <row r="179" customFormat="false" ht="15" hidden="false" customHeight="false" outlineLevel="0" collapsed="false">
      <c r="A179" s="10"/>
      <c r="B179" s="10"/>
      <c r="C179" s="10"/>
      <c r="D179" s="14" t="str">
        <f aca="false">IFERROR(IF(C179="","",INDEX(Products!$C$5:$C$504,MATCH(C179,Products!$A$5:$A$504,0))),"")</f>
        <v/>
      </c>
      <c r="E179" s="13" t="n">
        <v>1</v>
      </c>
      <c r="F179" s="11"/>
      <c r="G179" s="15" t="n">
        <v>0</v>
      </c>
      <c r="H179" s="10" t="s">
        <v>114</v>
      </c>
      <c r="I179" s="9" t="n">
        <f aca="false">IFERROR(E179*F179*(1-G179),"")</f>
        <v>0</v>
      </c>
      <c r="J179" s="9" t="n">
        <f aca="false">IFERROR(I179*IFERROR(VLOOKUP(H179,VatRates,2,FALSE()),0),"")</f>
        <v>0</v>
      </c>
      <c r="K179" s="9" t="n">
        <f aca="false">IFERROR(I179+J179,"")</f>
        <v>0</v>
      </c>
    </row>
    <row r="180" customFormat="false" ht="15" hidden="false" customHeight="false" outlineLevel="0" collapsed="false">
      <c r="A180" s="10"/>
      <c r="B180" s="10"/>
      <c r="C180" s="10"/>
      <c r="D180" s="14" t="str">
        <f aca="false">IFERROR(IF(C180="","",INDEX(Products!$C$5:$C$504,MATCH(C180,Products!$A$5:$A$504,0))),"")</f>
        <v/>
      </c>
      <c r="E180" s="13" t="n">
        <v>1</v>
      </c>
      <c r="F180" s="11"/>
      <c r="G180" s="15" t="n">
        <v>0</v>
      </c>
      <c r="H180" s="10" t="s">
        <v>114</v>
      </c>
      <c r="I180" s="9" t="n">
        <f aca="false">IFERROR(E180*F180*(1-G180),"")</f>
        <v>0</v>
      </c>
      <c r="J180" s="9" t="n">
        <f aca="false">IFERROR(I180*IFERROR(VLOOKUP(H180,VatRates,2,FALSE()),0),"")</f>
        <v>0</v>
      </c>
      <c r="K180" s="9" t="n">
        <f aca="false">IFERROR(I180+J180,"")</f>
        <v>0</v>
      </c>
    </row>
    <row r="181" customFormat="false" ht="15" hidden="false" customHeight="false" outlineLevel="0" collapsed="false">
      <c r="A181" s="10"/>
      <c r="B181" s="10"/>
      <c r="C181" s="10"/>
      <c r="D181" s="14" t="str">
        <f aca="false">IFERROR(IF(C181="","",INDEX(Products!$C$5:$C$504,MATCH(C181,Products!$A$5:$A$504,0))),"")</f>
        <v/>
      </c>
      <c r="E181" s="13" t="n">
        <v>1</v>
      </c>
      <c r="F181" s="11"/>
      <c r="G181" s="15" t="n">
        <v>0</v>
      </c>
      <c r="H181" s="10" t="s">
        <v>114</v>
      </c>
      <c r="I181" s="9" t="n">
        <f aca="false">IFERROR(E181*F181*(1-G181),"")</f>
        <v>0</v>
      </c>
      <c r="J181" s="9" t="n">
        <f aca="false">IFERROR(I181*IFERROR(VLOOKUP(H181,VatRates,2,FALSE()),0),"")</f>
        <v>0</v>
      </c>
      <c r="K181" s="9" t="n">
        <f aca="false">IFERROR(I181+J181,"")</f>
        <v>0</v>
      </c>
    </row>
    <row r="182" customFormat="false" ht="15" hidden="false" customHeight="false" outlineLevel="0" collapsed="false">
      <c r="A182" s="10"/>
      <c r="B182" s="10"/>
      <c r="C182" s="10"/>
      <c r="D182" s="14" t="str">
        <f aca="false">IFERROR(IF(C182="","",INDEX(Products!$C$5:$C$504,MATCH(C182,Products!$A$5:$A$504,0))),"")</f>
        <v/>
      </c>
      <c r="E182" s="13" t="n">
        <v>1</v>
      </c>
      <c r="F182" s="11"/>
      <c r="G182" s="15" t="n">
        <v>0</v>
      </c>
      <c r="H182" s="10" t="s">
        <v>114</v>
      </c>
      <c r="I182" s="9" t="n">
        <f aca="false">IFERROR(E182*F182*(1-G182),"")</f>
        <v>0</v>
      </c>
      <c r="J182" s="9" t="n">
        <f aca="false">IFERROR(I182*IFERROR(VLOOKUP(H182,VatRates,2,FALSE()),0),"")</f>
        <v>0</v>
      </c>
      <c r="K182" s="9" t="n">
        <f aca="false">IFERROR(I182+J182,"")</f>
        <v>0</v>
      </c>
    </row>
    <row r="183" customFormat="false" ht="15" hidden="false" customHeight="false" outlineLevel="0" collapsed="false">
      <c r="A183" s="10"/>
      <c r="B183" s="10"/>
      <c r="C183" s="10"/>
      <c r="D183" s="14" t="str">
        <f aca="false">IFERROR(IF(C183="","",INDEX(Products!$C$5:$C$504,MATCH(C183,Products!$A$5:$A$504,0))),"")</f>
        <v/>
      </c>
      <c r="E183" s="13" t="n">
        <v>1</v>
      </c>
      <c r="F183" s="11"/>
      <c r="G183" s="15" t="n">
        <v>0</v>
      </c>
      <c r="H183" s="10" t="s">
        <v>114</v>
      </c>
      <c r="I183" s="9" t="n">
        <f aca="false">IFERROR(E183*F183*(1-G183),"")</f>
        <v>0</v>
      </c>
      <c r="J183" s="9" t="n">
        <f aca="false">IFERROR(I183*IFERROR(VLOOKUP(H183,VatRates,2,FALSE()),0),"")</f>
        <v>0</v>
      </c>
      <c r="K183" s="9" t="n">
        <f aca="false">IFERROR(I183+J183,"")</f>
        <v>0</v>
      </c>
    </row>
    <row r="184" customFormat="false" ht="15" hidden="false" customHeight="false" outlineLevel="0" collapsed="false">
      <c r="A184" s="10"/>
      <c r="B184" s="10"/>
      <c r="C184" s="10"/>
      <c r="D184" s="14" t="str">
        <f aca="false">IFERROR(IF(C184="","",INDEX(Products!$C$5:$C$504,MATCH(C184,Products!$A$5:$A$504,0))),"")</f>
        <v/>
      </c>
      <c r="E184" s="13" t="n">
        <v>1</v>
      </c>
      <c r="F184" s="11"/>
      <c r="G184" s="15" t="n">
        <v>0</v>
      </c>
      <c r="H184" s="10" t="s">
        <v>114</v>
      </c>
      <c r="I184" s="9" t="n">
        <f aca="false">IFERROR(E184*F184*(1-G184),"")</f>
        <v>0</v>
      </c>
      <c r="J184" s="9" t="n">
        <f aca="false">IFERROR(I184*IFERROR(VLOOKUP(H184,VatRates,2,FALSE()),0),"")</f>
        <v>0</v>
      </c>
      <c r="K184" s="9" t="n">
        <f aca="false">IFERROR(I184+J184,"")</f>
        <v>0</v>
      </c>
    </row>
    <row r="185" customFormat="false" ht="15" hidden="false" customHeight="false" outlineLevel="0" collapsed="false">
      <c r="A185" s="10"/>
      <c r="B185" s="10"/>
      <c r="C185" s="10"/>
      <c r="D185" s="14" t="str">
        <f aca="false">IFERROR(IF(C185="","",INDEX(Products!$C$5:$C$504,MATCH(C185,Products!$A$5:$A$504,0))),"")</f>
        <v/>
      </c>
      <c r="E185" s="13" t="n">
        <v>1</v>
      </c>
      <c r="F185" s="11"/>
      <c r="G185" s="15" t="n">
        <v>0</v>
      </c>
      <c r="H185" s="10" t="s">
        <v>114</v>
      </c>
      <c r="I185" s="9" t="n">
        <f aca="false">IFERROR(E185*F185*(1-G185),"")</f>
        <v>0</v>
      </c>
      <c r="J185" s="9" t="n">
        <f aca="false">IFERROR(I185*IFERROR(VLOOKUP(H185,VatRates,2,FALSE()),0),"")</f>
        <v>0</v>
      </c>
      <c r="K185" s="9" t="n">
        <f aca="false">IFERROR(I185+J185,"")</f>
        <v>0</v>
      </c>
    </row>
    <row r="186" customFormat="false" ht="15" hidden="false" customHeight="false" outlineLevel="0" collapsed="false">
      <c r="A186" s="10"/>
      <c r="B186" s="10"/>
      <c r="C186" s="10"/>
      <c r="D186" s="14" t="str">
        <f aca="false">IFERROR(IF(C186="","",INDEX(Products!$C$5:$C$504,MATCH(C186,Products!$A$5:$A$504,0))),"")</f>
        <v/>
      </c>
      <c r="E186" s="13" t="n">
        <v>1</v>
      </c>
      <c r="F186" s="11"/>
      <c r="G186" s="15" t="n">
        <v>0</v>
      </c>
      <c r="H186" s="10" t="s">
        <v>114</v>
      </c>
      <c r="I186" s="9" t="n">
        <f aca="false">IFERROR(E186*F186*(1-G186),"")</f>
        <v>0</v>
      </c>
      <c r="J186" s="9" t="n">
        <f aca="false">IFERROR(I186*IFERROR(VLOOKUP(H186,VatRates,2,FALSE()),0),"")</f>
        <v>0</v>
      </c>
      <c r="K186" s="9" t="n">
        <f aca="false">IFERROR(I186+J186,"")</f>
        <v>0</v>
      </c>
    </row>
    <row r="187" customFormat="false" ht="15" hidden="false" customHeight="false" outlineLevel="0" collapsed="false">
      <c r="A187" s="10"/>
      <c r="B187" s="10"/>
      <c r="C187" s="10"/>
      <c r="D187" s="14" t="str">
        <f aca="false">IFERROR(IF(C187="","",INDEX(Products!$C$5:$C$504,MATCH(C187,Products!$A$5:$A$504,0))),"")</f>
        <v/>
      </c>
      <c r="E187" s="13" t="n">
        <v>1</v>
      </c>
      <c r="F187" s="11"/>
      <c r="G187" s="15" t="n">
        <v>0</v>
      </c>
      <c r="H187" s="10" t="s">
        <v>114</v>
      </c>
      <c r="I187" s="9" t="n">
        <f aca="false">IFERROR(E187*F187*(1-G187),"")</f>
        <v>0</v>
      </c>
      <c r="J187" s="9" t="n">
        <f aca="false">IFERROR(I187*IFERROR(VLOOKUP(H187,VatRates,2,FALSE()),0),"")</f>
        <v>0</v>
      </c>
      <c r="K187" s="9" t="n">
        <f aca="false">IFERROR(I187+J187,"")</f>
        <v>0</v>
      </c>
    </row>
    <row r="188" customFormat="false" ht="15" hidden="false" customHeight="false" outlineLevel="0" collapsed="false">
      <c r="A188" s="10"/>
      <c r="B188" s="10"/>
      <c r="C188" s="10"/>
      <c r="D188" s="14" t="str">
        <f aca="false">IFERROR(IF(C188="","",INDEX(Products!$C$5:$C$504,MATCH(C188,Products!$A$5:$A$504,0))),"")</f>
        <v/>
      </c>
      <c r="E188" s="13" t="n">
        <v>1</v>
      </c>
      <c r="F188" s="11"/>
      <c r="G188" s="15" t="n">
        <v>0</v>
      </c>
      <c r="H188" s="10" t="s">
        <v>114</v>
      </c>
      <c r="I188" s="9" t="n">
        <f aca="false">IFERROR(E188*F188*(1-G188),"")</f>
        <v>0</v>
      </c>
      <c r="J188" s="9" t="n">
        <f aca="false">IFERROR(I188*IFERROR(VLOOKUP(H188,VatRates,2,FALSE()),0),"")</f>
        <v>0</v>
      </c>
      <c r="K188" s="9" t="n">
        <f aca="false">IFERROR(I188+J188,"")</f>
        <v>0</v>
      </c>
    </row>
    <row r="189" customFormat="false" ht="15" hidden="false" customHeight="false" outlineLevel="0" collapsed="false">
      <c r="A189" s="10"/>
      <c r="B189" s="10"/>
      <c r="C189" s="10"/>
      <c r="D189" s="14" t="str">
        <f aca="false">IFERROR(IF(C189="","",INDEX(Products!$C$5:$C$504,MATCH(C189,Products!$A$5:$A$504,0))),"")</f>
        <v/>
      </c>
      <c r="E189" s="13" t="n">
        <v>1</v>
      </c>
      <c r="F189" s="11"/>
      <c r="G189" s="15" t="n">
        <v>0</v>
      </c>
      <c r="H189" s="10" t="s">
        <v>114</v>
      </c>
      <c r="I189" s="9" t="n">
        <f aca="false">IFERROR(E189*F189*(1-G189),"")</f>
        <v>0</v>
      </c>
      <c r="J189" s="9" t="n">
        <f aca="false">IFERROR(I189*IFERROR(VLOOKUP(H189,VatRates,2,FALSE()),0),"")</f>
        <v>0</v>
      </c>
      <c r="K189" s="9" t="n">
        <f aca="false">IFERROR(I189+J189,"")</f>
        <v>0</v>
      </c>
    </row>
    <row r="190" customFormat="false" ht="15" hidden="false" customHeight="false" outlineLevel="0" collapsed="false">
      <c r="A190" s="10"/>
      <c r="B190" s="10"/>
      <c r="C190" s="10"/>
      <c r="D190" s="14" t="str">
        <f aca="false">IFERROR(IF(C190="","",INDEX(Products!$C$5:$C$504,MATCH(C190,Products!$A$5:$A$504,0))),"")</f>
        <v/>
      </c>
      <c r="E190" s="13" t="n">
        <v>1</v>
      </c>
      <c r="F190" s="11"/>
      <c r="G190" s="15" t="n">
        <v>0</v>
      </c>
      <c r="H190" s="10" t="s">
        <v>114</v>
      </c>
      <c r="I190" s="9" t="n">
        <f aca="false">IFERROR(E190*F190*(1-G190),"")</f>
        <v>0</v>
      </c>
      <c r="J190" s="9" t="n">
        <f aca="false">IFERROR(I190*IFERROR(VLOOKUP(H190,VatRates,2,FALSE()),0),"")</f>
        <v>0</v>
      </c>
      <c r="K190" s="9" t="n">
        <f aca="false">IFERROR(I190+J190,"")</f>
        <v>0</v>
      </c>
    </row>
    <row r="191" customFormat="false" ht="15" hidden="false" customHeight="false" outlineLevel="0" collapsed="false">
      <c r="A191" s="10"/>
      <c r="B191" s="10"/>
      <c r="C191" s="10"/>
      <c r="D191" s="14" t="str">
        <f aca="false">IFERROR(IF(C191="","",INDEX(Products!$C$5:$C$504,MATCH(C191,Products!$A$5:$A$504,0))),"")</f>
        <v/>
      </c>
      <c r="E191" s="13" t="n">
        <v>1</v>
      </c>
      <c r="F191" s="11"/>
      <c r="G191" s="15" t="n">
        <v>0</v>
      </c>
      <c r="H191" s="10" t="s">
        <v>114</v>
      </c>
      <c r="I191" s="9" t="n">
        <f aca="false">IFERROR(E191*F191*(1-G191),"")</f>
        <v>0</v>
      </c>
      <c r="J191" s="9" t="n">
        <f aca="false">IFERROR(I191*IFERROR(VLOOKUP(H191,VatRates,2,FALSE()),0),"")</f>
        <v>0</v>
      </c>
      <c r="K191" s="9" t="n">
        <f aca="false">IFERROR(I191+J191,"")</f>
        <v>0</v>
      </c>
    </row>
    <row r="192" customFormat="false" ht="15" hidden="false" customHeight="false" outlineLevel="0" collapsed="false">
      <c r="A192" s="10"/>
      <c r="B192" s="10"/>
      <c r="C192" s="10"/>
      <c r="D192" s="14" t="str">
        <f aca="false">IFERROR(IF(C192="","",INDEX(Products!$C$5:$C$504,MATCH(C192,Products!$A$5:$A$504,0))),"")</f>
        <v/>
      </c>
      <c r="E192" s="13" t="n">
        <v>1</v>
      </c>
      <c r="F192" s="11"/>
      <c r="G192" s="15" t="n">
        <v>0</v>
      </c>
      <c r="H192" s="10" t="s">
        <v>114</v>
      </c>
      <c r="I192" s="9" t="n">
        <f aca="false">IFERROR(E192*F192*(1-G192),"")</f>
        <v>0</v>
      </c>
      <c r="J192" s="9" t="n">
        <f aca="false">IFERROR(I192*IFERROR(VLOOKUP(H192,VatRates,2,FALSE()),0),"")</f>
        <v>0</v>
      </c>
      <c r="K192" s="9" t="n">
        <f aca="false">IFERROR(I192+J192,"")</f>
        <v>0</v>
      </c>
    </row>
    <row r="193" customFormat="false" ht="15" hidden="false" customHeight="false" outlineLevel="0" collapsed="false">
      <c r="A193" s="10"/>
      <c r="B193" s="10"/>
      <c r="C193" s="10"/>
      <c r="D193" s="14" t="str">
        <f aca="false">IFERROR(IF(C193="","",INDEX(Products!$C$5:$C$504,MATCH(C193,Products!$A$5:$A$504,0))),"")</f>
        <v/>
      </c>
      <c r="E193" s="13" t="n">
        <v>1</v>
      </c>
      <c r="F193" s="11"/>
      <c r="G193" s="15" t="n">
        <v>0</v>
      </c>
      <c r="H193" s="10" t="s">
        <v>114</v>
      </c>
      <c r="I193" s="9" t="n">
        <f aca="false">IFERROR(E193*F193*(1-G193),"")</f>
        <v>0</v>
      </c>
      <c r="J193" s="9" t="n">
        <f aca="false">IFERROR(I193*IFERROR(VLOOKUP(H193,VatRates,2,FALSE()),0),"")</f>
        <v>0</v>
      </c>
      <c r="K193" s="9" t="n">
        <f aca="false">IFERROR(I193+J193,"")</f>
        <v>0</v>
      </c>
    </row>
    <row r="194" customFormat="false" ht="15" hidden="false" customHeight="false" outlineLevel="0" collapsed="false">
      <c r="A194" s="10"/>
      <c r="B194" s="10"/>
      <c r="C194" s="10"/>
      <c r="D194" s="14" t="str">
        <f aca="false">IFERROR(IF(C194="","",INDEX(Products!$C$5:$C$504,MATCH(C194,Products!$A$5:$A$504,0))),"")</f>
        <v/>
      </c>
      <c r="E194" s="13" t="n">
        <v>1</v>
      </c>
      <c r="F194" s="11"/>
      <c r="G194" s="15" t="n">
        <v>0</v>
      </c>
      <c r="H194" s="10" t="s">
        <v>114</v>
      </c>
      <c r="I194" s="9" t="n">
        <f aca="false">IFERROR(E194*F194*(1-G194),"")</f>
        <v>0</v>
      </c>
      <c r="J194" s="9" t="n">
        <f aca="false">IFERROR(I194*IFERROR(VLOOKUP(H194,VatRates,2,FALSE()),0),"")</f>
        <v>0</v>
      </c>
      <c r="K194" s="9" t="n">
        <f aca="false">IFERROR(I194+J194,"")</f>
        <v>0</v>
      </c>
    </row>
    <row r="195" customFormat="false" ht="15" hidden="false" customHeight="false" outlineLevel="0" collapsed="false">
      <c r="A195" s="10"/>
      <c r="B195" s="10"/>
      <c r="C195" s="10"/>
      <c r="D195" s="14" t="str">
        <f aca="false">IFERROR(IF(C195="","",INDEX(Products!$C$5:$C$504,MATCH(C195,Products!$A$5:$A$504,0))),"")</f>
        <v/>
      </c>
      <c r="E195" s="13" t="n">
        <v>1</v>
      </c>
      <c r="F195" s="11"/>
      <c r="G195" s="15" t="n">
        <v>0</v>
      </c>
      <c r="H195" s="10" t="s">
        <v>114</v>
      </c>
      <c r="I195" s="9" t="n">
        <f aca="false">IFERROR(E195*F195*(1-G195),"")</f>
        <v>0</v>
      </c>
      <c r="J195" s="9" t="n">
        <f aca="false">IFERROR(I195*IFERROR(VLOOKUP(H195,VatRates,2,FALSE()),0),"")</f>
        <v>0</v>
      </c>
      <c r="K195" s="9" t="n">
        <f aca="false">IFERROR(I195+J195,"")</f>
        <v>0</v>
      </c>
    </row>
    <row r="196" customFormat="false" ht="15" hidden="false" customHeight="false" outlineLevel="0" collapsed="false">
      <c r="A196" s="10"/>
      <c r="B196" s="10"/>
      <c r="C196" s="10"/>
      <c r="D196" s="14" t="str">
        <f aca="false">IFERROR(IF(C196="","",INDEX(Products!$C$5:$C$504,MATCH(C196,Products!$A$5:$A$504,0))),"")</f>
        <v/>
      </c>
      <c r="E196" s="13" t="n">
        <v>1</v>
      </c>
      <c r="F196" s="11"/>
      <c r="G196" s="15" t="n">
        <v>0</v>
      </c>
      <c r="H196" s="10" t="s">
        <v>114</v>
      </c>
      <c r="I196" s="9" t="n">
        <f aca="false">IFERROR(E196*F196*(1-G196),"")</f>
        <v>0</v>
      </c>
      <c r="J196" s="9" t="n">
        <f aca="false">IFERROR(I196*IFERROR(VLOOKUP(H196,VatRates,2,FALSE()),0),"")</f>
        <v>0</v>
      </c>
      <c r="K196" s="9" t="n">
        <f aca="false">IFERROR(I196+J196,"")</f>
        <v>0</v>
      </c>
    </row>
    <row r="197" customFormat="false" ht="15" hidden="false" customHeight="false" outlineLevel="0" collapsed="false">
      <c r="A197" s="10"/>
      <c r="B197" s="10"/>
      <c r="C197" s="10"/>
      <c r="D197" s="14" t="str">
        <f aca="false">IFERROR(IF(C197="","",INDEX(Products!$C$5:$C$504,MATCH(C197,Products!$A$5:$A$504,0))),"")</f>
        <v/>
      </c>
      <c r="E197" s="13" t="n">
        <v>1</v>
      </c>
      <c r="F197" s="11"/>
      <c r="G197" s="15" t="n">
        <v>0</v>
      </c>
      <c r="H197" s="10" t="s">
        <v>114</v>
      </c>
      <c r="I197" s="9" t="n">
        <f aca="false">IFERROR(E197*F197*(1-G197),"")</f>
        <v>0</v>
      </c>
      <c r="J197" s="9" t="n">
        <f aca="false">IFERROR(I197*IFERROR(VLOOKUP(H197,VatRates,2,FALSE()),0),"")</f>
        <v>0</v>
      </c>
      <c r="K197" s="9" t="n">
        <f aca="false">IFERROR(I197+J197,"")</f>
        <v>0</v>
      </c>
    </row>
    <row r="198" customFormat="false" ht="15" hidden="false" customHeight="false" outlineLevel="0" collapsed="false">
      <c r="A198" s="10"/>
      <c r="B198" s="10"/>
      <c r="C198" s="10"/>
      <c r="D198" s="14" t="str">
        <f aca="false">IFERROR(IF(C198="","",INDEX(Products!$C$5:$C$504,MATCH(C198,Products!$A$5:$A$504,0))),"")</f>
        <v/>
      </c>
      <c r="E198" s="13" t="n">
        <v>1</v>
      </c>
      <c r="F198" s="11"/>
      <c r="G198" s="15" t="n">
        <v>0</v>
      </c>
      <c r="H198" s="10" t="s">
        <v>114</v>
      </c>
      <c r="I198" s="9" t="n">
        <f aca="false">IFERROR(E198*F198*(1-G198),"")</f>
        <v>0</v>
      </c>
      <c r="J198" s="9" t="n">
        <f aca="false">IFERROR(I198*IFERROR(VLOOKUP(H198,VatRates,2,FALSE()),0),"")</f>
        <v>0</v>
      </c>
      <c r="K198" s="9" t="n">
        <f aca="false">IFERROR(I198+J198,"")</f>
        <v>0</v>
      </c>
    </row>
    <row r="199" customFormat="false" ht="15" hidden="false" customHeight="false" outlineLevel="0" collapsed="false">
      <c r="A199" s="10"/>
      <c r="B199" s="10"/>
      <c r="C199" s="10"/>
      <c r="D199" s="14" t="str">
        <f aca="false">IFERROR(IF(C199="","",INDEX(Products!$C$5:$C$504,MATCH(C199,Products!$A$5:$A$504,0))),"")</f>
        <v/>
      </c>
      <c r="E199" s="13" t="n">
        <v>1</v>
      </c>
      <c r="F199" s="11"/>
      <c r="G199" s="15" t="n">
        <v>0</v>
      </c>
      <c r="H199" s="10" t="s">
        <v>114</v>
      </c>
      <c r="I199" s="9" t="n">
        <f aca="false">IFERROR(E199*F199*(1-G199),"")</f>
        <v>0</v>
      </c>
      <c r="J199" s="9" t="n">
        <f aca="false">IFERROR(I199*IFERROR(VLOOKUP(H199,VatRates,2,FALSE()),0),"")</f>
        <v>0</v>
      </c>
      <c r="K199" s="9" t="n">
        <f aca="false">IFERROR(I199+J199,"")</f>
        <v>0</v>
      </c>
    </row>
    <row r="200" customFormat="false" ht="15" hidden="false" customHeight="false" outlineLevel="0" collapsed="false">
      <c r="A200" s="10"/>
      <c r="B200" s="10"/>
      <c r="C200" s="10"/>
      <c r="D200" s="14" t="str">
        <f aca="false">IFERROR(IF(C200="","",INDEX(Products!$C$5:$C$504,MATCH(C200,Products!$A$5:$A$504,0))),"")</f>
        <v/>
      </c>
      <c r="E200" s="13" t="n">
        <v>1</v>
      </c>
      <c r="F200" s="11"/>
      <c r="G200" s="15" t="n">
        <v>0</v>
      </c>
      <c r="H200" s="10" t="s">
        <v>114</v>
      </c>
      <c r="I200" s="9" t="n">
        <f aca="false">IFERROR(E200*F200*(1-G200),"")</f>
        <v>0</v>
      </c>
      <c r="J200" s="9" t="n">
        <f aca="false">IFERROR(I200*IFERROR(VLOOKUP(H200,VatRates,2,FALSE()),0),"")</f>
        <v>0</v>
      </c>
      <c r="K200" s="9" t="n">
        <f aca="false">IFERROR(I200+J200,"")</f>
        <v>0</v>
      </c>
    </row>
    <row r="201" customFormat="false" ht="15" hidden="false" customHeight="false" outlineLevel="0" collapsed="false">
      <c r="A201" s="10"/>
      <c r="B201" s="10"/>
      <c r="C201" s="10"/>
      <c r="D201" s="14" t="str">
        <f aca="false">IFERROR(IF(C201="","",INDEX(Products!$C$5:$C$504,MATCH(C201,Products!$A$5:$A$504,0))),"")</f>
        <v/>
      </c>
      <c r="E201" s="13" t="n">
        <v>1</v>
      </c>
      <c r="F201" s="11"/>
      <c r="G201" s="15" t="n">
        <v>0</v>
      </c>
      <c r="H201" s="10" t="s">
        <v>114</v>
      </c>
      <c r="I201" s="9" t="n">
        <f aca="false">IFERROR(E201*F201*(1-G201),"")</f>
        <v>0</v>
      </c>
      <c r="J201" s="9" t="n">
        <f aca="false">IFERROR(I201*IFERROR(VLOOKUP(H201,VatRates,2,FALSE()),0),"")</f>
        <v>0</v>
      </c>
      <c r="K201" s="9" t="n">
        <f aca="false">IFERROR(I201+J201,"")</f>
        <v>0</v>
      </c>
    </row>
    <row r="202" customFormat="false" ht="15" hidden="false" customHeight="false" outlineLevel="0" collapsed="false">
      <c r="A202" s="10"/>
      <c r="B202" s="10"/>
      <c r="C202" s="10"/>
      <c r="D202" s="14" t="str">
        <f aca="false">IFERROR(IF(C202="","",INDEX(Products!$C$5:$C$504,MATCH(C202,Products!$A$5:$A$504,0))),"")</f>
        <v/>
      </c>
      <c r="E202" s="13" t="n">
        <v>1</v>
      </c>
      <c r="F202" s="11"/>
      <c r="G202" s="15" t="n">
        <v>0</v>
      </c>
      <c r="H202" s="10" t="s">
        <v>114</v>
      </c>
      <c r="I202" s="9" t="n">
        <f aca="false">IFERROR(E202*F202*(1-G202),"")</f>
        <v>0</v>
      </c>
      <c r="J202" s="9" t="n">
        <f aca="false">IFERROR(I202*IFERROR(VLOOKUP(H202,VatRates,2,FALSE()),0),"")</f>
        <v>0</v>
      </c>
      <c r="K202" s="9" t="n">
        <f aca="false">IFERROR(I202+J202,"")</f>
        <v>0</v>
      </c>
    </row>
    <row r="203" customFormat="false" ht="15" hidden="false" customHeight="false" outlineLevel="0" collapsed="false">
      <c r="A203" s="10"/>
      <c r="B203" s="10"/>
      <c r="C203" s="10"/>
      <c r="D203" s="14" t="str">
        <f aca="false">IFERROR(IF(C203="","",INDEX(Products!$C$5:$C$504,MATCH(C203,Products!$A$5:$A$504,0))),"")</f>
        <v/>
      </c>
      <c r="E203" s="13" t="n">
        <v>1</v>
      </c>
      <c r="F203" s="11"/>
      <c r="G203" s="15" t="n">
        <v>0</v>
      </c>
      <c r="H203" s="10" t="s">
        <v>114</v>
      </c>
      <c r="I203" s="9" t="n">
        <f aca="false">IFERROR(E203*F203*(1-G203),"")</f>
        <v>0</v>
      </c>
      <c r="J203" s="9" t="n">
        <f aca="false">IFERROR(I203*IFERROR(VLOOKUP(H203,VatRates,2,FALSE()),0),"")</f>
        <v>0</v>
      </c>
      <c r="K203" s="9" t="n">
        <f aca="false">IFERROR(I203+J203,"")</f>
        <v>0</v>
      </c>
    </row>
    <row r="204" customFormat="false" ht="15" hidden="false" customHeight="false" outlineLevel="0" collapsed="false">
      <c r="A204" s="10"/>
      <c r="B204" s="10"/>
      <c r="C204" s="10"/>
      <c r="D204" s="14" t="str">
        <f aca="false">IFERROR(IF(C204="","",INDEX(Products!$C$5:$C$504,MATCH(C204,Products!$A$5:$A$504,0))),"")</f>
        <v/>
      </c>
      <c r="E204" s="13" t="n">
        <v>1</v>
      </c>
      <c r="F204" s="11"/>
      <c r="G204" s="15" t="n">
        <v>0</v>
      </c>
      <c r="H204" s="10" t="s">
        <v>114</v>
      </c>
      <c r="I204" s="9" t="n">
        <f aca="false">IFERROR(E204*F204*(1-G204),"")</f>
        <v>0</v>
      </c>
      <c r="J204" s="9" t="n">
        <f aca="false">IFERROR(I204*IFERROR(VLOOKUP(H204,VatRates,2,FALSE()),0),"")</f>
        <v>0</v>
      </c>
      <c r="K204" s="9" t="n">
        <f aca="false">IFERROR(I204+J204,"")</f>
        <v>0</v>
      </c>
    </row>
    <row r="205" customFormat="false" ht="15" hidden="false" customHeight="false" outlineLevel="0" collapsed="false">
      <c r="A205" s="10"/>
      <c r="B205" s="10"/>
      <c r="C205" s="10"/>
      <c r="D205" s="14" t="str">
        <f aca="false">IFERROR(IF(C205="","",INDEX(Products!$C$5:$C$504,MATCH(C205,Products!$A$5:$A$504,0))),"")</f>
        <v/>
      </c>
      <c r="E205" s="13" t="n">
        <v>1</v>
      </c>
      <c r="F205" s="11"/>
      <c r="G205" s="15" t="n">
        <v>0</v>
      </c>
      <c r="H205" s="10" t="s">
        <v>114</v>
      </c>
      <c r="I205" s="9" t="n">
        <f aca="false">IFERROR(E205*F205*(1-G205),"")</f>
        <v>0</v>
      </c>
      <c r="J205" s="9" t="n">
        <f aca="false">IFERROR(I205*IFERROR(VLOOKUP(H205,VatRates,2,FALSE()),0),"")</f>
        <v>0</v>
      </c>
      <c r="K205" s="9" t="n">
        <f aca="false">IFERROR(I205+J205,"")</f>
        <v>0</v>
      </c>
    </row>
    <row r="206" customFormat="false" ht="15" hidden="false" customHeight="false" outlineLevel="0" collapsed="false">
      <c r="A206" s="10"/>
      <c r="B206" s="10"/>
      <c r="C206" s="10"/>
      <c r="D206" s="14" t="str">
        <f aca="false">IFERROR(IF(C206="","",INDEX(Products!$C$5:$C$504,MATCH(C206,Products!$A$5:$A$504,0))),"")</f>
        <v/>
      </c>
      <c r="E206" s="13" t="n">
        <v>1</v>
      </c>
      <c r="F206" s="11"/>
      <c r="G206" s="15" t="n">
        <v>0</v>
      </c>
      <c r="H206" s="10" t="s">
        <v>114</v>
      </c>
      <c r="I206" s="9" t="n">
        <f aca="false">IFERROR(E206*F206*(1-G206),"")</f>
        <v>0</v>
      </c>
      <c r="J206" s="9" t="n">
        <f aca="false">IFERROR(I206*IFERROR(VLOOKUP(H206,VatRates,2,FALSE()),0),"")</f>
        <v>0</v>
      </c>
      <c r="K206" s="9" t="n">
        <f aca="false">IFERROR(I206+J206,"")</f>
        <v>0</v>
      </c>
    </row>
    <row r="207" customFormat="false" ht="15" hidden="false" customHeight="false" outlineLevel="0" collapsed="false">
      <c r="A207" s="10"/>
      <c r="B207" s="10"/>
      <c r="C207" s="10"/>
      <c r="D207" s="14" t="str">
        <f aca="false">IFERROR(IF(C207="","",INDEX(Products!$C$5:$C$504,MATCH(C207,Products!$A$5:$A$504,0))),"")</f>
        <v/>
      </c>
      <c r="E207" s="13" t="n">
        <v>1</v>
      </c>
      <c r="F207" s="11"/>
      <c r="G207" s="15" t="n">
        <v>0</v>
      </c>
      <c r="H207" s="10" t="s">
        <v>114</v>
      </c>
      <c r="I207" s="9" t="n">
        <f aca="false">IFERROR(E207*F207*(1-G207),"")</f>
        <v>0</v>
      </c>
      <c r="J207" s="9" t="n">
        <f aca="false">IFERROR(I207*IFERROR(VLOOKUP(H207,VatRates,2,FALSE()),0),"")</f>
        <v>0</v>
      </c>
      <c r="K207" s="9" t="n">
        <f aca="false">IFERROR(I207+J207,"")</f>
        <v>0</v>
      </c>
    </row>
    <row r="208" customFormat="false" ht="15" hidden="false" customHeight="false" outlineLevel="0" collapsed="false">
      <c r="A208" s="10"/>
      <c r="B208" s="10"/>
      <c r="C208" s="10"/>
      <c r="D208" s="14" t="str">
        <f aca="false">IFERROR(IF(C208="","",INDEX(Products!$C$5:$C$504,MATCH(C208,Products!$A$5:$A$504,0))),"")</f>
        <v/>
      </c>
      <c r="E208" s="13" t="n">
        <v>1</v>
      </c>
      <c r="F208" s="11"/>
      <c r="G208" s="15" t="n">
        <v>0</v>
      </c>
      <c r="H208" s="10" t="s">
        <v>114</v>
      </c>
      <c r="I208" s="9" t="n">
        <f aca="false">IFERROR(E208*F208*(1-G208),"")</f>
        <v>0</v>
      </c>
      <c r="J208" s="9" t="n">
        <f aca="false">IFERROR(I208*IFERROR(VLOOKUP(H208,VatRates,2,FALSE()),0),"")</f>
        <v>0</v>
      </c>
      <c r="K208" s="9" t="n">
        <f aca="false">IFERROR(I208+J208,"")</f>
        <v>0</v>
      </c>
    </row>
    <row r="209" customFormat="false" ht="15" hidden="false" customHeight="false" outlineLevel="0" collapsed="false">
      <c r="A209" s="10"/>
      <c r="B209" s="10"/>
      <c r="C209" s="10"/>
      <c r="D209" s="14" t="str">
        <f aca="false">IFERROR(IF(C209="","",INDEX(Products!$C$5:$C$504,MATCH(C209,Products!$A$5:$A$504,0))),"")</f>
        <v/>
      </c>
      <c r="E209" s="13" t="n">
        <v>1</v>
      </c>
      <c r="F209" s="11"/>
      <c r="G209" s="15" t="n">
        <v>0</v>
      </c>
      <c r="H209" s="10" t="s">
        <v>114</v>
      </c>
      <c r="I209" s="9" t="n">
        <f aca="false">IFERROR(E209*F209*(1-G209),"")</f>
        <v>0</v>
      </c>
      <c r="J209" s="9" t="n">
        <f aca="false">IFERROR(I209*IFERROR(VLOOKUP(H209,VatRates,2,FALSE()),0),"")</f>
        <v>0</v>
      </c>
      <c r="K209" s="9" t="n">
        <f aca="false">IFERROR(I209+J209,"")</f>
        <v>0</v>
      </c>
    </row>
    <row r="210" customFormat="false" ht="15" hidden="false" customHeight="false" outlineLevel="0" collapsed="false">
      <c r="A210" s="10"/>
      <c r="B210" s="10"/>
      <c r="C210" s="10"/>
      <c r="D210" s="14" t="str">
        <f aca="false">IFERROR(IF(C210="","",INDEX(Products!$C$5:$C$504,MATCH(C210,Products!$A$5:$A$504,0))),"")</f>
        <v/>
      </c>
      <c r="E210" s="13" t="n">
        <v>1</v>
      </c>
      <c r="F210" s="11"/>
      <c r="G210" s="15" t="n">
        <v>0</v>
      </c>
      <c r="H210" s="10" t="s">
        <v>114</v>
      </c>
      <c r="I210" s="9" t="n">
        <f aca="false">IFERROR(E210*F210*(1-G210),"")</f>
        <v>0</v>
      </c>
      <c r="J210" s="9" t="n">
        <f aca="false">IFERROR(I210*IFERROR(VLOOKUP(H210,VatRates,2,FALSE()),0),"")</f>
        <v>0</v>
      </c>
      <c r="K210" s="9" t="n">
        <f aca="false">IFERROR(I210+J210,"")</f>
        <v>0</v>
      </c>
    </row>
    <row r="211" customFormat="false" ht="15" hidden="false" customHeight="false" outlineLevel="0" collapsed="false">
      <c r="A211" s="10"/>
      <c r="B211" s="10"/>
      <c r="C211" s="10"/>
      <c r="D211" s="14" t="str">
        <f aca="false">IFERROR(IF(C211="","",INDEX(Products!$C$5:$C$504,MATCH(C211,Products!$A$5:$A$504,0))),"")</f>
        <v/>
      </c>
      <c r="E211" s="13" t="n">
        <v>1</v>
      </c>
      <c r="F211" s="11"/>
      <c r="G211" s="15" t="n">
        <v>0</v>
      </c>
      <c r="H211" s="10" t="s">
        <v>114</v>
      </c>
      <c r="I211" s="9" t="n">
        <f aca="false">IFERROR(E211*F211*(1-G211),"")</f>
        <v>0</v>
      </c>
      <c r="J211" s="9" t="n">
        <f aca="false">IFERROR(I211*IFERROR(VLOOKUP(H211,VatRates,2,FALSE()),0),"")</f>
        <v>0</v>
      </c>
      <c r="K211" s="9" t="n">
        <f aca="false">IFERROR(I211+J211,"")</f>
        <v>0</v>
      </c>
    </row>
    <row r="212" customFormat="false" ht="15" hidden="false" customHeight="false" outlineLevel="0" collapsed="false">
      <c r="A212" s="10"/>
      <c r="B212" s="10"/>
      <c r="C212" s="10"/>
      <c r="D212" s="14" t="str">
        <f aca="false">IFERROR(IF(C212="","",INDEX(Products!$C$5:$C$504,MATCH(C212,Products!$A$5:$A$504,0))),"")</f>
        <v/>
      </c>
      <c r="E212" s="13" t="n">
        <v>1</v>
      </c>
      <c r="F212" s="11"/>
      <c r="G212" s="15" t="n">
        <v>0</v>
      </c>
      <c r="H212" s="10" t="s">
        <v>114</v>
      </c>
      <c r="I212" s="9" t="n">
        <f aca="false">IFERROR(E212*F212*(1-G212),"")</f>
        <v>0</v>
      </c>
      <c r="J212" s="9" t="n">
        <f aca="false">IFERROR(I212*IFERROR(VLOOKUP(H212,VatRates,2,FALSE()),0),"")</f>
        <v>0</v>
      </c>
      <c r="K212" s="9" t="n">
        <f aca="false">IFERROR(I212+J212,"")</f>
        <v>0</v>
      </c>
    </row>
    <row r="213" customFormat="false" ht="15" hidden="false" customHeight="false" outlineLevel="0" collapsed="false">
      <c r="A213" s="10"/>
      <c r="B213" s="10"/>
      <c r="C213" s="10"/>
      <c r="D213" s="14" t="str">
        <f aca="false">IFERROR(IF(C213="","",INDEX(Products!$C$5:$C$504,MATCH(C213,Products!$A$5:$A$504,0))),"")</f>
        <v/>
      </c>
      <c r="E213" s="13" t="n">
        <v>1</v>
      </c>
      <c r="F213" s="11"/>
      <c r="G213" s="15" t="n">
        <v>0</v>
      </c>
      <c r="H213" s="10" t="s">
        <v>114</v>
      </c>
      <c r="I213" s="9" t="n">
        <f aca="false">IFERROR(E213*F213*(1-G213),"")</f>
        <v>0</v>
      </c>
      <c r="J213" s="9" t="n">
        <f aca="false">IFERROR(I213*IFERROR(VLOOKUP(H213,VatRates,2,FALSE()),0),"")</f>
        <v>0</v>
      </c>
      <c r="K213" s="9" t="n">
        <f aca="false">IFERROR(I213+J213,"")</f>
        <v>0</v>
      </c>
    </row>
    <row r="214" customFormat="false" ht="15" hidden="false" customHeight="false" outlineLevel="0" collapsed="false">
      <c r="A214" s="10"/>
      <c r="B214" s="10"/>
      <c r="C214" s="10"/>
      <c r="D214" s="14" t="str">
        <f aca="false">IFERROR(IF(C214="","",INDEX(Products!$C$5:$C$504,MATCH(C214,Products!$A$5:$A$504,0))),"")</f>
        <v/>
      </c>
      <c r="E214" s="13" t="n">
        <v>1</v>
      </c>
      <c r="F214" s="11"/>
      <c r="G214" s="15" t="n">
        <v>0</v>
      </c>
      <c r="H214" s="10" t="s">
        <v>114</v>
      </c>
      <c r="I214" s="9" t="n">
        <f aca="false">IFERROR(E214*F214*(1-G214),"")</f>
        <v>0</v>
      </c>
      <c r="J214" s="9" t="n">
        <f aca="false">IFERROR(I214*IFERROR(VLOOKUP(H214,VatRates,2,FALSE()),0),"")</f>
        <v>0</v>
      </c>
      <c r="K214" s="9" t="n">
        <f aca="false">IFERROR(I214+J214,"")</f>
        <v>0</v>
      </c>
    </row>
    <row r="215" customFormat="false" ht="15" hidden="false" customHeight="false" outlineLevel="0" collapsed="false">
      <c r="A215" s="10"/>
      <c r="B215" s="10"/>
      <c r="C215" s="10"/>
      <c r="D215" s="14" t="str">
        <f aca="false">IFERROR(IF(C215="","",INDEX(Products!$C$5:$C$504,MATCH(C215,Products!$A$5:$A$504,0))),"")</f>
        <v/>
      </c>
      <c r="E215" s="13" t="n">
        <v>1</v>
      </c>
      <c r="F215" s="11"/>
      <c r="G215" s="15" t="n">
        <v>0</v>
      </c>
      <c r="H215" s="10" t="s">
        <v>114</v>
      </c>
      <c r="I215" s="9" t="n">
        <f aca="false">IFERROR(E215*F215*(1-G215),"")</f>
        <v>0</v>
      </c>
      <c r="J215" s="9" t="n">
        <f aca="false">IFERROR(I215*IFERROR(VLOOKUP(H215,VatRates,2,FALSE()),0),"")</f>
        <v>0</v>
      </c>
      <c r="K215" s="9" t="n">
        <f aca="false">IFERROR(I215+J215,"")</f>
        <v>0</v>
      </c>
    </row>
    <row r="216" customFormat="false" ht="15" hidden="false" customHeight="false" outlineLevel="0" collapsed="false">
      <c r="A216" s="10"/>
      <c r="B216" s="10"/>
      <c r="C216" s="10"/>
      <c r="D216" s="14" t="str">
        <f aca="false">IFERROR(IF(C216="","",INDEX(Products!$C$5:$C$504,MATCH(C216,Products!$A$5:$A$504,0))),"")</f>
        <v/>
      </c>
      <c r="E216" s="13" t="n">
        <v>1</v>
      </c>
      <c r="F216" s="11"/>
      <c r="G216" s="15" t="n">
        <v>0</v>
      </c>
      <c r="H216" s="10" t="s">
        <v>114</v>
      </c>
      <c r="I216" s="9" t="n">
        <f aca="false">IFERROR(E216*F216*(1-G216),"")</f>
        <v>0</v>
      </c>
      <c r="J216" s="9" t="n">
        <f aca="false">IFERROR(I216*IFERROR(VLOOKUP(H216,VatRates,2,FALSE()),0),"")</f>
        <v>0</v>
      </c>
      <c r="K216" s="9" t="n">
        <f aca="false">IFERROR(I216+J216,"")</f>
        <v>0</v>
      </c>
    </row>
    <row r="217" customFormat="false" ht="15" hidden="false" customHeight="false" outlineLevel="0" collapsed="false">
      <c r="A217" s="10"/>
      <c r="B217" s="10"/>
      <c r="C217" s="10"/>
      <c r="D217" s="14" t="str">
        <f aca="false">IFERROR(IF(C217="","",INDEX(Products!$C$5:$C$504,MATCH(C217,Products!$A$5:$A$504,0))),"")</f>
        <v/>
      </c>
      <c r="E217" s="13" t="n">
        <v>1</v>
      </c>
      <c r="F217" s="11"/>
      <c r="G217" s="15" t="n">
        <v>0</v>
      </c>
      <c r="H217" s="10" t="s">
        <v>114</v>
      </c>
      <c r="I217" s="9" t="n">
        <f aca="false">IFERROR(E217*F217*(1-G217),"")</f>
        <v>0</v>
      </c>
      <c r="J217" s="9" t="n">
        <f aca="false">IFERROR(I217*IFERROR(VLOOKUP(H217,VatRates,2,FALSE()),0),"")</f>
        <v>0</v>
      </c>
      <c r="K217" s="9" t="n">
        <f aca="false">IFERROR(I217+J217,"")</f>
        <v>0</v>
      </c>
    </row>
    <row r="218" customFormat="false" ht="15" hidden="false" customHeight="false" outlineLevel="0" collapsed="false">
      <c r="A218" s="10"/>
      <c r="B218" s="10"/>
      <c r="C218" s="10"/>
      <c r="D218" s="14" t="str">
        <f aca="false">IFERROR(IF(C218="","",INDEX(Products!$C$5:$C$504,MATCH(C218,Products!$A$5:$A$504,0))),"")</f>
        <v/>
      </c>
      <c r="E218" s="13" t="n">
        <v>1</v>
      </c>
      <c r="F218" s="11"/>
      <c r="G218" s="15" t="n">
        <v>0</v>
      </c>
      <c r="H218" s="10" t="s">
        <v>114</v>
      </c>
      <c r="I218" s="9" t="n">
        <f aca="false">IFERROR(E218*F218*(1-G218),"")</f>
        <v>0</v>
      </c>
      <c r="J218" s="9" t="n">
        <f aca="false">IFERROR(I218*IFERROR(VLOOKUP(H218,VatRates,2,FALSE()),0),"")</f>
        <v>0</v>
      </c>
      <c r="K218" s="9" t="n">
        <f aca="false">IFERROR(I218+J218,"")</f>
        <v>0</v>
      </c>
    </row>
    <row r="219" customFormat="false" ht="15" hidden="false" customHeight="false" outlineLevel="0" collapsed="false">
      <c r="A219" s="10"/>
      <c r="B219" s="10"/>
      <c r="C219" s="10"/>
      <c r="D219" s="14" t="str">
        <f aca="false">IFERROR(IF(C219="","",INDEX(Products!$C$5:$C$504,MATCH(C219,Products!$A$5:$A$504,0))),"")</f>
        <v/>
      </c>
      <c r="E219" s="13" t="n">
        <v>1</v>
      </c>
      <c r="F219" s="11"/>
      <c r="G219" s="15" t="n">
        <v>0</v>
      </c>
      <c r="H219" s="10" t="s">
        <v>114</v>
      </c>
      <c r="I219" s="9" t="n">
        <f aca="false">IFERROR(E219*F219*(1-G219),"")</f>
        <v>0</v>
      </c>
      <c r="J219" s="9" t="n">
        <f aca="false">IFERROR(I219*IFERROR(VLOOKUP(H219,VatRates,2,FALSE()),0),"")</f>
        <v>0</v>
      </c>
      <c r="K219" s="9" t="n">
        <f aca="false">IFERROR(I219+J219,"")</f>
        <v>0</v>
      </c>
    </row>
    <row r="220" customFormat="false" ht="15" hidden="false" customHeight="false" outlineLevel="0" collapsed="false">
      <c r="A220" s="10"/>
      <c r="B220" s="10"/>
      <c r="C220" s="10"/>
      <c r="D220" s="14" t="str">
        <f aca="false">IFERROR(IF(C220="","",INDEX(Products!$C$5:$C$504,MATCH(C220,Products!$A$5:$A$504,0))),"")</f>
        <v/>
      </c>
      <c r="E220" s="13" t="n">
        <v>1</v>
      </c>
      <c r="F220" s="11"/>
      <c r="G220" s="15" t="n">
        <v>0</v>
      </c>
      <c r="H220" s="10" t="s">
        <v>114</v>
      </c>
      <c r="I220" s="9" t="n">
        <f aca="false">IFERROR(E220*F220*(1-G220),"")</f>
        <v>0</v>
      </c>
      <c r="J220" s="9" t="n">
        <f aca="false">IFERROR(I220*IFERROR(VLOOKUP(H220,VatRates,2,FALSE()),0),"")</f>
        <v>0</v>
      </c>
      <c r="K220" s="9" t="n">
        <f aca="false">IFERROR(I220+J220,"")</f>
        <v>0</v>
      </c>
    </row>
    <row r="221" customFormat="false" ht="15" hidden="false" customHeight="false" outlineLevel="0" collapsed="false">
      <c r="A221" s="10"/>
      <c r="B221" s="10"/>
      <c r="C221" s="10"/>
      <c r="D221" s="14" t="str">
        <f aca="false">IFERROR(IF(C221="","",INDEX(Products!$C$5:$C$504,MATCH(C221,Products!$A$5:$A$504,0))),"")</f>
        <v/>
      </c>
      <c r="E221" s="13" t="n">
        <v>1</v>
      </c>
      <c r="F221" s="11"/>
      <c r="G221" s="15" t="n">
        <v>0</v>
      </c>
      <c r="H221" s="10" t="s">
        <v>114</v>
      </c>
      <c r="I221" s="9" t="n">
        <f aca="false">IFERROR(E221*F221*(1-G221),"")</f>
        <v>0</v>
      </c>
      <c r="J221" s="9" t="n">
        <f aca="false">IFERROR(I221*IFERROR(VLOOKUP(H221,VatRates,2,FALSE()),0),"")</f>
        <v>0</v>
      </c>
      <c r="K221" s="9" t="n">
        <f aca="false">IFERROR(I221+J221,"")</f>
        <v>0</v>
      </c>
    </row>
    <row r="222" customFormat="false" ht="15" hidden="false" customHeight="false" outlineLevel="0" collapsed="false">
      <c r="A222" s="10"/>
      <c r="B222" s="10"/>
      <c r="C222" s="10"/>
      <c r="D222" s="14" t="str">
        <f aca="false">IFERROR(IF(C222="","",INDEX(Products!$C$5:$C$504,MATCH(C222,Products!$A$5:$A$504,0))),"")</f>
        <v/>
      </c>
      <c r="E222" s="13" t="n">
        <v>1</v>
      </c>
      <c r="F222" s="11"/>
      <c r="G222" s="15" t="n">
        <v>0</v>
      </c>
      <c r="H222" s="10" t="s">
        <v>114</v>
      </c>
      <c r="I222" s="9" t="n">
        <f aca="false">IFERROR(E222*F222*(1-G222),"")</f>
        <v>0</v>
      </c>
      <c r="J222" s="9" t="n">
        <f aca="false">IFERROR(I222*IFERROR(VLOOKUP(H222,VatRates,2,FALSE()),0),"")</f>
        <v>0</v>
      </c>
      <c r="K222" s="9" t="n">
        <f aca="false">IFERROR(I222+J222,"")</f>
        <v>0</v>
      </c>
    </row>
    <row r="223" customFormat="false" ht="15" hidden="false" customHeight="false" outlineLevel="0" collapsed="false">
      <c r="A223" s="10"/>
      <c r="B223" s="10"/>
      <c r="C223" s="10"/>
      <c r="D223" s="14" t="str">
        <f aca="false">IFERROR(IF(C223="","",INDEX(Products!$C$5:$C$504,MATCH(C223,Products!$A$5:$A$504,0))),"")</f>
        <v/>
      </c>
      <c r="E223" s="13" t="n">
        <v>1</v>
      </c>
      <c r="F223" s="11"/>
      <c r="G223" s="15" t="n">
        <v>0</v>
      </c>
      <c r="H223" s="10" t="s">
        <v>114</v>
      </c>
      <c r="I223" s="9" t="n">
        <f aca="false">IFERROR(E223*F223*(1-G223),"")</f>
        <v>0</v>
      </c>
      <c r="J223" s="9" t="n">
        <f aca="false">IFERROR(I223*IFERROR(VLOOKUP(H223,VatRates,2,FALSE()),0),"")</f>
        <v>0</v>
      </c>
      <c r="K223" s="9" t="n">
        <f aca="false">IFERROR(I223+J223,"")</f>
        <v>0</v>
      </c>
    </row>
    <row r="224" customFormat="false" ht="15" hidden="false" customHeight="false" outlineLevel="0" collapsed="false">
      <c r="A224" s="10"/>
      <c r="B224" s="10"/>
      <c r="C224" s="10"/>
      <c r="D224" s="14" t="str">
        <f aca="false">IFERROR(IF(C224="","",INDEX(Products!$C$5:$C$504,MATCH(C224,Products!$A$5:$A$504,0))),"")</f>
        <v/>
      </c>
      <c r="E224" s="13" t="n">
        <v>1</v>
      </c>
      <c r="F224" s="11"/>
      <c r="G224" s="15" t="n">
        <v>0</v>
      </c>
      <c r="H224" s="10" t="s">
        <v>114</v>
      </c>
      <c r="I224" s="9" t="n">
        <f aca="false">IFERROR(E224*F224*(1-G224),"")</f>
        <v>0</v>
      </c>
      <c r="J224" s="9" t="n">
        <f aca="false">IFERROR(I224*IFERROR(VLOOKUP(H224,VatRates,2,FALSE()),0),"")</f>
        <v>0</v>
      </c>
      <c r="K224" s="9" t="n">
        <f aca="false">IFERROR(I224+J224,"")</f>
        <v>0</v>
      </c>
    </row>
    <row r="225" customFormat="false" ht="15" hidden="false" customHeight="false" outlineLevel="0" collapsed="false">
      <c r="A225" s="10"/>
      <c r="B225" s="10"/>
      <c r="C225" s="10"/>
      <c r="D225" s="14" t="str">
        <f aca="false">IFERROR(IF(C225="","",INDEX(Products!$C$5:$C$504,MATCH(C225,Products!$A$5:$A$504,0))),"")</f>
        <v/>
      </c>
      <c r="E225" s="13" t="n">
        <v>1</v>
      </c>
      <c r="F225" s="11"/>
      <c r="G225" s="15" t="n">
        <v>0</v>
      </c>
      <c r="H225" s="10" t="s">
        <v>114</v>
      </c>
      <c r="I225" s="9" t="n">
        <f aca="false">IFERROR(E225*F225*(1-G225),"")</f>
        <v>0</v>
      </c>
      <c r="J225" s="9" t="n">
        <f aca="false">IFERROR(I225*IFERROR(VLOOKUP(H225,VatRates,2,FALSE()),0),"")</f>
        <v>0</v>
      </c>
      <c r="K225" s="9" t="n">
        <f aca="false">IFERROR(I225+J225,"")</f>
        <v>0</v>
      </c>
    </row>
    <row r="226" customFormat="false" ht="15" hidden="false" customHeight="false" outlineLevel="0" collapsed="false">
      <c r="A226" s="10"/>
      <c r="B226" s="10"/>
      <c r="C226" s="10"/>
      <c r="D226" s="14" t="str">
        <f aca="false">IFERROR(IF(C226="","",INDEX(Products!$C$5:$C$504,MATCH(C226,Products!$A$5:$A$504,0))),"")</f>
        <v/>
      </c>
      <c r="E226" s="13" t="n">
        <v>1</v>
      </c>
      <c r="F226" s="11"/>
      <c r="G226" s="15" t="n">
        <v>0</v>
      </c>
      <c r="H226" s="10" t="s">
        <v>114</v>
      </c>
      <c r="I226" s="9" t="n">
        <f aca="false">IFERROR(E226*F226*(1-G226),"")</f>
        <v>0</v>
      </c>
      <c r="J226" s="9" t="n">
        <f aca="false">IFERROR(I226*IFERROR(VLOOKUP(H226,VatRates,2,FALSE()),0),"")</f>
        <v>0</v>
      </c>
      <c r="K226" s="9" t="n">
        <f aca="false">IFERROR(I226+J226,"")</f>
        <v>0</v>
      </c>
    </row>
    <row r="227" customFormat="false" ht="15" hidden="false" customHeight="false" outlineLevel="0" collapsed="false">
      <c r="A227" s="10"/>
      <c r="B227" s="10"/>
      <c r="C227" s="10"/>
      <c r="D227" s="14" t="str">
        <f aca="false">IFERROR(IF(C227="","",INDEX(Products!$C$5:$C$504,MATCH(C227,Products!$A$5:$A$504,0))),"")</f>
        <v/>
      </c>
      <c r="E227" s="13" t="n">
        <v>1</v>
      </c>
      <c r="F227" s="11"/>
      <c r="G227" s="15" t="n">
        <v>0</v>
      </c>
      <c r="H227" s="10" t="s">
        <v>114</v>
      </c>
      <c r="I227" s="9" t="n">
        <f aca="false">IFERROR(E227*F227*(1-G227),"")</f>
        <v>0</v>
      </c>
      <c r="J227" s="9" t="n">
        <f aca="false">IFERROR(I227*IFERROR(VLOOKUP(H227,VatRates,2,FALSE()),0),"")</f>
        <v>0</v>
      </c>
      <c r="K227" s="9" t="n">
        <f aca="false">IFERROR(I227+J227,"")</f>
        <v>0</v>
      </c>
    </row>
    <row r="228" customFormat="false" ht="15" hidden="false" customHeight="false" outlineLevel="0" collapsed="false">
      <c r="A228" s="10"/>
      <c r="B228" s="10"/>
      <c r="C228" s="10"/>
      <c r="D228" s="14" t="str">
        <f aca="false">IFERROR(IF(C228="","",INDEX(Products!$C$5:$C$504,MATCH(C228,Products!$A$5:$A$504,0))),"")</f>
        <v/>
      </c>
      <c r="E228" s="13" t="n">
        <v>1</v>
      </c>
      <c r="F228" s="11"/>
      <c r="G228" s="15" t="n">
        <v>0</v>
      </c>
      <c r="H228" s="10" t="s">
        <v>114</v>
      </c>
      <c r="I228" s="9" t="n">
        <f aca="false">IFERROR(E228*F228*(1-G228),"")</f>
        <v>0</v>
      </c>
      <c r="J228" s="9" t="n">
        <f aca="false">IFERROR(I228*IFERROR(VLOOKUP(H228,VatRates,2,FALSE()),0),"")</f>
        <v>0</v>
      </c>
      <c r="K228" s="9" t="n">
        <f aca="false">IFERROR(I228+J228,"")</f>
        <v>0</v>
      </c>
    </row>
    <row r="229" customFormat="false" ht="15" hidden="false" customHeight="false" outlineLevel="0" collapsed="false">
      <c r="A229" s="10"/>
      <c r="B229" s="10"/>
      <c r="C229" s="10"/>
      <c r="D229" s="14" t="str">
        <f aca="false">IFERROR(IF(C229="","",INDEX(Products!$C$5:$C$504,MATCH(C229,Products!$A$5:$A$504,0))),"")</f>
        <v/>
      </c>
      <c r="E229" s="13" t="n">
        <v>1</v>
      </c>
      <c r="F229" s="11"/>
      <c r="G229" s="15" t="n">
        <v>0</v>
      </c>
      <c r="H229" s="10" t="s">
        <v>114</v>
      </c>
      <c r="I229" s="9" t="n">
        <f aca="false">IFERROR(E229*F229*(1-G229),"")</f>
        <v>0</v>
      </c>
      <c r="J229" s="9" t="n">
        <f aca="false">IFERROR(I229*IFERROR(VLOOKUP(H229,VatRates,2,FALSE()),0),"")</f>
        <v>0</v>
      </c>
      <c r="K229" s="9" t="n">
        <f aca="false">IFERROR(I229+J229,"")</f>
        <v>0</v>
      </c>
    </row>
    <row r="230" customFormat="false" ht="15" hidden="false" customHeight="false" outlineLevel="0" collapsed="false">
      <c r="A230" s="10"/>
      <c r="B230" s="10"/>
      <c r="C230" s="10"/>
      <c r="D230" s="14" t="str">
        <f aca="false">IFERROR(IF(C230="","",INDEX(Products!$C$5:$C$504,MATCH(C230,Products!$A$5:$A$504,0))),"")</f>
        <v/>
      </c>
      <c r="E230" s="13" t="n">
        <v>1</v>
      </c>
      <c r="F230" s="11"/>
      <c r="G230" s="15" t="n">
        <v>0</v>
      </c>
      <c r="H230" s="10" t="s">
        <v>114</v>
      </c>
      <c r="I230" s="9" t="n">
        <f aca="false">IFERROR(E230*F230*(1-G230),"")</f>
        <v>0</v>
      </c>
      <c r="J230" s="9" t="n">
        <f aca="false">IFERROR(I230*IFERROR(VLOOKUP(H230,VatRates,2,FALSE()),0),"")</f>
        <v>0</v>
      </c>
      <c r="K230" s="9" t="n">
        <f aca="false">IFERROR(I230+J230,"")</f>
        <v>0</v>
      </c>
    </row>
    <row r="231" customFormat="false" ht="15" hidden="false" customHeight="false" outlineLevel="0" collapsed="false">
      <c r="A231" s="10"/>
      <c r="B231" s="10"/>
      <c r="C231" s="10"/>
      <c r="D231" s="14" t="str">
        <f aca="false">IFERROR(IF(C231="","",INDEX(Products!$C$5:$C$504,MATCH(C231,Products!$A$5:$A$504,0))),"")</f>
        <v/>
      </c>
      <c r="E231" s="13" t="n">
        <v>1</v>
      </c>
      <c r="F231" s="11"/>
      <c r="G231" s="15" t="n">
        <v>0</v>
      </c>
      <c r="H231" s="10" t="s">
        <v>114</v>
      </c>
      <c r="I231" s="9" t="n">
        <f aca="false">IFERROR(E231*F231*(1-G231),"")</f>
        <v>0</v>
      </c>
      <c r="J231" s="9" t="n">
        <f aca="false">IFERROR(I231*IFERROR(VLOOKUP(H231,VatRates,2,FALSE()),0),"")</f>
        <v>0</v>
      </c>
      <c r="K231" s="9" t="n">
        <f aca="false">IFERROR(I231+J231,"")</f>
        <v>0</v>
      </c>
    </row>
    <row r="232" customFormat="false" ht="15" hidden="false" customHeight="false" outlineLevel="0" collapsed="false">
      <c r="A232" s="10"/>
      <c r="B232" s="10"/>
      <c r="C232" s="10"/>
      <c r="D232" s="14" t="str">
        <f aca="false">IFERROR(IF(C232="","",INDEX(Products!$C$5:$C$504,MATCH(C232,Products!$A$5:$A$504,0))),"")</f>
        <v/>
      </c>
      <c r="E232" s="13" t="n">
        <v>1</v>
      </c>
      <c r="F232" s="11"/>
      <c r="G232" s="15" t="n">
        <v>0</v>
      </c>
      <c r="H232" s="10" t="s">
        <v>114</v>
      </c>
      <c r="I232" s="9" t="n">
        <f aca="false">IFERROR(E232*F232*(1-G232),"")</f>
        <v>0</v>
      </c>
      <c r="J232" s="9" t="n">
        <f aca="false">IFERROR(I232*IFERROR(VLOOKUP(H232,VatRates,2,FALSE()),0),"")</f>
        <v>0</v>
      </c>
      <c r="K232" s="9" t="n">
        <f aca="false">IFERROR(I232+J232,"")</f>
        <v>0</v>
      </c>
    </row>
    <row r="233" customFormat="false" ht="15" hidden="false" customHeight="false" outlineLevel="0" collapsed="false">
      <c r="A233" s="10"/>
      <c r="B233" s="10"/>
      <c r="C233" s="10"/>
      <c r="D233" s="14" t="str">
        <f aca="false">IFERROR(IF(C233="","",INDEX(Products!$C$5:$C$504,MATCH(C233,Products!$A$5:$A$504,0))),"")</f>
        <v/>
      </c>
      <c r="E233" s="13" t="n">
        <v>1</v>
      </c>
      <c r="F233" s="11"/>
      <c r="G233" s="15" t="n">
        <v>0</v>
      </c>
      <c r="H233" s="10" t="s">
        <v>114</v>
      </c>
      <c r="I233" s="9" t="n">
        <f aca="false">IFERROR(E233*F233*(1-G233),"")</f>
        <v>0</v>
      </c>
      <c r="J233" s="9" t="n">
        <f aca="false">IFERROR(I233*IFERROR(VLOOKUP(H233,VatRates,2,FALSE()),0),"")</f>
        <v>0</v>
      </c>
      <c r="K233" s="9" t="n">
        <f aca="false">IFERROR(I233+J233,"")</f>
        <v>0</v>
      </c>
    </row>
    <row r="234" customFormat="false" ht="15" hidden="false" customHeight="false" outlineLevel="0" collapsed="false">
      <c r="A234" s="10"/>
      <c r="B234" s="10"/>
      <c r="C234" s="10"/>
      <c r="D234" s="14" t="str">
        <f aca="false">IFERROR(IF(C234="","",INDEX(Products!$C$5:$C$504,MATCH(C234,Products!$A$5:$A$504,0))),"")</f>
        <v/>
      </c>
      <c r="E234" s="13" t="n">
        <v>1</v>
      </c>
      <c r="F234" s="11"/>
      <c r="G234" s="15" t="n">
        <v>0</v>
      </c>
      <c r="H234" s="10" t="s">
        <v>114</v>
      </c>
      <c r="I234" s="9" t="n">
        <f aca="false">IFERROR(E234*F234*(1-G234),"")</f>
        <v>0</v>
      </c>
      <c r="J234" s="9" t="n">
        <f aca="false">IFERROR(I234*IFERROR(VLOOKUP(H234,VatRates,2,FALSE()),0),"")</f>
        <v>0</v>
      </c>
      <c r="K234" s="9" t="n">
        <f aca="false">IFERROR(I234+J234,"")</f>
        <v>0</v>
      </c>
    </row>
    <row r="235" customFormat="false" ht="15" hidden="false" customHeight="false" outlineLevel="0" collapsed="false">
      <c r="A235" s="10"/>
      <c r="B235" s="10"/>
      <c r="C235" s="10"/>
      <c r="D235" s="14" t="str">
        <f aca="false">IFERROR(IF(C235="","",INDEX(Products!$C$5:$C$504,MATCH(C235,Products!$A$5:$A$504,0))),"")</f>
        <v/>
      </c>
      <c r="E235" s="13" t="n">
        <v>1</v>
      </c>
      <c r="F235" s="11"/>
      <c r="G235" s="15" t="n">
        <v>0</v>
      </c>
      <c r="H235" s="10" t="s">
        <v>114</v>
      </c>
      <c r="I235" s="9" t="n">
        <f aca="false">IFERROR(E235*F235*(1-G235),"")</f>
        <v>0</v>
      </c>
      <c r="J235" s="9" t="n">
        <f aca="false">IFERROR(I235*IFERROR(VLOOKUP(H235,VatRates,2,FALSE()),0),"")</f>
        <v>0</v>
      </c>
      <c r="K235" s="9" t="n">
        <f aca="false">IFERROR(I235+J235,"")</f>
        <v>0</v>
      </c>
    </row>
    <row r="236" customFormat="false" ht="15" hidden="false" customHeight="false" outlineLevel="0" collapsed="false">
      <c r="A236" s="10"/>
      <c r="B236" s="10"/>
      <c r="C236" s="10"/>
      <c r="D236" s="14" t="str">
        <f aca="false">IFERROR(IF(C236="","",INDEX(Products!$C$5:$C$504,MATCH(C236,Products!$A$5:$A$504,0))),"")</f>
        <v/>
      </c>
      <c r="E236" s="13" t="n">
        <v>1</v>
      </c>
      <c r="F236" s="11"/>
      <c r="G236" s="15" t="n">
        <v>0</v>
      </c>
      <c r="H236" s="10" t="s">
        <v>114</v>
      </c>
      <c r="I236" s="9" t="n">
        <f aca="false">IFERROR(E236*F236*(1-G236),"")</f>
        <v>0</v>
      </c>
      <c r="J236" s="9" t="n">
        <f aca="false">IFERROR(I236*IFERROR(VLOOKUP(H236,VatRates,2,FALSE()),0),"")</f>
        <v>0</v>
      </c>
      <c r="K236" s="9" t="n">
        <f aca="false">IFERROR(I236+J236,"")</f>
        <v>0</v>
      </c>
    </row>
    <row r="237" customFormat="false" ht="15" hidden="false" customHeight="false" outlineLevel="0" collapsed="false">
      <c r="A237" s="10"/>
      <c r="B237" s="10"/>
      <c r="C237" s="10"/>
      <c r="D237" s="14" t="str">
        <f aca="false">IFERROR(IF(C237="","",INDEX(Products!$C$5:$C$504,MATCH(C237,Products!$A$5:$A$504,0))),"")</f>
        <v/>
      </c>
      <c r="E237" s="13" t="n">
        <v>1</v>
      </c>
      <c r="F237" s="11"/>
      <c r="G237" s="15" t="n">
        <v>0</v>
      </c>
      <c r="H237" s="10" t="s">
        <v>114</v>
      </c>
      <c r="I237" s="9" t="n">
        <f aca="false">IFERROR(E237*F237*(1-G237),"")</f>
        <v>0</v>
      </c>
      <c r="J237" s="9" t="n">
        <f aca="false">IFERROR(I237*IFERROR(VLOOKUP(H237,VatRates,2,FALSE()),0),"")</f>
        <v>0</v>
      </c>
      <c r="K237" s="9" t="n">
        <f aca="false">IFERROR(I237+J237,"")</f>
        <v>0</v>
      </c>
    </row>
    <row r="238" customFormat="false" ht="15" hidden="false" customHeight="false" outlineLevel="0" collapsed="false">
      <c r="A238" s="10"/>
      <c r="B238" s="10"/>
      <c r="C238" s="10"/>
      <c r="D238" s="14" t="str">
        <f aca="false">IFERROR(IF(C238="","",INDEX(Products!$C$5:$C$504,MATCH(C238,Products!$A$5:$A$504,0))),"")</f>
        <v/>
      </c>
      <c r="E238" s="13" t="n">
        <v>1</v>
      </c>
      <c r="F238" s="11"/>
      <c r="G238" s="15" t="n">
        <v>0</v>
      </c>
      <c r="H238" s="10" t="s">
        <v>114</v>
      </c>
      <c r="I238" s="9" t="n">
        <f aca="false">IFERROR(E238*F238*(1-G238),"")</f>
        <v>0</v>
      </c>
      <c r="J238" s="9" t="n">
        <f aca="false">IFERROR(I238*IFERROR(VLOOKUP(H238,VatRates,2,FALSE()),0),"")</f>
        <v>0</v>
      </c>
      <c r="K238" s="9" t="n">
        <f aca="false">IFERROR(I238+J238,"")</f>
        <v>0</v>
      </c>
    </row>
    <row r="239" customFormat="false" ht="15" hidden="false" customHeight="false" outlineLevel="0" collapsed="false">
      <c r="A239" s="10"/>
      <c r="B239" s="10"/>
      <c r="C239" s="10"/>
      <c r="D239" s="14" t="str">
        <f aca="false">IFERROR(IF(C239="","",INDEX(Products!$C$5:$C$504,MATCH(C239,Products!$A$5:$A$504,0))),"")</f>
        <v/>
      </c>
      <c r="E239" s="13" t="n">
        <v>1</v>
      </c>
      <c r="F239" s="11"/>
      <c r="G239" s="15" t="n">
        <v>0</v>
      </c>
      <c r="H239" s="10" t="s">
        <v>114</v>
      </c>
      <c r="I239" s="9" t="n">
        <f aca="false">IFERROR(E239*F239*(1-G239),"")</f>
        <v>0</v>
      </c>
      <c r="J239" s="9" t="n">
        <f aca="false">IFERROR(I239*IFERROR(VLOOKUP(H239,VatRates,2,FALSE()),0),"")</f>
        <v>0</v>
      </c>
      <c r="K239" s="9" t="n">
        <f aca="false">IFERROR(I239+J239,"")</f>
        <v>0</v>
      </c>
    </row>
    <row r="240" customFormat="false" ht="15" hidden="false" customHeight="false" outlineLevel="0" collapsed="false">
      <c r="A240" s="10"/>
      <c r="B240" s="10"/>
      <c r="C240" s="10"/>
      <c r="D240" s="14" t="str">
        <f aca="false">IFERROR(IF(C240="","",INDEX(Products!$C$5:$C$504,MATCH(C240,Products!$A$5:$A$504,0))),"")</f>
        <v/>
      </c>
      <c r="E240" s="13" t="n">
        <v>1</v>
      </c>
      <c r="F240" s="11"/>
      <c r="G240" s="15" t="n">
        <v>0</v>
      </c>
      <c r="H240" s="10" t="s">
        <v>114</v>
      </c>
      <c r="I240" s="9" t="n">
        <f aca="false">IFERROR(E240*F240*(1-G240),"")</f>
        <v>0</v>
      </c>
      <c r="J240" s="9" t="n">
        <f aca="false">IFERROR(I240*IFERROR(VLOOKUP(H240,VatRates,2,FALSE()),0),"")</f>
        <v>0</v>
      </c>
      <c r="K240" s="9" t="n">
        <f aca="false">IFERROR(I240+J240,"")</f>
        <v>0</v>
      </c>
    </row>
    <row r="241" customFormat="false" ht="15" hidden="false" customHeight="false" outlineLevel="0" collapsed="false">
      <c r="A241" s="10"/>
      <c r="B241" s="10"/>
      <c r="C241" s="10"/>
      <c r="D241" s="14" t="str">
        <f aca="false">IFERROR(IF(C241="","",INDEX(Products!$C$5:$C$504,MATCH(C241,Products!$A$5:$A$504,0))),"")</f>
        <v/>
      </c>
      <c r="E241" s="13" t="n">
        <v>1</v>
      </c>
      <c r="F241" s="11"/>
      <c r="G241" s="15" t="n">
        <v>0</v>
      </c>
      <c r="H241" s="10" t="s">
        <v>114</v>
      </c>
      <c r="I241" s="9" t="n">
        <f aca="false">IFERROR(E241*F241*(1-G241),"")</f>
        <v>0</v>
      </c>
      <c r="J241" s="9" t="n">
        <f aca="false">IFERROR(I241*IFERROR(VLOOKUP(H241,VatRates,2,FALSE()),0),"")</f>
        <v>0</v>
      </c>
      <c r="K241" s="9" t="n">
        <f aca="false">IFERROR(I241+J241,"")</f>
        <v>0</v>
      </c>
    </row>
    <row r="242" customFormat="false" ht="15" hidden="false" customHeight="false" outlineLevel="0" collapsed="false">
      <c r="A242" s="10"/>
      <c r="B242" s="10"/>
      <c r="C242" s="10"/>
      <c r="D242" s="14" t="str">
        <f aca="false">IFERROR(IF(C242="","",INDEX(Products!$C$5:$C$504,MATCH(C242,Products!$A$5:$A$504,0))),"")</f>
        <v/>
      </c>
      <c r="E242" s="13" t="n">
        <v>1</v>
      </c>
      <c r="F242" s="11"/>
      <c r="G242" s="15" t="n">
        <v>0</v>
      </c>
      <c r="H242" s="10" t="s">
        <v>114</v>
      </c>
      <c r="I242" s="9" t="n">
        <f aca="false">IFERROR(E242*F242*(1-G242),"")</f>
        <v>0</v>
      </c>
      <c r="J242" s="9" t="n">
        <f aca="false">IFERROR(I242*IFERROR(VLOOKUP(H242,VatRates,2,FALSE()),0),"")</f>
        <v>0</v>
      </c>
      <c r="K242" s="9" t="n">
        <f aca="false">IFERROR(I242+J242,"")</f>
        <v>0</v>
      </c>
    </row>
    <row r="243" customFormat="false" ht="15" hidden="false" customHeight="false" outlineLevel="0" collapsed="false">
      <c r="A243" s="10"/>
      <c r="B243" s="10"/>
      <c r="C243" s="10"/>
      <c r="D243" s="14" t="str">
        <f aca="false">IFERROR(IF(C243="","",INDEX(Products!$C$5:$C$504,MATCH(C243,Products!$A$5:$A$504,0))),"")</f>
        <v/>
      </c>
      <c r="E243" s="13" t="n">
        <v>1</v>
      </c>
      <c r="F243" s="11"/>
      <c r="G243" s="15" t="n">
        <v>0</v>
      </c>
      <c r="H243" s="10" t="s">
        <v>114</v>
      </c>
      <c r="I243" s="9" t="n">
        <f aca="false">IFERROR(E243*F243*(1-G243),"")</f>
        <v>0</v>
      </c>
      <c r="J243" s="9" t="n">
        <f aca="false">IFERROR(I243*IFERROR(VLOOKUP(H243,VatRates,2,FALSE()),0),"")</f>
        <v>0</v>
      </c>
      <c r="K243" s="9" t="n">
        <f aca="false">IFERROR(I243+J243,"")</f>
        <v>0</v>
      </c>
    </row>
    <row r="244" customFormat="false" ht="15" hidden="false" customHeight="false" outlineLevel="0" collapsed="false">
      <c r="A244" s="10"/>
      <c r="B244" s="10"/>
      <c r="C244" s="10"/>
      <c r="D244" s="14" t="str">
        <f aca="false">IFERROR(IF(C244="","",INDEX(Products!$C$5:$C$504,MATCH(C244,Products!$A$5:$A$504,0))),"")</f>
        <v/>
      </c>
      <c r="E244" s="13" t="n">
        <v>1</v>
      </c>
      <c r="F244" s="11"/>
      <c r="G244" s="15" t="n">
        <v>0</v>
      </c>
      <c r="H244" s="10" t="s">
        <v>114</v>
      </c>
      <c r="I244" s="9" t="n">
        <f aca="false">IFERROR(E244*F244*(1-G244),"")</f>
        <v>0</v>
      </c>
      <c r="J244" s="9" t="n">
        <f aca="false">IFERROR(I244*IFERROR(VLOOKUP(H244,VatRates,2,FALSE()),0),"")</f>
        <v>0</v>
      </c>
      <c r="K244" s="9" t="n">
        <f aca="false">IFERROR(I244+J244,"")</f>
        <v>0</v>
      </c>
    </row>
    <row r="245" customFormat="false" ht="15" hidden="false" customHeight="false" outlineLevel="0" collapsed="false">
      <c r="A245" s="10"/>
      <c r="B245" s="10"/>
      <c r="C245" s="10"/>
      <c r="D245" s="14" t="str">
        <f aca="false">IFERROR(IF(C245="","",INDEX(Products!$C$5:$C$504,MATCH(C245,Products!$A$5:$A$504,0))),"")</f>
        <v/>
      </c>
      <c r="E245" s="13" t="n">
        <v>1</v>
      </c>
      <c r="F245" s="11"/>
      <c r="G245" s="15" t="n">
        <v>0</v>
      </c>
      <c r="H245" s="10" t="s">
        <v>114</v>
      </c>
      <c r="I245" s="9" t="n">
        <f aca="false">IFERROR(E245*F245*(1-G245),"")</f>
        <v>0</v>
      </c>
      <c r="J245" s="9" t="n">
        <f aca="false">IFERROR(I245*IFERROR(VLOOKUP(H245,VatRates,2,FALSE()),0),"")</f>
        <v>0</v>
      </c>
      <c r="K245" s="9" t="n">
        <f aca="false">IFERROR(I245+J245,"")</f>
        <v>0</v>
      </c>
    </row>
    <row r="246" customFormat="false" ht="15" hidden="false" customHeight="false" outlineLevel="0" collapsed="false">
      <c r="A246" s="10"/>
      <c r="B246" s="10"/>
      <c r="C246" s="10"/>
      <c r="D246" s="14" t="str">
        <f aca="false">IFERROR(IF(C246="","",INDEX(Products!$C$5:$C$504,MATCH(C246,Products!$A$5:$A$504,0))),"")</f>
        <v/>
      </c>
      <c r="E246" s="13" t="n">
        <v>1</v>
      </c>
      <c r="F246" s="11"/>
      <c r="G246" s="15" t="n">
        <v>0</v>
      </c>
      <c r="H246" s="10" t="s">
        <v>114</v>
      </c>
      <c r="I246" s="9" t="n">
        <f aca="false">IFERROR(E246*F246*(1-G246),"")</f>
        <v>0</v>
      </c>
      <c r="J246" s="9" t="n">
        <f aca="false">IFERROR(I246*IFERROR(VLOOKUP(H246,VatRates,2,FALSE()),0),"")</f>
        <v>0</v>
      </c>
      <c r="K246" s="9" t="n">
        <f aca="false">IFERROR(I246+J246,"")</f>
        <v>0</v>
      </c>
    </row>
    <row r="247" customFormat="false" ht="15" hidden="false" customHeight="false" outlineLevel="0" collapsed="false">
      <c r="A247" s="10"/>
      <c r="B247" s="10"/>
      <c r="C247" s="10"/>
      <c r="D247" s="14" t="str">
        <f aca="false">IFERROR(IF(C247="","",INDEX(Products!$C$5:$C$504,MATCH(C247,Products!$A$5:$A$504,0))),"")</f>
        <v/>
      </c>
      <c r="E247" s="13" t="n">
        <v>1</v>
      </c>
      <c r="F247" s="11"/>
      <c r="G247" s="15" t="n">
        <v>0</v>
      </c>
      <c r="H247" s="10" t="s">
        <v>114</v>
      </c>
      <c r="I247" s="9" t="n">
        <f aca="false">IFERROR(E247*F247*(1-G247),"")</f>
        <v>0</v>
      </c>
      <c r="J247" s="9" t="n">
        <f aca="false">IFERROR(I247*IFERROR(VLOOKUP(H247,VatRates,2,FALSE()),0),"")</f>
        <v>0</v>
      </c>
      <c r="K247" s="9" t="n">
        <f aca="false">IFERROR(I247+J247,"")</f>
        <v>0</v>
      </c>
    </row>
    <row r="248" customFormat="false" ht="15" hidden="false" customHeight="false" outlineLevel="0" collapsed="false">
      <c r="A248" s="10"/>
      <c r="B248" s="10"/>
      <c r="C248" s="10"/>
      <c r="D248" s="14" t="str">
        <f aca="false">IFERROR(IF(C248="","",INDEX(Products!$C$5:$C$504,MATCH(C248,Products!$A$5:$A$504,0))),"")</f>
        <v/>
      </c>
      <c r="E248" s="13" t="n">
        <v>1</v>
      </c>
      <c r="F248" s="11"/>
      <c r="G248" s="15" t="n">
        <v>0</v>
      </c>
      <c r="H248" s="10" t="s">
        <v>114</v>
      </c>
      <c r="I248" s="9" t="n">
        <f aca="false">IFERROR(E248*F248*(1-G248),"")</f>
        <v>0</v>
      </c>
      <c r="J248" s="9" t="n">
        <f aca="false">IFERROR(I248*IFERROR(VLOOKUP(H248,VatRates,2,FALSE()),0),"")</f>
        <v>0</v>
      </c>
      <c r="K248" s="9" t="n">
        <f aca="false">IFERROR(I248+J248,"")</f>
        <v>0</v>
      </c>
    </row>
    <row r="249" customFormat="false" ht="15" hidden="false" customHeight="false" outlineLevel="0" collapsed="false">
      <c r="A249" s="10"/>
      <c r="B249" s="10"/>
      <c r="C249" s="10"/>
      <c r="D249" s="14" t="str">
        <f aca="false">IFERROR(IF(C249="","",INDEX(Products!$C$5:$C$504,MATCH(C249,Products!$A$5:$A$504,0))),"")</f>
        <v/>
      </c>
      <c r="E249" s="13" t="n">
        <v>1</v>
      </c>
      <c r="F249" s="11"/>
      <c r="G249" s="15" t="n">
        <v>0</v>
      </c>
      <c r="H249" s="10" t="s">
        <v>114</v>
      </c>
      <c r="I249" s="9" t="n">
        <f aca="false">IFERROR(E249*F249*(1-G249),"")</f>
        <v>0</v>
      </c>
      <c r="J249" s="9" t="n">
        <f aca="false">IFERROR(I249*IFERROR(VLOOKUP(H249,VatRates,2,FALSE()),0),"")</f>
        <v>0</v>
      </c>
      <c r="K249" s="9" t="n">
        <f aca="false">IFERROR(I249+J249,"")</f>
        <v>0</v>
      </c>
    </row>
    <row r="250" customFormat="false" ht="15" hidden="false" customHeight="false" outlineLevel="0" collapsed="false">
      <c r="A250" s="10"/>
      <c r="B250" s="10"/>
      <c r="C250" s="10"/>
      <c r="D250" s="14" t="str">
        <f aca="false">IFERROR(IF(C250="","",INDEX(Products!$C$5:$C$504,MATCH(C250,Products!$A$5:$A$504,0))),"")</f>
        <v/>
      </c>
      <c r="E250" s="13" t="n">
        <v>1</v>
      </c>
      <c r="F250" s="11"/>
      <c r="G250" s="15" t="n">
        <v>0</v>
      </c>
      <c r="H250" s="10" t="s">
        <v>114</v>
      </c>
      <c r="I250" s="9" t="n">
        <f aca="false">IFERROR(E250*F250*(1-G250),"")</f>
        <v>0</v>
      </c>
      <c r="J250" s="9" t="n">
        <f aca="false">IFERROR(I250*IFERROR(VLOOKUP(H250,VatRates,2,FALSE()),0),"")</f>
        <v>0</v>
      </c>
      <c r="K250" s="9" t="n">
        <f aca="false">IFERROR(I250+J250,"")</f>
        <v>0</v>
      </c>
    </row>
    <row r="251" customFormat="false" ht="15" hidden="false" customHeight="false" outlineLevel="0" collapsed="false">
      <c r="A251" s="10"/>
      <c r="B251" s="10"/>
      <c r="C251" s="10"/>
      <c r="D251" s="14" t="str">
        <f aca="false">IFERROR(IF(C251="","",INDEX(Products!$C$5:$C$504,MATCH(C251,Products!$A$5:$A$504,0))),"")</f>
        <v/>
      </c>
      <c r="E251" s="13" t="n">
        <v>1</v>
      </c>
      <c r="F251" s="11"/>
      <c r="G251" s="15" t="n">
        <v>0</v>
      </c>
      <c r="H251" s="10" t="s">
        <v>114</v>
      </c>
      <c r="I251" s="9" t="n">
        <f aca="false">IFERROR(E251*F251*(1-G251),"")</f>
        <v>0</v>
      </c>
      <c r="J251" s="9" t="n">
        <f aca="false">IFERROR(I251*IFERROR(VLOOKUP(H251,VatRates,2,FALSE()),0),"")</f>
        <v>0</v>
      </c>
      <c r="K251" s="9" t="n">
        <f aca="false">IFERROR(I251+J251,"")</f>
        <v>0</v>
      </c>
    </row>
    <row r="252" customFormat="false" ht="15" hidden="false" customHeight="false" outlineLevel="0" collapsed="false">
      <c r="A252" s="10"/>
      <c r="B252" s="10"/>
      <c r="C252" s="10"/>
      <c r="D252" s="14" t="str">
        <f aca="false">IFERROR(IF(C252="","",INDEX(Products!$C$5:$C$504,MATCH(C252,Products!$A$5:$A$504,0))),"")</f>
        <v/>
      </c>
      <c r="E252" s="13" t="n">
        <v>1</v>
      </c>
      <c r="F252" s="11"/>
      <c r="G252" s="15" t="n">
        <v>0</v>
      </c>
      <c r="H252" s="10" t="s">
        <v>114</v>
      </c>
      <c r="I252" s="9" t="n">
        <f aca="false">IFERROR(E252*F252*(1-G252),"")</f>
        <v>0</v>
      </c>
      <c r="J252" s="9" t="n">
        <f aca="false">IFERROR(I252*IFERROR(VLOOKUP(H252,VatRates,2,FALSE()),0),"")</f>
        <v>0</v>
      </c>
      <c r="K252" s="9" t="n">
        <f aca="false">IFERROR(I252+J252,"")</f>
        <v>0</v>
      </c>
    </row>
    <row r="253" customFormat="false" ht="15" hidden="false" customHeight="false" outlineLevel="0" collapsed="false">
      <c r="A253" s="10"/>
      <c r="B253" s="10"/>
      <c r="C253" s="10"/>
      <c r="D253" s="14" t="str">
        <f aca="false">IFERROR(IF(C253="","",INDEX(Products!$C$5:$C$504,MATCH(C253,Products!$A$5:$A$504,0))),"")</f>
        <v/>
      </c>
      <c r="E253" s="13" t="n">
        <v>1</v>
      </c>
      <c r="F253" s="11"/>
      <c r="G253" s="15" t="n">
        <v>0</v>
      </c>
      <c r="H253" s="10" t="s">
        <v>114</v>
      </c>
      <c r="I253" s="9" t="n">
        <f aca="false">IFERROR(E253*F253*(1-G253),"")</f>
        <v>0</v>
      </c>
      <c r="J253" s="9" t="n">
        <f aca="false">IFERROR(I253*IFERROR(VLOOKUP(H253,VatRates,2,FALSE()),0),"")</f>
        <v>0</v>
      </c>
      <c r="K253" s="9" t="n">
        <f aca="false">IFERROR(I253+J253,"")</f>
        <v>0</v>
      </c>
    </row>
    <row r="254" customFormat="false" ht="15" hidden="false" customHeight="false" outlineLevel="0" collapsed="false">
      <c r="A254" s="10"/>
      <c r="B254" s="10"/>
      <c r="C254" s="10"/>
      <c r="D254" s="14" t="str">
        <f aca="false">IFERROR(IF(C254="","",INDEX(Products!$C$5:$C$504,MATCH(C254,Products!$A$5:$A$504,0))),"")</f>
        <v/>
      </c>
      <c r="E254" s="13" t="n">
        <v>1</v>
      </c>
      <c r="F254" s="11"/>
      <c r="G254" s="15" t="n">
        <v>0</v>
      </c>
      <c r="H254" s="10" t="s">
        <v>114</v>
      </c>
      <c r="I254" s="9" t="n">
        <f aca="false">IFERROR(E254*F254*(1-G254),"")</f>
        <v>0</v>
      </c>
      <c r="J254" s="9" t="n">
        <f aca="false">IFERROR(I254*IFERROR(VLOOKUP(H254,VatRates,2,FALSE()),0),"")</f>
        <v>0</v>
      </c>
      <c r="K254" s="9" t="n">
        <f aca="false">IFERROR(I254+J254,"")</f>
        <v>0</v>
      </c>
    </row>
    <row r="255" customFormat="false" ht="15" hidden="false" customHeight="false" outlineLevel="0" collapsed="false">
      <c r="A255" s="10"/>
      <c r="B255" s="10"/>
      <c r="C255" s="10"/>
      <c r="D255" s="14" t="str">
        <f aca="false">IFERROR(IF(C255="","",INDEX(Products!$C$5:$C$504,MATCH(C255,Products!$A$5:$A$504,0))),"")</f>
        <v/>
      </c>
      <c r="E255" s="13" t="n">
        <v>1</v>
      </c>
      <c r="F255" s="11"/>
      <c r="G255" s="15" t="n">
        <v>0</v>
      </c>
      <c r="H255" s="10" t="s">
        <v>114</v>
      </c>
      <c r="I255" s="9" t="n">
        <f aca="false">IFERROR(E255*F255*(1-G255),"")</f>
        <v>0</v>
      </c>
      <c r="J255" s="9" t="n">
        <f aca="false">IFERROR(I255*IFERROR(VLOOKUP(H255,VatRates,2,FALSE()),0),"")</f>
        <v>0</v>
      </c>
      <c r="K255" s="9" t="n">
        <f aca="false">IFERROR(I255+J255,"")</f>
        <v>0</v>
      </c>
    </row>
    <row r="256" customFormat="false" ht="15" hidden="false" customHeight="false" outlineLevel="0" collapsed="false">
      <c r="A256" s="10"/>
      <c r="B256" s="10"/>
      <c r="C256" s="10"/>
      <c r="D256" s="14" t="str">
        <f aca="false">IFERROR(IF(C256="","",INDEX(Products!$C$5:$C$504,MATCH(C256,Products!$A$5:$A$504,0))),"")</f>
        <v/>
      </c>
      <c r="E256" s="13" t="n">
        <v>1</v>
      </c>
      <c r="F256" s="11"/>
      <c r="G256" s="15" t="n">
        <v>0</v>
      </c>
      <c r="H256" s="10" t="s">
        <v>114</v>
      </c>
      <c r="I256" s="9" t="n">
        <f aca="false">IFERROR(E256*F256*(1-G256),"")</f>
        <v>0</v>
      </c>
      <c r="J256" s="9" t="n">
        <f aca="false">IFERROR(I256*IFERROR(VLOOKUP(H256,VatRates,2,FALSE()),0),"")</f>
        <v>0</v>
      </c>
      <c r="K256" s="9" t="n">
        <f aca="false">IFERROR(I256+J256,"")</f>
        <v>0</v>
      </c>
    </row>
    <row r="257" customFormat="false" ht="15" hidden="false" customHeight="false" outlineLevel="0" collapsed="false">
      <c r="A257" s="10"/>
      <c r="B257" s="10"/>
      <c r="C257" s="10"/>
      <c r="D257" s="14" t="str">
        <f aca="false">IFERROR(IF(C257="","",INDEX(Products!$C$5:$C$504,MATCH(C257,Products!$A$5:$A$504,0))),"")</f>
        <v/>
      </c>
      <c r="E257" s="13" t="n">
        <v>1</v>
      </c>
      <c r="F257" s="11"/>
      <c r="G257" s="15" t="n">
        <v>0</v>
      </c>
      <c r="H257" s="10" t="s">
        <v>114</v>
      </c>
      <c r="I257" s="9" t="n">
        <f aca="false">IFERROR(E257*F257*(1-G257),"")</f>
        <v>0</v>
      </c>
      <c r="J257" s="9" t="n">
        <f aca="false">IFERROR(I257*IFERROR(VLOOKUP(H257,VatRates,2,FALSE()),0),"")</f>
        <v>0</v>
      </c>
      <c r="K257" s="9" t="n">
        <f aca="false">IFERROR(I257+J257,"")</f>
        <v>0</v>
      </c>
    </row>
    <row r="258" customFormat="false" ht="15" hidden="false" customHeight="false" outlineLevel="0" collapsed="false">
      <c r="A258" s="10"/>
      <c r="B258" s="10"/>
      <c r="C258" s="10"/>
      <c r="D258" s="14" t="str">
        <f aca="false">IFERROR(IF(C258="","",INDEX(Products!$C$5:$C$504,MATCH(C258,Products!$A$5:$A$504,0))),"")</f>
        <v/>
      </c>
      <c r="E258" s="13" t="n">
        <v>1</v>
      </c>
      <c r="F258" s="11"/>
      <c r="G258" s="15" t="n">
        <v>0</v>
      </c>
      <c r="H258" s="10" t="s">
        <v>114</v>
      </c>
      <c r="I258" s="9" t="n">
        <f aca="false">IFERROR(E258*F258*(1-G258),"")</f>
        <v>0</v>
      </c>
      <c r="J258" s="9" t="n">
        <f aca="false">IFERROR(I258*IFERROR(VLOOKUP(H258,VatRates,2,FALSE()),0),"")</f>
        <v>0</v>
      </c>
      <c r="K258" s="9" t="n">
        <f aca="false">IFERROR(I258+J258,"")</f>
        <v>0</v>
      </c>
    </row>
    <row r="259" customFormat="false" ht="15" hidden="false" customHeight="false" outlineLevel="0" collapsed="false">
      <c r="A259" s="10"/>
      <c r="B259" s="10"/>
      <c r="C259" s="10"/>
      <c r="D259" s="14" t="str">
        <f aca="false">IFERROR(IF(C259="","",INDEX(Products!$C$5:$C$504,MATCH(C259,Products!$A$5:$A$504,0))),"")</f>
        <v/>
      </c>
      <c r="E259" s="13" t="n">
        <v>1</v>
      </c>
      <c r="F259" s="11"/>
      <c r="G259" s="15" t="n">
        <v>0</v>
      </c>
      <c r="H259" s="10" t="s">
        <v>114</v>
      </c>
      <c r="I259" s="9" t="n">
        <f aca="false">IFERROR(E259*F259*(1-G259),"")</f>
        <v>0</v>
      </c>
      <c r="J259" s="9" t="n">
        <f aca="false">IFERROR(I259*IFERROR(VLOOKUP(H259,VatRates,2,FALSE()),0),"")</f>
        <v>0</v>
      </c>
      <c r="K259" s="9" t="n">
        <f aca="false">IFERROR(I259+J259,"")</f>
        <v>0</v>
      </c>
    </row>
    <row r="260" customFormat="false" ht="15" hidden="false" customHeight="false" outlineLevel="0" collapsed="false">
      <c r="A260" s="10"/>
      <c r="B260" s="10"/>
      <c r="C260" s="10"/>
      <c r="D260" s="14" t="str">
        <f aca="false">IFERROR(IF(C260="","",INDEX(Products!$C$5:$C$504,MATCH(C260,Products!$A$5:$A$504,0))),"")</f>
        <v/>
      </c>
      <c r="E260" s="13" t="n">
        <v>1</v>
      </c>
      <c r="F260" s="11"/>
      <c r="G260" s="15" t="n">
        <v>0</v>
      </c>
      <c r="H260" s="10" t="s">
        <v>114</v>
      </c>
      <c r="I260" s="9" t="n">
        <f aca="false">IFERROR(E260*F260*(1-G260),"")</f>
        <v>0</v>
      </c>
      <c r="J260" s="9" t="n">
        <f aca="false">IFERROR(I260*IFERROR(VLOOKUP(H260,VatRates,2,FALSE()),0),"")</f>
        <v>0</v>
      </c>
      <c r="K260" s="9" t="n">
        <f aca="false">IFERROR(I260+J260,"")</f>
        <v>0</v>
      </c>
    </row>
    <row r="261" customFormat="false" ht="15" hidden="false" customHeight="false" outlineLevel="0" collapsed="false">
      <c r="A261" s="10"/>
      <c r="B261" s="10"/>
      <c r="C261" s="10"/>
      <c r="D261" s="14" t="str">
        <f aca="false">IFERROR(IF(C261="","",INDEX(Products!$C$5:$C$504,MATCH(C261,Products!$A$5:$A$504,0))),"")</f>
        <v/>
      </c>
      <c r="E261" s="13" t="n">
        <v>1</v>
      </c>
      <c r="F261" s="11"/>
      <c r="G261" s="15" t="n">
        <v>0</v>
      </c>
      <c r="H261" s="10" t="s">
        <v>114</v>
      </c>
      <c r="I261" s="9" t="n">
        <f aca="false">IFERROR(E261*F261*(1-G261),"")</f>
        <v>0</v>
      </c>
      <c r="J261" s="9" t="n">
        <f aca="false">IFERROR(I261*IFERROR(VLOOKUP(H261,VatRates,2,FALSE()),0),"")</f>
        <v>0</v>
      </c>
      <c r="K261" s="9" t="n">
        <f aca="false">IFERROR(I261+J261,"")</f>
        <v>0</v>
      </c>
    </row>
    <row r="262" customFormat="false" ht="15" hidden="false" customHeight="false" outlineLevel="0" collapsed="false">
      <c r="A262" s="10"/>
      <c r="B262" s="10"/>
      <c r="C262" s="10"/>
      <c r="D262" s="14" t="str">
        <f aca="false">IFERROR(IF(C262="","",INDEX(Products!$C$5:$C$504,MATCH(C262,Products!$A$5:$A$504,0))),"")</f>
        <v/>
      </c>
      <c r="E262" s="13" t="n">
        <v>1</v>
      </c>
      <c r="F262" s="11"/>
      <c r="G262" s="15" t="n">
        <v>0</v>
      </c>
      <c r="H262" s="10" t="s">
        <v>114</v>
      </c>
      <c r="I262" s="9" t="n">
        <f aca="false">IFERROR(E262*F262*(1-G262),"")</f>
        <v>0</v>
      </c>
      <c r="J262" s="9" t="n">
        <f aca="false">IFERROR(I262*IFERROR(VLOOKUP(H262,VatRates,2,FALSE()),0),"")</f>
        <v>0</v>
      </c>
      <c r="K262" s="9" t="n">
        <f aca="false">IFERROR(I262+J262,"")</f>
        <v>0</v>
      </c>
    </row>
    <row r="263" customFormat="false" ht="15" hidden="false" customHeight="false" outlineLevel="0" collapsed="false">
      <c r="A263" s="10"/>
      <c r="B263" s="10"/>
      <c r="C263" s="10"/>
      <c r="D263" s="14" t="str">
        <f aca="false">IFERROR(IF(C263="","",INDEX(Products!$C$5:$C$504,MATCH(C263,Products!$A$5:$A$504,0))),"")</f>
        <v/>
      </c>
      <c r="E263" s="13" t="n">
        <v>1</v>
      </c>
      <c r="F263" s="11"/>
      <c r="G263" s="15" t="n">
        <v>0</v>
      </c>
      <c r="H263" s="10" t="s">
        <v>114</v>
      </c>
      <c r="I263" s="9" t="n">
        <f aca="false">IFERROR(E263*F263*(1-G263),"")</f>
        <v>0</v>
      </c>
      <c r="J263" s="9" t="n">
        <f aca="false">IFERROR(I263*IFERROR(VLOOKUP(H263,VatRates,2,FALSE()),0),"")</f>
        <v>0</v>
      </c>
      <c r="K263" s="9" t="n">
        <f aca="false">IFERROR(I263+J263,"")</f>
        <v>0</v>
      </c>
    </row>
    <row r="264" customFormat="false" ht="15" hidden="false" customHeight="false" outlineLevel="0" collapsed="false">
      <c r="A264" s="10"/>
      <c r="B264" s="10"/>
      <c r="C264" s="10"/>
      <c r="D264" s="14" t="str">
        <f aca="false">IFERROR(IF(C264="","",INDEX(Products!$C$5:$C$504,MATCH(C264,Products!$A$5:$A$504,0))),"")</f>
        <v/>
      </c>
      <c r="E264" s="13" t="n">
        <v>1</v>
      </c>
      <c r="F264" s="11"/>
      <c r="G264" s="15" t="n">
        <v>0</v>
      </c>
      <c r="H264" s="10" t="s">
        <v>114</v>
      </c>
      <c r="I264" s="9" t="n">
        <f aca="false">IFERROR(E264*F264*(1-G264),"")</f>
        <v>0</v>
      </c>
      <c r="J264" s="9" t="n">
        <f aca="false">IFERROR(I264*IFERROR(VLOOKUP(H264,VatRates,2,FALSE()),0),"")</f>
        <v>0</v>
      </c>
      <c r="K264" s="9" t="n">
        <f aca="false">IFERROR(I264+J264,"")</f>
        <v>0</v>
      </c>
    </row>
    <row r="265" customFormat="false" ht="15" hidden="false" customHeight="false" outlineLevel="0" collapsed="false">
      <c r="A265" s="10"/>
      <c r="B265" s="10"/>
      <c r="C265" s="10"/>
      <c r="D265" s="14" t="str">
        <f aca="false">IFERROR(IF(C265="","",INDEX(Products!$C$5:$C$504,MATCH(C265,Products!$A$5:$A$504,0))),"")</f>
        <v/>
      </c>
      <c r="E265" s="13" t="n">
        <v>1</v>
      </c>
      <c r="F265" s="11"/>
      <c r="G265" s="15" t="n">
        <v>0</v>
      </c>
      <c r="H265" s="10" t="s">
        <v>114</v>
      </c>
      <c r="I265" s="9" t="n">
        <f aca="false">IFERROR(E265*F265*(1-G265),"")</f>
        <v>0</v>
      </c>
      <c r="J265" s="9" t="n">
        <f aca="false">IFERROR(I265*IFERROR(VLOOKUP(H265,VatRates,2,FALSE()),0),"")</f>
        <v>0</v>
      </c>
      <c r="K265" s="9" t="n">
        <f aca="false">IFERROR(I265+J265,"")</f>
        <v>0</v>
      </c>
    </row>
    <row r="266" customFormat="false" ht="15" hidden="false" customHeight="false" outlineLevel="0" collapsed="false">
      <c r="A266" s="10"/>
      <c r="B266" s="10"/>
      <c r="C266" s="10"/>
      <c r="D266" s="14" t="str">
        <f aca="false">IFERROR(IF(C266="","",INDEX(Products!$C$5:$C$504,MATCH(C266,Products!$A$5:$A$504,0))),"")</f>
        <v/>
      </c>
      <c r="E266" s="13" t="n">
        <v>1</v>
      </c>
      <c r="F266" s="11"/>
      <c r="G266" s="15" t="n">
        <v>0</v>
      </c>
      <c r="H266" s="10" t="s">
        <v>114</v>
      </c>
      <c r="I266" s="9" t="n">
        <f aca="false">IFERROR(E266*F266*(1-G266),"")</f>
        <v>0</v>
      </c>
      <c r="J266" s="9" t="n">
        <f aca="false">IFERROR(I266*IFERROR(VLOOKUP(H266,VatRates,2,FALSE()),0),"")</f>
        <v>0</v>
      </c>
      <c r="K266" s="9" t="n">
        <f aca="false">IFERROR(I266+J266,"")</f>
        <v>0</v>
      </c>
    </row>
    <row r="267" customFormat="false" ht="15" hidden="false" customHeight="false" outlineLevel="0" collapsed="false">
      <c r="A267" s="10"/>
      <c r="B267" s="10"/>
      <c r="C267" s="10"/>
      <c r="D267" s="14" t="str">
        <f aca="false">IFERROR(IF(C267="","",INDEX(Products!$C$5:$C$504,MATCH(C267,Products!$A$5:$A$504,0))),"")</f>
        <v/>
      </c>
      <c r="E267" s="13" t="n">
        <v>1</v>
      </c>
      <c r="F267" s="11"/>
      <c r="G267" s="15" t="n">
        <v>0</v>
      </c>
      <c r="H267" s="10" t="s">
        <v>114</v>
      </c>
      <c r="I267" s="9" t="n">
        <f aca="false">IFERROR(E267*F267*(1-G267),"")</f>
        <v>0</v>
      </c>
      <c r="J267" s="9" t="n">
        <f aca="false">IFERROR(I267*IFERROR(VLOOKUP(H267,VatRates,2,FALSE()),0),"")</f>
        <v>0</v>
      </c>
      <c r="K267" s="9" t="n">
        <f aca="false">IFERROR(I267+J267,"")</f>
        <v>0</v>
      </c>
    </row>
    <row r="268" customFormat="false" ht="15" hidden="false" customHeight="false" outlineLevel="0" collapsed="false">
      <c r="A268" s="10"/>
      <c r="B268" s="10"/>
      <c r="C268" s="10"/>
      <c r="D268" s="14" t="str">
        <f aca="false">IFERROR(IF(C268="","",INDEX(Products!$C$5:$C$504,MATCH(C268,Products!$A$5:$A$504,0))),"")</f>
        <v/>
      </c>
      <c r="E268" s="13" t="n">
        <v>1</v>
      </c>
      <c r="F268" s="11"/>
      <c r="G268" s="15" t="n">
        <v>0</v>
      </c>
      <c r="H268" s="10" t="s">
        <v>114</v>
      </c>
      <c r="I268" s="9" t="n">
        <f aca="false">IFERROR(E268*F268*(1-G268),"")</f>
        <v>0</v>
      </c>
      <c r="J268" s="9" t="n">
        <f aca="false">IFERROR(I268*IFERROR(VLOOKUP(H268,VatRates,2,FALSE()),0),"")</f>
        <v>0</v>
      </c>
      <c r="K268" s="9" t="n">
        <f aca="false">IFERROR(I268+J268,"")</f>
        <v>0</v>
      </c>
    </row>
    <row r="269" customFormat="false" ht="15" hidden="false" customHeight="false" outlineLevel="0" collapsed="false">
      <c r="A269" s="10"/>
      <c r="B269" s="10"/>
      <c r="C269" s="10"/>
      <c r="D269" s="14" t="str">
        <f aca="false">IFERROR(IF(C269="","",INDEX(Products!$C$5:$C$504,MATCH(C269,Products!$A$5:$A$504,0))),"")</f>
        <v/>
      </c>
      <c r="E269" s="13" t="n">
        <v>1</v>
      </c>
      <c r="F269" s="11"/>
      <c r="G269" s="15" t="n">
        <v>0</v>
      </c>
      <c r="H269" s="10" t="s">
        <v>114</v>
      </c>
      <c r="I269" s="9" t="n">
        <f aca="false">IFERROR(E269*F269*(1-G269),"")</f>
        <v>0</v>
      </c>
      <c r="J269" s="9" t="n">
        <f aca="false">IFERROR(I269*IFERROR(VLOOKUP(H269,VatRates,2,FALSE()),0),"")</f>
        <v>0</v>
      </c>
      <c r="K269" s="9" t="n">
        <f aca="false">IFERROR(I269+J269,"")</f>
        <v>0</v>
      </c>
    </row>
    <row r="270" customFormat="false" ht="15" hidden="false" customHeight="false" outlineLevel="0" collapsed="false">
      <c r="A270" s="10"/>
      <c r="B270" s="10"/>
      <c r="C270" s="10"/>
      <c r="D270" s="14" t="str">
        <f aca="false">IFERROR(IF(C270="","",INDEX(Products!$C$5:$C$504,MATCH(C270,Products!$A$5:$A$504,0))),"")</f>
        <v/>
      </c>
      <c r="E270" s="13" t="n">
        <v>1</v>
      </c>
      <c r="F270" s="11"/>
      <c r="G270" s="15" t="n">
        <v>0</v>
      </c>
      <c r="H270" s="10" t="s">
        <v>114</v>
      </c>
      <c r="I270" s="9" t="n">
        <f aca="false">IFERROR(E270*F270*(1-G270),"")</f>
        <v>0</v>
      </c>
      <c r="J270" s="9" t="n">
        <f aca="false">IFERROR(I270*IFERROR(VLOOKUP(H270,VatRates,2,FALSE()),0),"")</f>
        <v>0</v>
      </c>
      <c r="K270" s="9" t="n">
        <f aca="false">IFERROR(I270+J270,"")</f>
        <v>0</v>
      </c>
    </row>
    <row r="271" customFormat="false" ht="15" hidden="false" customHeight="false" outlineLevel="0" collapsed="false">
      <c r="A271" s="10"/>
      <c r="B271" s="10"/>
      <c r="C271" s="10"/>
      <c r="D271" s="14" t="str">
        <f aca="false">IFERROR(IF(C271="","",INDEX(Products!$C$5:$C$504,MATCH(C271,Products!$A$5:$A$504,0))),"")</f>
        <v/>
      </c>
      <c r="E271" s="13" t="n">
        <v>1</v>
      </c>
      <c r="F271" s="11"/>
      <c r="G271" s="15" t="n">
        <v>0</v>
      </c>
      <c r="H271" s="10" t="s">
        <v>114</v>
      </c>
      <c r="I271" s="9" t="n">
        <f aca="false">IFERROR(E271*F271*(1-G271),"")</f>
        <v>0</v>
      </c>
      <c r="J271" s="9" t="n">
        <f aca="false">IFERROR(I271*IFERROR(VLOOKUP(H271,VatRates,2,FALSE()),0),"")</f>
        <v>0</v>
      </c>
      <c r="K271" s="9" t="n">
        <f aca="false">IFERROR(I271+J271,"")</f>
        <v>0</v>
      </c>
    </row>
    <row r="272" customFormat="false" ht="15" hidden="false" customHeight="false" outlineLevel="0" collapsed="false">
      <c r="A272" s="10"/>
      <c r="B272" s="10"/>
      <c r="C272" s="10"/>
      <c r="D272" s="14" t="str">
        <f aca="false">IFERROR(IF(C272="","",INDEX(Products!$C$5:$C$504,MATCH(C272,Products!$A$5:$A$504,0))),"")</f>
        <v/>
      </c>
      <c r="E272" s="13" t="n">
        <v>1</v>
      </c>
      <c r="F272" s="11"/>
      <c r="G272" s="15" t="n">
        <v>0</v>
      </c>
      <c r="H272" s="10" t="s">
        <v>114</v>
      </c>
      <c r="I272" s="9" t="n">
        <f aca="false">IFERROR(E272*F272*(1-G272),"")</f>
        <v>0</v>
      </c>
      <c r="J272" s="9" t="n">
        <f aca="false">IFERROR(I272*IFERROR(VLOOKUP(H272,VatRates,2,FALSE()),0),"")</f>
        <v>0</v>
      </c>
      <c r="K272" s="9" t="n">
        <f aca="false">IFERROR(I272+J272,"")</f>
        <v>0</v>
      </c>
    </row>
    <row r="273" customFormat="false" ht="15" hidden="false" customHeight="false" outlineLevel="0" collapsed="false">
      <c r="A273" s="10"/>
      <c r="B273" s="10"/>
      <c r="C273" s="10"/>
      <c r="D273" s="14" t="str">
        <f aca="false">IFERROR(IF(C273="","",INDEX(Products!$C$5:$C$504,MATCH(C273,Products!$A$5:$A$504,0))),"")</f>
        <v/>
      </c>
      <c r="E273" s="13" t="n">
        <v>1</v>
      </c>
      <c r="F273" s="11"/>
      <c r="G273" s="15" t="n">
        <v>0</v>
      </c>
      <c r="H273" s="10" t="s">
        <v>114</v>
      </c>
      <c r="I273" s="9" t="n">
        <f aca="false">IFERROR(E273*F273*(1-G273),"")</f>
        <v>0</v>
      </c>
      <c r="J273" s="9" t="n">
        <f aca="false">IFERROR(I273*IFERROR(VLOOKUP(H273,VatRates,2,FALSE()),0),"")</f>
        <v>0</v>
      </c>
      <c r="K273" s="9" t="n">
        <f aca="false">IFERROR(I273+J273,"")</f>
        <v>0</v>
      </c>
    </row>
    <row r="274" customFormat="false" ht="15" hidden="false" customHeight="false" outlineLevel="0" collapsed="false">
      <c r="A274" s="10"/>
      <c r="B274" s="10"/>
      <c r="C274" s="10"/>
      <c r="D274" s="14" t="str">
        <f aca="false">IFERROR(IF(C274="","",INDEX(Products!$C$5:$C$504,MATCH(C274,Products!$A$5:$A$504,0))),"")</f>
        <v/>
      </c>
      <c r="E274" s="13" t="n">
        <v>1</v>
      </c>
      <c r="F274" s="11"/>
      <c r="G274" s="15" t="n">
        <v>0</v>
      </c>
      <c r="H274" s="10" t="s">
        <v>114</v>
      </c>
      <c r="I274" s="9" t="n">
        <f aca="false">IFERROR(E274*F274*(1-G274),"")</f>
        <v>0</v>
      </c>
      <c r="J274" s="9" t="n">
        <f aca="false">IFERROR(I274*IFERROR(VLOOKUP(H274,VatRates,2,FALSE()),0),"")</f>
        <v>0</v>
      </c>
      <c r="K274" s="9" t="n">
        <f aca="false">IFERROR(I274+J274,"")</f>
        <v>0</v>
      </c>
    </row>
    <row r="275" customFormat="false" ht="15" hidden="false" customHeight="false" outlineLevel="0" collapsed="false">
      <c r="A275" s="10"/>
      <c r="B275" s="10"/>
      <c r="C275" s="10"/>
      <c r="D275" s="14" t="str">
        <f aca="false">IFERROR(IF(C275="","",INDEX(Products!$C$5:$C$504,MATCH(C275,Products!$A$5:$A$504,0))),"")</f>
        <v/>
      </c>
      <c r="E275" s="13" t="n">
        <v>1</v>
      </c>
      <c r="F275" s="11"/>
      <c r="G275" s="15" t="n">
        <v>0</v>
      </c>
      <c r="H275" s="10" t="s">
        <v>114</v>
      </c>
      <c r="I275" s="9" t="n">
        <f aca="false">IFERROR(E275*F275*(1-G275),"")</f>
        <v>0</v>
      </c>
      <c r="J275" s="9" t="n">
        <f aca="false">IFERROR(I275*IFERROR(VLOOKUP(H275,VatRates,2,FALSE()),0),"")</f>
        <v>0</v>
      </c>
      <c r="K275" s="9" t="n">
        <f aca="false">IFERROR(I275+J275,"")</f>
        <v>0</v>
      </c>
    </row>
    <row r="276" customFormat="false" ht="15" hidden="false" customHeight="false" outlineLevel="0" collapsed="false">
      <c r="A276" s="10"/>
      <c r="B276" s="10"/>
      <c r="C276" s="10"/>
      <c r="D276" s="14" t="str">
        <f aca="false">IFERROR(IF(C276="","",INDEX(Products!$C$5:$C$504,MATCH(C276,Products!$A$5:$A$504,0))),"")</f>
        <v/>
      </c>
      <c r="E276" s="13" t="n">
        <v>1</v>
      </c>
      <c r="F276" s="11"/>
      <c r="G276" s="15" t="n">
        <v>0</v>
      </c>
      <c r="H276" s="10" t="s">
        <v>114</v>
      </c>
      <c r="I276" s="9" t="n">
        <f aca="false">IFERROR(E276*F276*(1-G276),"")</f>
        <v>0</v>
      </c>
      <c r="J276" s="9" t="n">
        <f aca="false">IFERROR(I276*IFERROR(VLOOKUP(H276,VatRates,2,FALSE()),0),"")</f>
        <v>0</v>
      </c>
      <c r="K276" s="9" t="n">
        <f aca="false">IFERROR(I276+J276,"")</f>
        <v>0</v>
      </c>
    </row>
    <row r="277" customFormat="false" ht="15" hidden="false" customHeight="false" outlineLevel="0" collapsed="false">
      <c r="A277" s="10"/>
      <c r="B277" s="10"/>
      <c r="C277" s="10"/>
      <c r="D277" s="14" t="str">
        <f aca="false">IFERROR(IF(C277="","",INDEX(Products!$C$5:$C$504,MATCH(C277,Products!$A$5:$A$504,0))),"")</f>
        <v/>
      </c>
      <c r="E277" s="13" t="n">
        <v>1</v>
      </c>
      <c r="F277" s="11"/>
      <c r="G277" s="15" t="n">
        <v>0</v>
      </c>
      <c r="H277" s="10" t="s">
        <v>114</v>
      </c>
      <c r="I277" s="9" t="n">
        <f aca="false">IFERROR(E277*F277*(1-G277),"")</f>
        <v>0</v>
      </c>
      <c r="J277" s="9" t="n">
        <f aca="false">IFERROR(I277*IFERROR(VLOOKUP(H277,VatRates,2,FALSE()),0),"")</f>
        <v>0</v>
      </c>
      <c r="K277" s="9" t="n">
        <f aca="false">IFERROR(I277+J277,"")</f>
        <v>0</v>
      </c>
    </row>
    <row r="278" customFormat="false" ht="15" hidden="false" customHeight="false" outlineLevel="0" collapsed="false">
      <c r="A278" s="10"/>
      <c r="B278" s="10"/>
      <c r="C278" s="10"/>
      <c r="D278" s="14" t="str">
        <f aca="false">IFERROR(IF(C278="","",INDEX(Products!$C$5:$C$504,MATCH(C278,Products!$A$5:$A$504,0))),"")</f>
        <v/>
      </c>
      <c r="E278" s="13" t="n">
        <v>1</v>
      </c>
      <c r="F278" s="11"/>
      <c r="G278" s="15" t="n">
        <v>0</v>
      </c>
      <c r="H278" s="10" t="s">
        <v>114</v>
      </c>
      <c r="I278" s="9" t="n">
        <f aca="false">IFERROR(E278*F278*(1-G278),"")</f>
        <v>0</v>
      </c>
      <c r="J278" s="9" t="n">
        <f aca="false">IFERROR(I278*IFERROR(VLOOKUP(H278,VatRates,2,FALSE()),0),"")</f>
        <v>0</v>
      </c>
      <c r="K278" s="9" t="n">
        <f aca="false">IFERROR(I278+J278,"")</f>
        <v>0</v>
      </c>
    </row>
    <row r="279" customFormat="false" ht="15" hidden="false" customHeight="false" outlineLevel="0" collapsed="false">
      <c r="A279" s="10"/>
      <c r="B279" s="10"/>
      <c r="C279" s="10"/>
      <c r="D279" s="14" t="str">
        <f aca="false">IFERROR(IF(C279="","",INDEX(Products!$C$5:$C$504,MATCH(C279,Products!$A$5:$A$504,0))),"")</f>
        <v/>
      </c>
      <c r="E279" s="13" t="n">
        <v>1</v>
      </c>
      <c r="F279" s="11"/>
      <c r="G279" s="15" t="n">
        <v>0</v>
      </c>
      <c r="H279" s="10" t="s">
        <v>114</v>
      </c>
      <c r="I279" s="9" t="n">
        <f aca="false">IFERROR(E279*F279*(1-G279),"")</f>
        <v>0</v>
      </c>
      <c r="J279" s="9" t="n">
        <f aca="false">IFERROR(I279*IFERROR(VLOOKUP(H279,VatRates,2,FALSE()),0),"")</f>
        <v>0</v>
      </c>
      <c r="K279" s="9" t="n">
        <f aca="false">IFERROR(I279+J279,"")</f>
        <v>0</v>
      </c>
    </row>
    <row r="280" customFormat="false" ht="15" hidden="false" customHeight="false" outlineLevel="0" collapsed="false">
      <c r="A280" s="10"/>
      <c r="B280" s="10"/>
      <c r="C280" s="10"/>
      <c r="D280" s="14" t="str">
        <f aca="false">IFERROR(IF(C280="","",INDEX(Products!$C$5:$C$504,MATCH(C280,Products!$A$5:$A$504,0))),"")</f>
        <v/>
      </c>
      <c r="E280" s="13" t="n">
        <v>1</v>
      </c>
      <c r="F280" s="11"/>
      <c r="G280" s="15" t="n">
        <v>0</v>
      </c>
      <c r="H280" s="10" t="s">
        <v>114</v>
      </c>
      <c r="I280" s="9" t="n">
        <f aca="false">IFERROR(E280*F280*(1-G280),"")</f>
        <v>0</v>
      </c>
      <c r="J280" s="9" t="n">
        <f aca="false">IFERROR(I280*IFERROR(VLOOKUP(H280,VatRates,2,FALSE()),0),"")</f>
        <v>0</v>
      </c>
      <c r="K280" s="9" t="n">
        <f aca="false">IFERROR(I280+J280,"")</f>
        <v>0</v>
      </c>
    </row>
    <row r="281" customFormat="false" ht="15" hidden="false" customHeight="false" outlineLevel="0" collapsed="false">
      <c r="A281" s="10"/>
      <c r="B281" s="10"/>
      <c r="C281" s="10"/>
      <c r="D281" s="14" t="str">
        <f aca="false">IFERROR(IF(C281="","",INDEX(Products!$C$5:$C$504,MATCH(C281,Products!$A$5:$A$504,0))),"")</f>
        <v/>
      </c>
      <c r="E281" s="13" t="n">
        <v>1</v>
      </c>
      <c r="F281" s="11"/>
      <c r="G281" s="15" t="n">
        <v>0</v>
      </c>
      <c r="H281" s="10" t="s">
        <v>114</v>
      </c>
      <c r="I281" s="9" t="n">
        <f aca="false">IFERROR(E281*F281*(1-G281),"")</f>
        <v>0</v>
      </c>
      <c r="J281" s="9" t="n">
        <f aca="false">IFERROR(I281*IFERROR(VLOOKUP(H281,VatRates,2,FALSE()),0),"")</f>
        <v>0</v>
      </c>
      <c r="K281" s="9" t="n">
        <f aca="false">IFERROR(I281+J281,"")</f>
        <v>0</v>
      </c>
    </row>
    <row r="282" customFormat="false" ht="15" hidden="false" customHeight="false" outlineLevel="0" collapsed="false">
      <c r="A282" s="10"/>
      <c r="B282" s="10"/>
      <c r="C282" s="10"/>
      <c r="D282" s="14" t="str">
        <f aca="false">IFERROR(IF(C282="","",INDEX(Products!$C$5:$C$504,MATCH(C282,Products!$A$5:$A$504,0))),"")</f>
        <v/>
      </c>
      <c r="E282" s="13" t="n">
        <v>1</v>
      </c>
      <c r="F282" s="11"/>
      <c r="G282" s="15" t="n">
        <v>0</v>
      </c>
      <c r="H282" s="10" t="s">
        <v>114</v>
      </c>
      <c r="I282" s="9" t="n">
        <f aca="false">IFERROR(E282*F282*(1-G282),"")</f>
        <v>0</v>
      </c>
      <c r="J282" s="9" t="n">
        <f aca="false">IFERROR(I282*IFERROR(VLOOKUP(H282,VatRates,2,FALSE()),0),"")</f>
        <v>0</v>
      </c>
      <c r="K282" s="9" t="n">
        <f aca="false">IFERROR(I282+J282,"")</f>
        <v>0</v>
      </c>
    </row>
    <row r="283" customFormat="false" ht="15" hidden="false" customHeight="false" outlineLevel="0" collapsed="false">
      <c r="A283" s="10"/>
      <c r="B283" s="10"/>
      <c r="C283" s="10"/>
      <c r="D283" s="14" t="str">
        <f aca="false">IFERROR(IF(C283="","",INDEX(Products!$C$5:$C$504,MATCH(C283,Products!$A$5:$A$504,0))),"")</f>
        <v/>
      </c>
      <c r="E283" s="13" t="n">
        <v>1</v>
      </c>
      <c r="F283" s="11"/>
      <c r="G283" s="15" t="n">
        <v>0</v>
      </c>
      <c r="H283" s="10" t="s">
        <v>114</v>
      </c>
      <c r="I283" s="9" t="n">
        <f aca="false">IFERROR(E283*F283*(1-G283),"")</f>
        <v>0</v>
      </c>
      <c r="J283" s="9" t="n">
        <f aca="false">IFERROR(I283*IFERROR(VLOOKUP(H283,VatRates,2,FALSE()),0),"")</f>
        <v>0</v>
      </c>
      <c r="K283" s="9" t="n">
        <f aca="false">IFERROR(I283+J283,"")</f>
        <v>0</v>
      </c>
    </row>
    <row r="284" customFormat="false" ht="15" hidden="false" customHeight="false" outlineLevel="0" collapsed="false">
      <c r="A284" s="10"/>
      <c r="B284" s="10"/>
      <c r="C284" s="10"/>
      <c r="D284" s="14" t="str">
        <f aca="false">IFERROR(IF(C284="","",INDEX(Products!$C$5:$C$504,MATCH(C284,Products!$A$5:$A$504,0))),"")</f>
        <v/>
      </c>
      <c r="E284" s="13" t="n">
        <v>1</v>
      </c>
      <c r="F284" s="11"/>
      <c r="G284" s="15" t="n">
        <v>0</v>
      </c>
      <c r="H284" s="10" t="s">
        <v>114</v>
      </c>
      <c r="I284" s="9" t="n">
        <f aca="false">IFERROR(E284*F284*(1-G284),"")</f>
        <v>0</v>
      </c>
      <c r="J284" s="9" t="n">
        <f aca="false">IFERROR(I284*IFERROR(VLOOKUP(H284,VatRates,2,FALSE()),0),"")</f>
        <v>0</v>
      </c>
      <c r="K284" s="9" t="n">
        <f aca="false">IFERROR(I284+J284,"")</f>
        <v>0</v>
      </c>
    </row>
    <row r="285" customFormat="false" ht="15" hidden="false" customHeight="false" outlineLevel="0" collapsed="false">
      <c r="A285" s="10"/>
      <c r="B285" s="10"/>
      <c r="C285" s="10"/>
      <c r="D285" s="14" t="str">
        <f aca="false">IFERROR(IF(C285="","",INDEX(Products!$C$5:$C$504,MATCH(C285,Products!$A$5:$A$504,0))),"")</f>
        <v/>
      </c>
      <c r="E285" s="13" t="n">
        <v>1</v>
      </c>
      <c r="F285" s="11"/>
      <c r="G285" s="15" t="n">
        <v>0</v>
      </c>
      <c r="H285" s="10" t="s">
        <v>114</v>
      </c>
      <c r="I285" s="9" t="n">
        <f aca="false">IFERROR(E285*F285*(1-G285),"")</f>
        <v>0</v>
      </c>
      <c r="J285" s="9" t="n">
        <f aca="false">IFERROR(I285*IFERROR(VLOOKUP(H285,VatRates,2,FALSE()),0),"")</f>
        <v>0</v>
      </c>
      <c r="K285" s="9" t="n">
        <f aca="false">IFERROR(I285+J285,"")</f>
        <v>0</v>
      </c>
    </row>
    <row r="286" customFormat="false" ht="15" hidden="false" customHeight="false" outlineLevel="0" collapsed="false">
      <c r="A286" s="10"/>
      <c r="B286" s="10"/>
      <c r="C286" s="10"/>
      <c r="D286" s="14" t="str">
        <f aca="false">IFERROR(IF(C286="","",INDEX(Products!$C$5:$C$504,MATCH(C286,Products!$A$5:$A$504,0))),"")</f>
        <v/>
      </c>
      <c r="E286" s="13" t="n">
        <v>1</v>
      </c>
      <c r="F286" s="11"/>
      <c r="G286" s="15" t="n">
        <v>0</v>
      </c>
      <c r="H286" s="10" t="s">
        <v>114</v>
      </c>
      <c r="I286" s="9" t="n">
        <f aca="false">IFERROR(E286*F286*(1-G286),"")</f>
        <v>0</v>
      </c>
      <c r="J286" s="9" t="n">
        <f aca="false">IFERROR(I286*IFERROR(VLOOKUP(H286,VatRates,2,FALSE()),0),"")</f>
        <v>0</v>
      </c>
      <c r="K286" s="9" t="n">
        <f aca="false">IFERROR(I286+J286,"")</f>
        <v>0</v>
      </c>
    </row>
    <row r="287" customFormat="false" ht="15" hidden="false" customHeight="false" outlineLevel="0" collapsed="false">
      <c r="A287" s="10"/>
      <c r="B287" s="10"/>
      <c r="C287" s="10"/>
      <c r="D287" s="14" t="str">
        <f aca="false">IFERROR(IF(C287="","",INDEX(Products!$C$5:$C$504,MATCH(C287,Products!$A$5:$A$504,0))),"")</f>
        <v/>
      </c>
      <c r="E287" s="13" t="n">
        <v>1</v>
      </c>
      <c r="F287" s="11"/>
      <c r="G287" s="15" t="n">
        <v>0</v>
      </c>
      <c r="H287" s="10" t="s">
        <v>114</v>
      </c>
      <c r="I287" s="9" t="n">
        <f aca="false">IFERROR(E287*F287*(1-G287),"")</f>
        <v>0</v>
      </c>
      <c r="J287" s="9" t="n">
        <f aca="false">IFERROR(I287*IFERROR(VLOOKUP(H287,VatRates,2,FALSE()),0),"")</f>
        <v>0</v>
      </c>
      <c r="K287" s="9" t="n">
        <f aca="false">IFERROR(I287+J287,"")</f>
        <v>0</v>
      </c>
    </row>
    <row r="288" customFormat="false" ht="15" hidden="false" customHeight="false" outlineLevel="0" collapsed="false">
      <c r="A288" s="10"/>
      <c r="B288" s="10"/>
      <c r="C288" s="10"/>
      <c r="D288" s="14" t="str">
        <f aca="false">IFERROR(IF(C288="","",INDEX(Products!$C$5:$C$504,MATCH(C288,Products!$A$5:$A$504,0))),"")</f>
        <v/>
      </c>
      <c r="E288" s="13" t="n">
        <v>1</v>
      </c>
      <c r="F288" s="11"/>
      <c r="G288" s="15" t="n">
        <v>0</v>
      </c>
      <c r="H288" s="10" t="s">
        <v>114</v>
      </c>
      <c r="I288" s="9" t="n">
        <f aca="false">IFERROR(E288*F288*(1-G288),"")</f>
        <v>0</v>
      </c>
      <c r="J288" s="9" t="n">
        <f aca="false">IFERROR(I288*IFERROR(VLOOKUP(H288,VatRates,2,FALSE()),0),"")</f>
        <v>0</v>
      </c>
      <c r="K288" s="9" t="n">
        <f aca="false">IFERROR(I288+J288,"")</f>
        <v>0</v>
      </c>
    </row>
    <row r="289" customFormat="false" ht="15" hidden="false" customHeight="false" outlineLevel="0" collapsed="false">
      <c r="A289" s="10"/>
      <c r="B289" s="10"/>
      <c r="C289" s="10"/>
      <c r="D289" s="14" t="str">
        <f aca="false">IFERROR(IF(C289="","",INDEX(Products!$C$5:$C$504,MATCH(C289,Products!$A$5:$A$504,0))),"")</f>
        <v/>
      </c>
      <c r="E289" s="13" t="n">
        <v>1</v>
      </c>
      <c r="F289" s="11"/>
      <c r="G289" s="15" t="n">
        <v>0</v>
      </c>
      <c r="H289" s="10" t="s">
        <v>114</v>
      </c>
      <c r="I289" s="9" t="n">
        <f aca="false">IFERROR(E289*F289*(1-G289),"")</f>
        <v>0</v>
      </c>
      <c r="J289" s="9" t="n">
        <f aca="false">IFERROR(I289*IFERROR(VLOOKUP(H289,VatRates,2,FALSE()),0),"")</f>
        <v>0</v>
      </c>
      <c r="K289" s="9" t="n">
        <f aca="false">IFERROR(I289+J289,"")</f>
        <v>0</v>
      </c>
    </row>
    <row r="290" customFormat="false" ht="15" hidden="false" customHeight="false" outlineLevel="0" collapsed="false">
      <c r="A290" s="10"/>
      <c r="B290" s="10"/>
      <c r="C290" s="10"/>
      <c r="D290" s="14" t="str">
        <f aca="false">IFERROR(IF(C290="","",INDEX(Products!$C$5:$C$504,MATCH(C290,Products!$A$5:$A$504,0))),"")</f>
        <v/>
      </c>
      <c r="E290" s="13" t="n">
        <v>1</v>
      </c>
      <c r="F290" s="11"/>
      <c r="G290" s="15" t="n">
        <v>0</v>
      </c>
      <c r="H290" s="10" t="s">
        <v>114</v>
      </c>
      <c r="I290" s="9" t="n">
        <f aca="false">IFERROR(E290*F290*(1-G290),"")</f>
        <v>0</v>
      </c>
      <c r="J290" s="9" t="n">
        <f aca="false">IFERROR(I290*IFERROR(VLOOKUP(H290,VatRates,2,FALSE()),0),"")</f>
        <v>0</v>
      </c>
      <c r="K290" s="9" t="n">
        <f aca="false">IFERROR(I290+J290,"")</f>
        <v>0</v>
      </c>
    </row>
    <row r="291" customFormat="false" ht="15" hidden="false" customHeight="false" outlineLevel="0" collapsed="false">
      <c r="A291" s="10"/>
      <c r="B291" s="10"/>
      <c r="C291" s="10"/>
      <c r="D291" s="14" t="str">
        <f aca="false">IFERROR(IF(C291="","",INDEX(Products!$C$5:$C$504,MATCH(C291,Products!$A$5:$A$504,0))),"")</f>
        <v/>
      </c>
      <c r="E291" s="13" t="n">
        <v>1</v>
      </c>
      <c r="F291" s="11"/>
      <c r="G291" s="15" t="n">
        <v>0</v>
      </c>
      <c r="H291" s="10" t="s">
        <v>114</v>
      </c>
      <c r="I291" s="9" t="n">
        <f aca="false">IFERROR(E291*F291*(1-G291),"")</f>
        <v>0</v>
      </c>
      <c r="J291" s="9" t="n">
        <f aca="false">IFERROR(I291*IFERROR(VLOOKUP(H291,VatRates,2,FALSE()),0),"")</f>
        <v>0</v>
      </c>
      <c r="K291" s="9" t="n">
        <f aca="false">IFERROR(I291+J291,"")</f>
        <v>0</v>
      </c>
    </row>
    <row r="292" customFormat="false" ht="15" hidden="false" customHeight="false" outlineLevel="0" collapsed="false">
      <c r="A292" s="10"/>
      <c r="B292" s="10"/>
      <c r="C292" s="10"/>
      <c r="D292" s="14" t="str">
        <f aca="false">IFERROR(IF(C292="","",INDEX(Products!$C$5:$C$504,MATCH(C292,Products!$A$5:$A$504,0))),"")</f>
        <v/>
      </c>
      <c r="E292" s="13" t="n">
        <v>1</v>
      </c>
      <c r="F292" s="11"/>
      <c r="G292" s="15" t="n">
        <v>0</v>
      </c>
      <c r="H292" s="10" t="s">
        <v>114</v>
      </c>
      <c r="I292" s="9" t="n">
        <f aca="false">IFERROR(E292*F292*(1-G292),"")</f>
        <v>0</v>
      </c>
      <c r="J292" s="9" t="n">
        <f aca="false">IFERROR(I292*IFERROR(VLOOKUP(H292,VatRates,2,FALSE()),0),"")</f>
        <v>0</v>
      </c>
      <c r="K292" s="9" t="n">
        <f aca="false">IFERROR(I292+J292,"")</f>
        <v>0</v>
      </c>
    </row>
    <row r="293" customFormat="false" ht="15" hidden="false" customHeight="false" outlineLevel="0" collapsed="false">
      <c r="A293" s="10"/>
      <c r="B293" s="10"/>
      <c r="C293" s="10"/>
      <c r="D293" s="14" t="str">
        <f aca="false">IFERROR(IF(C293="","",INDEX(Products!$C$5:$C$504,MATCH(C293,Products!$A$5:$A$504,0))),"")</f>
        <v/>
      </c>
      <c r="E293" s="13" t="n">
        <v>1</v>
      </c>
      <c r="F293" s="11"/>
      <c r="G293" s="15" t="n">
        <v>0</v>
      </c>
      <c r="H293" s="10" t="s">
        <v>114</v>
      </c>
      <c r="I293" s="9" t="n">
        <f aca="false">IFERROR(E293*F293*(1-G293),"")</f>
        <v>0</v>
      </c>
      <c r="J293" s="9" t="n">
        <f aca="false">IFERROR(I293*IFERROR(VLOOKUP(H293,VatRates,2,FALSE()),0),"")</f>
        <v>0</v>
      </c>
      <c r="K293" s="9" t="n">
        <f aca="false">IFERROR(I293+J293,"")</f>
        <v>0</v>
      </c>
    </row>
    <row r="294" customFormat="false" ht="15" hidden="false" customHeight="false" outlineLevel="0" collapsed="false">
      <c r="A294" s="10"/>
      <c r="B294" s="10"/>
      <c r="C294" s="10"/>
      <c r="D294" s="14" t="str">
        <f aca="false">IFERROR(IF(C294="","",INDEX(Products!$C$5:$C$504,MATCH(C294,Products!$A$5:$A$504,0))),"")</f>
        <v/>
      </c>
      <c r="E294" s="13" t="n">
        <v>1</v>
      </c>
      <c r="F294" s="11"/>
      <c r="G294" s="15" t="n">
        <v>0</v>
      </c>
      <c r="H294" s="10" t="s">
        <v>114</v>
      </c>
      <c r="I294" s="9" t="n">
        <f aca="false">IFERROR(E294*F294*(1-G294),"")</f>
        <v>0</v>
      </c>
      <c r="J294" s="9" t="n">
        <f aca="false">IFERROR(I294*IFERROR(VLOOKUP(H294,VatRates,2,FALSE()),0),"")</f>
        <v>0</v>
      </c>
      <c r="K294" s="9" t="n">
        <f aca="false">IFERROR(I294+J294,"")</f>
        <v>0</v>
      </c>
    </row>
    <row r="295" customFormat="false" ht="15" hidden="false" customHeight="false" outlineLevel="0" collapsed="false">
      <c r="A295" s="10"/>
      <c r="B295" s="10"/>
      <c r="C295" s="10"/>
      <c r="D295" s="14" t="str">
        <f aca="false">IFERROR(IF(C295="","",INDEX(Products!$C$5:$C$504,MATCH(C295,Products!$A$5:$A$504,0))),"")</f>
        <v/>
      </c>
      <c r="E295" s="13" t="n">
        <v>1</v>
      </c>
      <c r="F295" s="11"/>
      <c r="G295" s="15" t="n">
        <v>0</v>
      </c>
      <c r="H295" s="10" t="s">
        <v>114</v>
      </c>
      <c r="I295" s="9" t="n">
        <f aca="false">IFERROR(E295*F295*(1-G295),"")</f>
        <v>0</v>
      </c>
      <c r="J295" s="9" t="n">
        <f aca="false">IFERROR(I295*IFERROR(VLOOKUP(H295,VatRates,2,FALSE()),0),"")</f>
        <v>0</v>
      </c>
      <c r="K295" s="9" t="n">
        <f aca="false">IFERROR(I295+J295,"")</f>
        <v>0</v>
      </c>
    </row>
    <row r="296" customFormat="false" ht="15" hidden="false" customHeight="false" outlineLevel="0" collapsed="false">
      <c r="A296" s="10"/>
      <c r="B296" s="10"/>
      <c r="C296" s="10"/>
      <c r="D296" s="14" t="str">
        <f aca="false">IFERROR(IF(C296="","",INDEX(Products!$C$5:$C$504,MATCH(C296,Products!$A$5:$A$504,0))),"")</f>
        <v/>
      </c>
      <c r="E296" s="13" t="n">
        <v>1</v>
      </c>
      <c r="F296" s="11"/>
      <c r="G296" s="15" t="n">
        <v>0</v>
      </c>
      <c r="H296" s="10" t="s">
        <v>114</v>
      </c>
      <c r="I296" s="9" t="n">
        <f aca="false">IFERROR(E296*F296*(1-G296),"")</f>
        <v>0</v>
      </c>
      <c r="J296" s="9" t="n">
        <f aca="false">IFERROR(I296*IFERROR(VLOOKUP(H296,VatRates,2,FALSE()),0),"")</f>
        <v>0</v>
      </c>
      <c r="K296" s="9" t="n">
        <f aca="false">IFERROR(I296+J296,"")</f>
        <v>0</v>
      </c>
    </row>
    <row r="297" customFormat="false" ht="15" hidden="false" customHeight="false" outlineLevel="0" collapsed="false">
      <c r="A297" s="10"/>
      <c r="B297" s="10"/>
      <c r="C297" s="10"/>
      <c r="D297" s="14" t="str">
        <f aca="false">IFERROR(IF(C297="","",INDEX(Products!$C$5:$C$504,MATCH(C297,Products!$A$5:$A$504,0))),"")</f>
        <v/>
      </c>
      <c r="E297" s="13" t="n">
        <v>1</v>
      </c>
      <c r="F297" s="11"/>
      <c r="G297" s="15" t="n">
        <v>0</v>
      </c>
      <c r="H297" s="10" t="s">
        <v>114</v>
      </c>
      <c r="I297" s="9" t="n">
        <f aca="false">IFERROR(E297*F297*(1-G297),"")</f>
        <v>0</v>
      </c>
      <c r="J297" s="9" t="n">
        <f aca="false">IFERROR(I297*IFERROR(VLOOKUP(H297,VatRates,2,FALSE()),0),"")</f>
        <v>0</v>
      </c>
      <c r="K297" s="9" t="n">
        <f aca="false">IFERROR(I297+J297,"")</f>
        <v>0</v>
      </c>
    </row>
    <row r="298" customFormat="false" ht="15" hidden="false" customHeight="false" outlineLevel="0" collapsed="false">
      <c r="A298" s="10"/>
      <c r="B298" s="10"/>
      <c r="C298" s="10"/>
      <c r="D298" s="14" t="str">
        <f aca="false">IFERROR(IF(C298="","",INDEX(Products!$C$5:$C$504,MATCH(C298,Products!$A$5:$A$504,0))),"")</f>
        <v/>
      </c>
      <c r="E298" s="13" t="n">
        <v>1</v>
      </c>
      <c r="F298" s="11"/>
      <c r="G298" s="15" t="n">
        <v>0</v>
      </c>
      <c r="H298" s="10" t="s">
        <v>114</v>
      </c>
      <c r="I298" s="9" t="n">
        <f aca="false">IFERROR(E298*F298*(1-G298),"")</f>
        <v>0</v>
      </c>
      <c r="J298" s="9" t="n">
        <f aca="false">IFERROR(I298*IFERROR(VLOOKUP(H298,VatRates,2,FALSE()),0),"")</f>
        <v>0</v>
      </c>
      <c r="K298" s="9" t="n">
        <f aca="false">IFERROR(I298+J298,"")</f>
        <v>0</v>
      </c>
    </row>
    <row r="299" customFormat="false" ht="15" hidden="false" customHeight="false" outlineLevel="0" collapsed="false">
      <c r="A299" s="10"/>
      <c r="B299" s="10"/>
      <c r="C299" s="10"/>
      <c r="D299" s="14" t="str">
        <f aca="false">IFERROR(IF(C299="","",INDEX(Products!$C$5:$C$504,MATCH(C299,Products!$A$5:$A$504,0))),"")</f>
        <v/>
      </c>
      <c r="E299" s="13" t="n">
        <v>1</v>
      </c>
      <c r="F299" s="11"/>
      <c r="G299" s="15" t="n">
        <v>0</v>
      </c>
      <c r="H299" s="10" t="s">
        <v>114</v>
      </c>
      <c r="I299" s="9" t="n">
        <f aca="false">IFERROR(E299*F299*(1-G299),"")</f>
        <v>0</v>
      </c>
      <c r="J299" s="9" t="n">
        <f aca="false">IFERROR(I299*IFERROR(VLOOKUP(H299,VatRates,2,FALSE()),0),"")</f>
        <v>0</v>
      </c>
      <c r="K299" s="9" t="n">
        <f aca="false">IFERROR(I299+J299,"")</f>
        <v>0</v>
      </c>
    </row>
    <row r="300" customFormat="false" ht="15" hidden="false" customHeight="false" outlineLevel="0" collapsed="false">
      <c r="A300" s="10"/>
      <c r="B300" s="10"/>
      <c r="C300" s="10"/>
      <c r="D300" s="14" t="str">
        <f aca="false">IFERROR(IF(C300="","",INDEX(Products!$C$5:$C$504,MATCH(C300,Products!$A$5:$A$504,0))),"")</f>
        <v/>
      </c>
      <c r="E300" s="13" t="n">
        <v>1</v>
      </c>
      <c r="F300" s="11"/>
      <c r="G300" s="15" t="n">
        <v>0</v>
      </c>
      <c r="H300" s="10" t="s">
        <v>114</v>
      </c>
      <c r="I300" s="9" t="n">
        <f aca="false">IFERROR(E300*F300*(1-G300),"")</f>
        <v>0</v>
      </c>
      <c r="J300" s="9" t="n">
        <f aca="false">IFERROR(I300*IFERROR(VLOOKUP(H300,VatRates,2,FALSE()),0),"")</f>
        <v>0</v>
      </c>
      <c r="K300" s="9" t="n">
        <f aca="false">IFERROR(I300+J300,"")</f>
        <v>0</v>
      </c>
    </row>
    <row r="301" customFormat="false" ht="15" hidden="false" customHeight="false" outlineLevel="0" collapsed="false">
      <c r="A301" s="10"/>
      <c r="B301" s="10"/>
      <c r="C301" s="10"/>
      <c r="D301" s="14" t="str">
        <f aca="false">IFERROR(IF(C301="","",INDEX(Products!$C$5:$C$504,MATCH(C301,Products!$A$5:$A$504,0))),"")</f>
        <v/>
      </c>
      <c r="E301" s="13" t="n">
        <v>1</v>
      </c>
      <c r="F301" s="11"/>
      <c r="G301" s="15" t="n">
        <v>0</v>
      </c>
      <c r="H301" s="10" t="s">
        <v>114</v>
      </c>
      <c r="I301" s="9" t="n">
        <f aca="false">IFERROR(E301*F301*(1-G301),"")</f>
        <v>0</v>
      </c>
      <c r="J301" s="9" t="n">
        <f aca="false">IFERROR(I301*IFERROR(VLOOKUP(H301,VatRates,2,FALSE()),0),"")</f>
        <v>0</v>
      </c>
      <c r="K301" s="9" t="n">
        <f aca="false">IFERROR(I301+J301,"")</f>
        <v>0</v>
      </c>
    </row>
    <row r="302" customFormat="false" ht="15" hidden="false" customHeight="false" outlineLevel="0" collapsed="false">
      <c r="A302" s="10"/>
      <c r="B302" s="10"/>
      <c r="C302" s="10"/>
      <c r="D302" s="14" t="str">
        <f aca="false">IFERROR(IF(C302="","",INDEX(Products!$C$5:$C$504,MATCH(C302,Products!$A$5:$A$504,0))),"")</f>
        <v/>
      </c>
      <c r="E302" s="13" t="n">
        <v>1</v>
      </c>
      <c r="F302" s="11"/>
      <c r="G302" s="15" t="n">
        <v>0</v>
      </c>
      <c r="H302" s="10" t="s">
        <v>114</v>
      </c>
      <c r="I302" s="9" t="n">
        <f aca="false">IFERROR(E302*F302*(1-G302),"")</f>
        <v>0</v>
      </c>
      <c r="J302" s="9" t="n">
        <f aca="false">IFERROR(I302*IFERROR(VLOOKUP(H302,VatRates,2,FALSE()),0),"")</f>
        <v>0</v>
      </c>
      <c r="K302" s="9" t="n">
        <f aca="false">IFERROR(I302+J302,"")</f>
        <v>0</v>
      </c>
    </row>
    <row r="303" customFormat="false" ht="15" hidden="false" customHeight="false" outlineLevel="0" collapsed="false">
      <c r="A303" s="10"/>
      <c r="B303" s="10"/>
      <c r="C303" s="10"/>
      <c r="D303" s="14" t="str">
        <f aca="false">IFERROR(IF(C303="","",INDEX(Products!$C$5:$C$504,MATCH(C303,Products!$A$5:$A$504,0))),"")</f>
        <v/>
      </c>
      <c r="E303" s="13" t="n">
        <v>1</v>
      </c>
      <c r="F303" s="11"/>
      <c r="G303" s="15" t="n">
        <v>0</v>
      </c>
      <c r="H303" s="10" t="s">
        <v>114</v>
      </c>
      <c r="I303" s="9" t="n">
        <f aca="false">IFERROR(E303*F303*(1-G303),"")</f>
        <v>0</v>
      </c>
      <c r="J303" s="9" t="n">
        <f aca="false">IFERROR(I303*IFERROR(VLOOKUP(H303,VatRates,2,FALSE()),0),"")</f>
        <v>0</v>
      </c>
      <c r="K303" s="9" t="n">
        <f aca="false">IFERROR(I303+J303,"")</f>
        <v>0</v>
      </c>
    </row>
    <row r="304" customFormat="false" ht="15" hidden="false" customHeight="false" outlineLevel="0" collapsed="false">
      <c r="A304" s="10"/>
      <c r="B304" s="10"/>
      <c r="C304" s="10"/>
      <c r="D304" s="14" t="str">
        <f aca="false">IFERROR(IF(C304="","",INDEX(Products!$C$5:$C$504,MATCH(C304,Products!$A$5:$A$504,0))),"")</f>
        <v/>
      </c>
      <c r="E304" s="13" t="n">
        <v>1</v>
      </c>
      <c r="F304" s="11"/>
      <c r="G304" s="15" t="n">
        <v>0</v>
      </c>
      <c r="H304" s="10" t="s">
        <v>114</v>
      </c>
      <c r="I304" s="9" t="n">
        <f aca="false">IFERROR(E304*F304*(1-G304),"")</f>
        <v>0</v>
      </c>
      <c r="J304" s="9" t="n">
        <f aca="false">IFERROR(I304*IFERROR(VLOOKUP(H304,VatRates,2,FALSE()),0),"")</f>
        <v>0</v>
      </c>
      <c r="K304" s="9" t="n">
        <f aca="false">IFERROR(I304+J304,"")</f>
        <v>0</v>
      </c>
    </row>
    <row r="305" customFormat="false" ht="15" hidden="false" customHeight="false" outlineLevel="0" collapsed="false">
      <c r="A305" s="10"/>
      <c r="B305" s="10"/>
      <c r="C305" s="10"/>
      <c r="D305" s="14" t="str">
        <f aca="false">IFERROR(IF(C305="","",INDEX(Products!$C$5:$C$504,MATCH(C305,Products!$A$5:$A$504,0))),"")</f>
        <v/>
      </c>
      <c r="E305" s="13" t="n">
        <v>1</v>
      </c>
      <c r="F305" s="11"/>
      <c r="G305" s="15" t="n">
        <v>0</v>
      </c>
      <c r="H305" s="10" t="s">
        <v>114</v>
      </c>
      <c r="I305" s="9" t="n">
        <f aca="false">IFERROR(E305*F305*(1-G305),"")</f>
        <v>0</v>
      </c>
      <c r="J305" s="9" t="n">
        <f aca="false">IFERROR(I305*IFERROR(VLOOKUP(H305,VatRates,2,FALSE()),0),"")</f>
        <v>0</v>
      </c>
      <c r="K305" s="9" t="n">
        <f aca="false">IFERROR(I305+J305,"")</f>
        <v>0</v>
      </c>
    </row>
    <row r="306" customFormat="false" ht="15" hidden="false" customHeight="false" outlineLevel="0" collapsed="false">
      <c r="A306" s="10"/>
      <c r="B306" s="10"/>
      <c r="C306" s="10"/>
      <c r="D306" s="14" t="str">
        <f aca="false">IFERROR(IF(C306="","",INDEX(Products!$C$5:$C$504,MATCH(C306,Products!$A$5:$A$504,0))),"")</f>
        <v/>
      </c>
      <c r="E306" s="13" t="n">
        <v>1</v>
      </c>
      <c r="F306" s="11"/>
      <c r="G306" s="15" t="n">
        <v>0</v>
      </c>
      <c r="H306" s="10" t="s">
        <v>114</v>
      </c>
      <c r="I306" s="9" t="n">
        <f aca="false">IFERROR(E306*F306*(1-G306),"")</f>
        <v>0</v>
      </c>
      <c r="J306" s="9" t="n">
        <f aca="false">IFERROR(I306*IFERROR(VLOOKUP(H306,VatRates,2,FALSE()),0),"")</f>
        <v>0</v>
      </c>
      <c r="K306" s="9" t="n">
        <f aca="false">IFERROR(I306+J306,"")</f>
        <v>0</v>
      </c>
    </row>
    <row r="307" customFormat="false" ht="15" hidden="false" customHeight="false" outlineLevel="0" collapsed="false">
      <c r="A307" s="10"/>
      <c r="B307" s="10"/>
      <c r="C307" s="10"/>
      <c r="D307" s="14" t="str">
        <f aca="false">IFERROR(IF(C307="","",INDEX(Products!$C$5:$C$504,MATCH(C307,Products!$A$5:$A$504,0))),"")</f>
        <v/>
      </c>
      <c r="E307" s="13" t="n">
        <v>1</v>
      </c>
      <c r="F307" s="11"/>
      <c r="G307" s="15" t="n">
        <v>0</v>
      </c>
      <c r="H307" s="10" t="s">
        <v>114</v>
      </c>
      <c r="I307" s="9" t="n">
        <f aca="false">IFERROR(E307*F307*(1-G307),"")</f>
        <v>0</v>
      </c>
      <c r="J307" s="9" t="n">
        <f aca="false">IFERROR(I307*IFERROR(VLOOKUP(H307,VatRates,2,FALSE()),0),"")</f>
        <v>0</v>
      </c>
      <c r="K307" s="9" t="n">
        <f aca="false">IFERROR(I307+J307,"")</f>
        <v>0</v>
      </c>
    </row>
    <row r="308" customFormat="false" ht="15" hidden="false" customHeight="false" outlineLevel="0" collapsed="false">
      <c r="A308" s="10"/>
      <c r="B308" s="10"/>
      <c r="C308" s="10"/>
      <c r="D308" s="14" t="str">
        <f aca="false">IFERROR(IF(C308="","",INDEX(Products!$C$5:$C$504,MATCH(C308,Products!$A$5:$A$504,0))),"")</f>
        <v/>
      </c>
      <c r="E308" s="13" t="n">
        <v>1</v>
      </c>
      <c r="F308" s="11"/>
      <c r="G308" s="15" t="n">
        <v>0</v>
      </c>
      <c r="H308" s="10" t="s">
        <v>114</v>
      </c>
      <c r="I308" s="9" t="n">
        <f aca="false">IFERROR(E308*F308*(1-G308),"")</f>
        <v>0</v>
      </c>
      <c r="J308" s="9" t="n">
        <f aca="false">IFERROR(I308*IFERROR(VLOOKUP(H308,VatRates,2,FALSE()),0),"")</f>
        <v>0</v>
      </c>
      <c r="K308" s="9" t="n">
        <f aca="false">IFERROR(I308+J308,"")</f>
        <v>0</v>
      </c>
    </row>
    <row r="309" customFormat="false" ht="15" hidden="false" customHeight="false" outlineLevel="0" collapsed="false">
      <c r="A309" s="10"/>
      <c r="B309" s="10"/>
      <c r="C309" s="10"/>
      <c r="D309" s="14" t="str">
        <f aca="false">IFERROR(IF(C309="","",INDEX(Products!$C$5:$C$504,MATCH(C309,Products!$A$5:$A$504,0))),"")</f>
        <v/>
      </c>
      <c r="E309" s="13" t="n">
        <v>1</v>
      </c>
      <c r="F309" s="11"/>
      <c r="G309" s="15" t="n">
        <v>0</v>
      </c>
      <c r="H309" s="10" t="s">
        <v>114</v>
      </c>
      <c r="I309" s="9" t="n">
        <f aca="false">IFERROR(E309*F309*(1-G309),"")</f>
        <v>0</v>
      </c>
      <c r="J309" s="9" t="n">
        <f aca="false">IFERROR(I309*IFERROR(VLOOKUP(H309,VatRates,2,FALSE()),0),"")</f>
        <v>0</v>
      </c>
      <c r="K309" s="9" t="n">
        <f aca="false">IFERROR(I309+J309,"")</f>
        <v>0</v>
      </c>
    </row>
    <row r="310" customFormat="false" ht="15" hidden="false" customHeight="false" outlineLevel="0" collapsed="false">
      <c r="A310" s="10"/>
      <c r="B310" s="10"/>
      <c r="C310" s="10"/>
      <c r="D310" s="14" t="str">
        <f aca="false">IFERROR(IF(C310="","",INDEX(Products!$C$5:$C$504,MATCH(C310,Products!$A$5:$A$504,0))),"")</f>
        <v/>
      </c>
      <c r="E310" s="13" t="n">
        <v>1</v>
      </c>
      <c r="F310" s="11"/>
      <c r="G310" s="15" t="n">
        <v>0</v>
      </c>
      <c r="H310" s="10" t="s">
        <v>114</v>
      </c>
      <c r="I310" s="9" t="n">
        <f aca="false">IFERROR(E310*F310*(1-G310),"")</f>
        <v>0</v>
      </c>
      <c r="J310" s="9" t="n">
        <f aca="false">IFERROR(I310*IFERROR(VLOOKUP(H310,VatRates,2,FALSE()),0),"")</f>
        <v>0</v>
      </c>
      <c r="K310" s="9" t="n">
        <f aca="false">IFERROR(I310+J310,"")</f>
        <v>0</v>
      </c>
    </row>
    <row r="311" customFormat="false" ht="15" hidden="false" customHeight="false" outlineLevel="0" collapsed="false">
      <c r="A311" s="10"/>
      <c r="B311" s="10"/>
      <c r="C311" s="10"/>
      <c r="D311" s="14" t="str">
        <f aca="false">IFERROR(IF(C311="","",INDEX(Products!$C$5:$C$504,MATCH(C311,Products!$A$5:$A$504,0))),"")</f>
        <v/>
      </c>
      <c r="E311" s="13" t="n">
        <v>1</v>
      </c>
      <c r="F311" s="11"/>
      <c r="G311" s="15" t="n">
        <v>0</v>
      </c>
      <c r="H311" s="10" t="s">
        <v>114</v>
      </c>
      <c r="I311" s="9" t="n">
        <f aca="false">IFERROR(E311*F311*(1-G311),"")</f>
        <v>0</v>
      </c>
      <c r="J311" s="9" t="n">
        <f aca="false">IFERROR(I311*IFERROR(VLOOKUP(H311,VatRates,2,FALSE()),0),"")</f>
        <v>0</v>
      </c>
      <c r="K311" s="9" t="n">
        <f aca="false">IFERROR(I311+J311,"")</f>
        <v>0</v>
      </c>
    </row>
    <row r="312" customFormat="false" ht="15" hidden="false" customHeight="false" outlineLevel="0" collapsed="false">
      <c r="A312" s="10"/>
      <c r="B312" s="10"/>
      <c r="C312" s="10"/>
      <c r="D312" s="14" t="str">
        <f aca="false">IFERROR(IF(C312="","",INDEX(Products!$C$5:$C$504,MATCH(C312,Products!$A$5:$A$504,0))),"")</f>
        <v/>
      </c>
      <c r="E312" s="13" t="n">
        <v>1</v>
      </c>
      <c r="F312" s="11"/>
      <c r="G312" s="15" t="n">
        <v>0</v>
      </c>
      <c r="H312" s="10" t="s">
        <v>114</v>
      </c>
      <c r="I312" s="9" t="n">
        <f aca="false">IFERROR(E312*F312*(1-G312),"")</f>
        <v>0</v>
      </c>
      <c r="J312" s="9" t="n">
        <f aca="false">IFERROR(I312*IFERROR(VLOOKUP(H312,VatRates,2,FALSE()),0),"")</f>
        <v>0</v>
      </c>
      <c r="K312" s="9" t="n">
        <f aca="false">IFERROR(I312+J312,"")</f>
        <v>0</v>
      </c>
    </row>
    <row r="313" customFormat="false" ht="15" hidden="false" customHeight="false" outlineLevel="0" collapsed="false">
      <c r="A313" s="10"/>
      <c r="B313" s="10"/>
      <c r="C313" s="10"/>
      <c r="D313" s="14" t="str">
        <f aca="false">IFERROR(IF(C313="","",INDEX(Products!$C$5:$C$504,MATCH(C313,Products!$A$5:$A$504,0))),"")</f>
        <v/>
      </c>
      <c r="E313" s="13" t="n">
        <v>1</v>
      </c>
      <c r="F313" s="11"/>
      <c r="G313" s="15" t="n">
        <v>0</v>
      </c>
      <c r="H313" s="10" t="s">
        <v>114</v>
      </c>
      <c r="I313" s="9" t="n">
        <f aca="false">IFERROR(E313*F313*(1-G313),"")</f>
        <v>0</v>
      </c>
      <c r="J313" s="9" t="n">
        <f aca="false">IFERROR(I313*IFERROR(VLOOKUP(H313,VatRates,2,FALSE()),0),"")</f>
        <v>0</v>
      </c>
      <c r="K313" s="9" t="n">
        <f aca="false">IFERROR(I313+J313,"")</f>
        <v>0</v>
      </c>
    </row>
    <row r="314" customFormat="false" ht="15" hidden="false" customHeight="false" outlineLevel="0" collapsed="false">
      <c r="A314" s="10"/>
      <c r="B314" s="10"/>
      <c r="C314" s="10"/>
      <c r="D314" s="14" t="str">
        <f aca="false">IFERROR(IF(C314="","",INDEX(Products!$C$5:$C$504,MATCH(C314,Products!$A$5:$A$504,0))),"")</f>
        <v/>
      </c>
      <c r="E314" s="13" t="n">
        <v>1</v>
      </c>
      <c r="F314" s="11"/>
      <c r="G314" s="15" t="n">
        <v>0</v>
      </c>
      <c r="H314" s="10" t="s">
        <v>114</v>
      </c>
      <c r="I314" s="9" t="n">
        <f aca="false">IFERROR(E314*F314*(1-G314),"")</f>
        <v>0</v>
      </c>
      <c r="J314" s="9" t="n">
        <f aca="false">IFERROR(I314*IFERROR(VLOOKUP(H314,VatRates,2,FALSE()),0),"")</f>
        <v>0</v>
      </c>
      <c r="K314" s="9" t="n">
        <f aca="false">IFERROR(I314+J314,"")</f>
        <v>0</v>
      </c>
    </row>
    <row r="315" customFormat="false" ht="15" hidden="false" customHeight="false" outlineLevel="0" collapsed="false">
      <c r="A315" s="10"/>
      <c r="B315" s="10"/>
      <c r="C315" s="10"/>
      <c r="D315" s="14" t="str">
        <f aca="false">IFERROR(IF(C315="","",INDEX(Products!$C$5:$C$504,MATCH(C315,Products!$A$5:$A$504,0))),"")</f>
        <v/>
      </c>
      <c r="E315" s="13" t="n">
        <v>1</v>
      </c>
      <c r="F315" s="11"/>
      <c r="G315" s="15" t="n">
        <v>0</v>
      </c>
      <c r="H315" s="10" t="s">
        <v>114</v>
      </c>
      <c r="I315" s="9" t="n">
        <f aca="false">IFERROR(E315*F315*(1-G315),"")</f>
        <v>0</v>
      </c>
      <c r="J315" s="9" t="n">
        <f aca="false">IFERROR(I315*IFERROR(VLOOKUP(H315,VatRates,2,FALSE()),0),"")</f>
        <v>0</v>
      </c>
      <c r="K315" s="9" t="n">
        <f aca="false">IFERROR(I315+J315,"")</f>
        <v>0</v>
      </c>
    </row>
    <row r="316" customFormat="false" ht="15" hidden="false" customHeight="false" outlineLevel="0" collapsed="false">
      <c r="A316" s="10"/>
      <c r="B316" s="10"/>
      <c r="C316" s="10"/>
      <c r="D316" s="14" t="str">
        <f aca="false">IFERROR(IF(C316="","",INDEX(Products!$C$5:$C$504,MATCH(C316,Products!$A$5:$A$504,0))),"")</f>
        <v/>
      </c>
      <c r="E316" s="13" t="n">
        <v>1</v>
      </c>
      <c r="F316" s="11"/>
      <c r="G316" s="15" t="n">
        <v>0</v>
      </c>
      <c r="H316" s="10" t="s">
        <v>114</v>
      </c>
      <c r="I316" s="9" t="n">
        <f aca="false">IFERROR(E316*F316*(1-G316),"")</f>
        <v>0</v>
      </c>
      <c r="J316" s="9" t="n">
        <f aca="false">IFERROR(I316*IFERROR(VLOOKUP(H316,VatRates,2,FALSE()),0),"")</f>
        <v>0</v>
      </c>
      <c r="K316" s="9" t="n">
        <f aca="false">IFERROR(I316+J316,"")</f>
        <v>0</v>
      </c>
    </row>
    <row r="317" customFormat="false" ht="15" hidden="false" customHeight="false" outlineLevel="0" collapsed="false">
      <c r="A317" s="10"/>
      <c r="B317" s="10"/>
      <c r="C317" s="10"/>
      <c r="D317" s="14" t="str">
        <f aca="false">IFERROR(IF(C317="","",INDEX(Products!$C$5:$C$504,MATCH(C317,Products!$A$5:$A$504,0))),"")</f>
        <v/>
      </c>
      <c r="E317" s="13" t="n">
        <v>1</v>
      </c>
      <c r="F317" s="11"/>
      <c r="G317" s="15" t="n">
        <v>0</v>
      </c>
      <c r="H317" s="10" t="s">
        <v>114</v>
      </c>
      <c r="I317" s="9" t="n">
        <f aca="false">IFERROR(E317*F317*(1-G317),"")</f>
        <v>0</v>
      </c>
      <c r="J317" s="9" t="n">
        <f aca="false">IFERROR(I317*IFERROR(VLOOKUP(H317,VatRates,2,FALSE()),0),"")</f>
        <v>0</v>
      </c>
      <c r="K317" s="9" t="n">
        <f aca="false">IFERROR(I317+J317,"")</f>
        <v>0</v>
      </c>
    </row>
    <row r="318" customFormat="false" ht="15" hidden="false" customHeight="false" outlineLevel="0" collapsed="false">
      <c r="A318" s="10"/>
      <c r="B318" s="10"/>
      <c r="C318" s="10"/>
      <c r="D318" s="14" t="str">
        <f aca="false">IFERROR(IF(C318="","",INDEX(Products!$C$5:$C$504,MATCH(C318,Products!$A$5:$A$504,0))),"")</f>
        <v/>
      </c>
      <c r="E318" s="13" t="n">
        <v>1</v>
      </c>
      <c r="F318" s="11"/>
      <c r="G318" s="15" t="n">
        <v>0</v>
      </c>
      <c r="H318" s="10" t="s">
        <v>114</v>
      </c>
      <c r="I318" s="9" t="n">
        <f aca="false">IFERROR(E318*F318*(1-G318),"")</f>
        <v>0</v>
      </c>
      <c r="J318" s="9" t="n">
        <f aca="false">IFERROR(I318*IFERROR(VLOOKUP(H318,VatRates,2,FALSE()),0),"")</f>
        <v>0</v>
      </c>
      <c r="K318" s="9" t="n">
        <f aca="false">IFERROR(I318+J318,"")</f>
        <v>0</v>
      </c>
    </row>
    <row r="319" customFormat="false" ht="15" hidden="false" customHeight="false" outlineLevel="0" collapsed="false">
      <c r="A319" s="10"/>
      <c r="B319" s="10"/>
      <c r="C319" s="10"/>
      <c r="D319" s="14" t="str">
        <f aca="false">IFERROR(IF(C319="","",INDEX(Products!$C$5:$C$504,MATCH(C319,Products!$A$5:$A$504,0))),"")</f>
        <v/>
      </c>
      <c r="E319" s="13" t="n">
        <v>1</v>
      </c>
      <c r="F319" s="11"/>
      <c r="G319" s="15" t="n">
        <v>0</v>
      </c>
      <c r="H319" s="10" t="s">
        <v>114</v>
      </c>
      <c r="I319" s="9" t="n">
        <f aca="false">IFERROR(E319*F319*(1-G319),"")</f>
        <v>0</v>
      </c>
      <c r="J319" s="9" t="n">
        <f aca="false">IFERROR(I319*IFERROR(VLOOKUP(H319,VatRates,2,FALSE()),0),"")</f>
        <v>0</v>
      </c>
      <c r="K319" s="9" t="n">
        <f aca="false">IFERROR(I319+J319,"")</f>
        <v>0</v>
      </c>
    </row>
    <row r="320" customFormat="false" ht="15" hidden="false" customHeight="false" outlineLevel="0" collapsed="false">
      <c r="A320" s="10"/>
      <c r="B320" s="10"/>
      <c r="C320" s="10"/>
      <c r="D320" s="14" t="str">
        <f aca="false">IFERROR(IF(C320="","",INDEX(Products!$C$5:$C$504,MATCH(C320,Products!$A$5:$A$504,0))),"")</f>
        <v/>
      </c>
      <c r="E320" s="13" t="n">
        <v>1</v>
      </c>
      <c r="F320" s="11"/>
      <c r="G320" s="15" t="n">
        <v>0</v>
      </c>
      <c r="H320" s="10" t="s">
        <v>114</v>
      </c>
      <c r="I320" s="9" t="n">
        <f aca="false">IFERROR(E320*F320*(1-G320),"")</f>
        <v>0</v>
      </c>
      <c r="J320" s="9" t="n">
        <f aca="false">IFERROR(I320*IFERROR(VLOOKUP(H320,VatRates,2,FALSE()),0),"")</f>
        <v>0</v>
      </c>
      <c r="K320" s="9" t="n">
        <f aca="false">IFERROR(I320+J320,"")</f>
        <v>0</v>
      </c>
    </row>
    <row r="321" customFormat="false" ht="15" hidden="false" customHeight="false" outlineLevel="0" collapsed="false">
      <c r="A321" s="10"/>
      <c r="B321" s="10"/>
      <c r="C321" s="10"/>
      <c r="D321" s="14" t="str">
        <f aca="false">IFERROR(IF(C321="","",INDEX(Products!$C$5:$C$504,MATCH(C321,Products!$A$5:$A$504,0))),"")</f>
        <v/>
      </c>
      <c r="E321" s="13" t="n">
        <v>1</v>
      </c>
      <c r="F321" s="11"/>
      <c r="G321" s="15" t="n">
        <v>0</v>
      </c>
      <c r="H321" s="10" t="s">
        <v>114</v>
      </c>
      <c r="I321" s="9" t="n">
        <f aca="false">IFERROR(E321*F321*(1-G321),"")</f>
        <v>0</v>
      </c>
      <c r="J321" s="9" t="n">
        <f aca="false">IFERROR(I321*IFERROR(VLOOKUP(H321,VatRates,2,FALSE()),0),"")</f>
        <v>0</v>
      </c>
      <c r="K321" s="9" t="n">
        <f aca="false">IFERROR(I321+J321,"")</f>
        <v>0</v>
      </c>
    </row>
    <row r="322" customFormat="false" ht="15" hidden="false" customHeight="false" outlineLevel="0" collapsed="false">
      <c r="A322" s="10"/>
      <c r="B322" s="10"/>
      <c r="C322" s="10"/>
      <c r="D322" s="14" t="str">
        <f aca="false">IFERROR(IF(C322="","",INDEX(Products!$C$5:$C$504,MATCH(C322,Products!$A$5:$A$504,0))),"")</f>
        <v/>
      </c>
      <c r="E322" s="13" t="n">
        <v>1</v>
      </c>
      <c r="F322" s="11"/>
      <c r="G322" s="15" t="n">
        <v>0</v>
      </c>
      <c r="H322" s="10" t="s">
        <v>114</v>
      </c>
      <c r="I322" s="9" t="n">
        <f aca="false">IFERROR(E322*F322*(1-G322),"")</f>
        <v>0</v>
      </c>
      <c r="J322" s="9" t="n">
        <f aca="false">IFERROR(I322*IFERROR(VLOOKUP(H322,VatRates,2,FALSE()),0),"")</f>
        <v>0</v>
      </c>
      <c r="K322" s="9" t="n">
        <f aca="false">IFERROR(I322+J322,"")</f>
        <v>0</v>
      </c>
    </row>
    <row r="323" customFormat="false" ht="15" hidden="false" customHeight="false" outlineLevel="0" collapsed="false">
      <c r="A323" s="10"/>
      <c r="B323" s="10"/>
      <c r="C323" s="10"/>
      <c r="D323" s="14" t="str">
        <f aca="false">IFERROR(IF(C323="","",INDEX(Products!$C$5:$C$504,MATCH(C323,Products!$A$5:$A$504,0))),"")</f>
        <v/>
      </c>
      <c r="E323" s="13" t="n">
        <v>1</v>
      </c>
      <c r="F323" s="11"/>
      <c r="G323" s="15" t="n">
        <v>0</v>
      </c>
      <c r="H323" s="10" t="s">
        <v>114</v>
      </c>
      <c r="I323" s="9" t="n">
        <f aca="false">IFERROR(E323*F323*(1-G323),"")</f>
        <v>0</v>
      </c>
      <c r="J323" s="9" t="n">
        <f aca="false">IFERROR(I323*IFERROR(VLOOKUP(H323,VatRates,2,FALSE()),0),"")</f>
        <v>0</v>
      </c>
      <c r="K323" s="9" t="n">
        <f aca="false">IFERROR(I323+J323,"")</f>
        <v>0</v>
      </c>
    </row>
    <row r="324" customFormat="false" ht="15" hidden="false" customHeight="false" outlineLevel="0" collapsed="false">
      <c r="A324" s="10"/>
      <c r="B324" s="10"/>
      <c r="C324" s="10"/>
      <c r="D324" s="14" t="str">
        <f aca="false">IFERROR(IF(C324="","",INDEX(Products!$C$5:$C$504,MATCH(C324,Products!$A$5:$A$504,0))),"")</f>
        <v/>
      </c>
      <c r="E324" s="13" t="n">
        <v>1</v>
      </c>
      <c r="F324" s="11"/>
      <c r="G324" s="15" t="n">
        <v>0</v>
      </c>
      <c r="H324" s="10" t="s">
        <v>114</v>
      </c>
      <c r="I324" s="9" t="n">
        <f aca="false">IFERROR(E324*F324*(1-G324),"")</f>
        <v>0</v>
      </c>
      <c r="J324" s="9" t="n">
        <f aca="false">IFERROR(I324*IFERROR(VLOOKUP(H324,VatRates,2,FALSE()),0),"")</f>
        <v>0</v>
      </c>
      <c r="K324" s="9" t="n">
        <f aca="false">IFERROR(I324+J324,"")</f>
        <v>0</v>
      </c>
    </row>
    <row r="325" customFormat="false" ht="15" hidden="false" customHeight="false" outlineLevel="0" collapsed="false">
      <c r="A325" s="10"/>
      <c r="B325" s="10"/>
      <c r="C325" s="10"/>
      <c r="D325" s="14" t="str">
        <f aca="false">IFERROR(IF(C325="","",INDEX(Products!$C$5:$C$504,MATCH(C325,Products!$A$5:$A$504,0))),"")</f>
        <v/>
      </c>
      <c r="E325" s="13" t="n">
        <v>1</v>
      </c>
      <c r="F325" s="11"/>
      <c r="G325" s="15" t="n">
        <v>0</v>
      </c>
      <c r="H325" s="10" t="s">
        <v>114</v>
      </c>
      <c r="I325" s="9" t="n">
        <f aca="false">IFERROR(E325*F325*(1-G325),"")</f>
        <v>0</v>
      </c>
      <c r="J325" s="9" t="n">
        <f aca="false">IFERROR(I325*IFERROR(VLOOKUP(H325,VatRates,2,FALSE()),0),"")</f>
        <v>0</v>
      </c>
      <c r="K325" s="9" t="n">
        <f aca="false">IFERROR(I325+J325,"")</f>
        <v>0</v>
      </c>
    </row>
    <row r="326" customFormat="false" ht="15" hidden="false" customHeight="false" outlineLevel="0" collapsed="false">
      <c r="A326" s="10"/>
      <c r="B326" s="10"/>
      <c r="C326" s="10"/>
      <c r="D326" s="14" t="str">
        <f aca="false">IFERROR(IF(C326="","",INDEX(Products!$C$5:$C$504,MATCH(C326,Products!$A$5:$A$504,0))),"")</f>
        <v/>
      </c>
      <c r="E326" s="13" t="n">
        <v>1</v>
      </c>
      <c r="F326" s="11"/>
      <c r="G326" s="15" t="n">
        <v>0</v>
      </c>
      <c r="H326" s="10" t="s">
        <v>114</v>
      </c>
      <c r="I326" s="9" t="n">
        <f aca="false">IFERROR(E326*F326*(1-G326),"")</f>
        <v>0</v>
      </c>
      <c r="J326" s="9" t="n">
        <f aca="false">IFERROR(I326*IFERROR(VLOOKUP(H326,VatRates,2,FALSE()),0),"")</f>
        <v>0</v>
      </c>
      <c r="K326" s="9" t="n">
        <f aca="false">IFERROR(I326+J326,"")</f>
        <v>0</v>
      </c>
    </row>
    <row r="327" customFormat="false" ht="15" hidden="false" customHeight="false" outlineLevel="0" collapsed="false">
      <c r="A327" s="10"/>
      <c r="B327" s="10"/>
      <c r="C327" s="10"/>
      <c r="D327" s="14" t="str">
        <f aca="false">IFERROR(IF(C327="","",INDEX(Products!$C$5:$C$504,MATCH(C327,Products!$A$5:$A$504,0))),"")</f>
        <v/>
      </c>
      <c r="E327" s="13" t="n">
        <v>1</v>
      </c>
      <c r="F327" s="11"/>
      <c r="G327" s="15" t="n">
        <v>0</v>
      </c>
      <c r="H327" s="10" t="s">
        <v>114</v>
      </c>
      <c r="I327" s="9" t="n">
        <f aca="false">IFERROR(E327*F327*(1-G327),"")</f>
        <v>0</v>
      </c>
      <c r="J327" s="9" t="n">
        <f aca="false">IFERROR(I327*IFERROR(VLOOKUP(H327,VatRates,2,FALSE()),0),"")</f>
        <v>0</v>
      </c>
      <c r="K327" s="9" t="n">
        <f aca="false">IFERROR(I327+J327,"")</f>
        <v>0</v>
      </c>
    </row>
    <row r="328" customFormat="false" ht="15" hidden="false" customHeight="false" outlineLevel="0" collapsed="false">
      <c r="A328" s="10"/>
      <c r="B328" s="10"/>
      <c r="C328" s="10"/>
      <c r="D328" s="14" t="str">
        <f aca="false">IFERROR(IF(C328="","",INDEX(Products!$C$5:$C$504,MATCH(C328,Products!$A$5:$A$504,0))),"")</f>
        <v/>
      </c>
      <c r="E328" s="13" t="n">
        <v>1</v>
      </c>
      <c r="F328" s="11"/>
      <c r="G328" s="15" t="n">
        <v>0</v>
      </c>
      <c r="H328" s="10" t="s">
        <v>114</v>
      </c>
      <c r="I328" s="9" t="n">
        <f aca="false">IFERROR(E328*F328*(1-G328),"")</f>
        <v>0</v>
      </c>
      <c r="J328" s="9" t="n">
        <f aca="false">IFERROR(I328*IFERROR(VLOOKUP(H328,VatRates,2,FALSE()),0),"")</f>
        <v>0</v>
      </c>
      <c r="K328" s="9" t="n">
        <f aca="false">IFERROR(I328+J328,"")</f>
        <v>0</v>
      </c>
    </row>
    <row r="329" customFormat="false" ht="15" hidden="false" customHeight="false" outlineLevel="0" collapsed="false">
      <c r="A329" s="10"/>
      <c r="B329" s="10"/>
      <c r="C329" s="10"/>
      <c r="D329" s="14" t="str">
        <f aca="false">IFERROR(IF(C329="","",INDEX(Products!$C$5:$C$504,MATCH(C329,Products!$A$5:$A$504,0))),"")</f>
        <v/>
      </c>
      <c r="E329" s="13" t="n">
        <v>1</v>
      </c>
      <c r="F329" s="11"/>
      <c r="G329" s="15" t="n">
        <v>0</v>
      </c>
      <c r="H329" s="10" t="s">
        <v>114</v>
      </c>
      <c r="I329" s="9" t="n">
        <f aca="false">IFERROR(E329*F329*(1-G329),"")</f>
        <v>0</v>
      </c>
      <c r="J329" s="9" t="n">
        <f aca="false">IFERROR(I329*IFERROR(VLOOKUP(H329,VatRates,2,FALSE()),0),"")</f>
        <v>0</v>
      </c>
      <c r="K329" s="9" t="n">
        <f aca="false">IFERROR(I329+J329,"")</f>
        <v>0</v>
      </c>
    </row>
    <row r="330" customFormat="false" ht="15" hidden="false" customHeight="false" outlineLevel="0" collapsed="false">
      <c r="A330" s="10"/>
      <c r="B330" s="10"/>
      <c r="C330" s="10"/>
      <c r="D330" s="14" t="str">
        <f aca="false">IFERROR(IF(C330="","",INDEX(Products!$C$5:$C$504,MATCH(C330,Products!$A$5:$A$504,0))),"")</f>
        <v/>
      </c>
      <c r="E330" s="13" t="n">
        <v>1</v>
      </c>
      <c r="F330" s="11"/>
      <c r="G330" s="15" t="n">
        <v>0</v>
      </c>
      <c r="H330" s="10" t="s">
        <v>114</v>
      </c>
      <c r="I330" s="9" t="n">
        <f aca="false">IFERROR(E330*F330*(1-G330),"")</f>
        <v>0</v>
      </c>
      <c r="J330" s="9" t="n">
        <f aca="false">IFERROR(I330*IFERROR(VLOOKUP(H330,VatRates,2,FALSE()),0),"")</f>
        <v>0</v>
      </c>
      <c r="K330" s="9" t="n">
        <f aca="false">IFERROR(I330+J330,"")</f>
        <v>0</v>
      </c>
    </row>
    <row r="331" customFormat="false" ht="15" hidden="false" customHeight="false" outlineLevel="0" collapsed="false">
      <c r="A331" s="10"/>
      <c r="B331" s="10"/>
      <c r="C331" s="10"/>
      <c r="D331" s="14" t="str">
        <f aca="false">IFERROR(IF(C331="","",INDEX(Products!$C$5:$C$504,MATCH(C331,Products!$A$5:$A$504,0))),"")</f>
        <v/>
      </c>
      <c r="E331" s="13" t="n">
        <v>1</v>
      </c>
      <c r="F331" s="11"/>
      <c r="G331" s="15" t="n">
        <v>0</v>
      </c>
      <c r="H331" s="10" t="s">
        <v>114</v>
      </c>
      <c r="I331" s="9" t="n">
        <f aca="false">IFERROR(E331*F331*(1-G331),"")</f>
        <v>0</v>
      </c>
      <c r="J331" s="9" t="n">
        <f aca="false">IFERROR(I331*IFERROR(VLOOKUP(H331,VatRates,2,FALSE()),0),"")</f>
        <v>0</v>
      </c>
      <c r="K331" s="9" t="n">
        <f aca="false">IFERROR(I331+J331,"")</f>
        <v>0</v>
      </c>
    </row>
    <row r="332" customFormat="false" ht="15" hidden="false" customHeight="false" outlineLevel="0" collapsed="false">
      <c r="A332" s="10"/>
      <c r="B332" s="10"/>
      <c r="C332" s="10"/>
      <c r="D332" s="14" t="str">
        <f aca="false">IFERROR(IF(C332="","",INDEX(Products!$C$5:$C$504,MATCH(C332,Products!$A$5:$A$504,0))),"")</f>
        <v/>
      </c>
      <c r="E332" s="13" t="n">
        <v>1</v>
      </c>
      <c r="F332" s="11"/>
      <c r="G332" s="15" t="n">
        <v>0</v>
      </c>
      <c r="H332" s="10" t="s">
        <v>114</v>
      </c>
      <c r="I332" s="9" t="n">
        <f aca="false">IFERROR(E332*F332*(1-G332),"")</f>
        <v>0</v>
      </c>
      <c r="J332" s="9" t="n">
        <f aca="false">IFERROR(I332*IFERROR(VLOOKUP(H332,VatRates,2,FALSE()),0),"")</f>
        <v>0</v>
      </c>
      <c r="K332" s="9" t="n">
        <f aca="false">IFERROR(I332+J332,"")</f>
        <v>0</v>
      </c>
    </row>
    <row r="333" customFormat="false" ht="15" hidden="false" customHeight="false" outlineLevel="0" collapsed="false">
      <c r="A333" s="10"/>
      <c r="B333" s="10"/>
      <c r="C333" s="10"/>
      <c r="D333" s="14" t="str">
        <f aca="false">IFERROR(IF(C333="","",INDEX(Products!$C$5:$C$504,MATCH(C333,Products!$A$5:$A$504,0))),"")</f>
        <v/>
      </c>
      <c r="E333" s="13" t="n">
        <v>1</v>
      </c>
      <c r="F333" s="11"/>
      <c r="G333" s="15" t="n">
        <v>0</v>
      </c>
      <c r="H333" s="10" t="s">
        <v>114</v>
      </c>
      <c r="I333" s="9" t="n">
        <f aca="false">IFERROR(E333*F333*(1-G333),"")</f>
        <v>0</v>
      </c>
      <c r="J333" s="9" t="n">
        <f aca="false">IFERROR(I333*IFERROR(VLOOKUP(H333,VatRates,2,FALSE()),0),"")</f>
        <v>0</v>
      </c>
      <c r="K333" s="9" t="n">
        <f aca="false">IFERROR(I333+J333,"")</f>
        <v>0</v>
      </c>
    </row>
    <row r="334" customFormat="false" ht="15" hidden="false" customHeight="false" outlineLevel="0" collapsed="false">
      <c r="A334" s="10"/>
      <c r="B334" s="10"/>
      <c r="C334" s="10"/>
      <c r="D334" s="14" t="str">
        <f aca="false">IFERROR(IF(C334="","",INDEX(Products!$C$5:$C$504,MATCH(C334,Products!$A$5:$A$504,0))),"")</f>
        <v/>
      </c>
      <c r="E334" s="13" t="n">
        <v>1</v>
      </c>
      <c r="F334" s="11"/>
      <c r="G334" s="15" t="n">
        <v>0</v>
      </c>
      <c r="H334" s="10" t="s">
        <v>114</v>
      </c>
      <c r="I334" s="9" t="n">
        <f aca="false">IFERROR(E334*F334*(1-G334),"")</f>
        <v>0</v>
      </c>
      <c r="J334" s="9" t="n">
        <f aca="false">IFERROR(I334*IFERROR(VLOOKUP(H334,VatRates,2,FALSE()),0),"")</f>
        <v>0</v>
      </c>
      <c r="K334" s="9" t="n">
        <f aca="false">IFERROR(I334+J334,"")</f>
        <v>0</v>
      </c>
    </row>
    <row r="335" customFormat="false" ht="15" hidden="false" customHeight="false" outlineLevel="0" collapsed="false">
      <c r="A335" s="10"/>
      <c r="B335" s="10"/>
      <c r="C335" s="10"/>
      <c r="D335" s="14" t="str">
        <f aca="false">IFERROR(IF(C335="","",INDEX(Products!$C$5:$C$504,MATCH(C335,Products!$A$5:$A$504,0))),"")</f>
        <v/>
      </c>
      <c r="E335" s="13" t="n">
        <v>1</v>
      </c>
      <c r="F335" s="11"/>
      <c r="G335" s="15" t="n">
        <v>0</v>
      </c>
      <c r="H335" s="10" t="s">
        <v>114</v>
      </c>
      <c r="I335" s="9" t="n">
        <f aca="false">IFERROR(E335*F335*(1-G335),"")</f>
        <v>0</v>
      </c>
      <c r="J335" s="9" t="n">
        <f aca="false">IFERROR(I335*IFERROR(VLOOKUP(H335,VatRates,2,FALSE()),0),"")</f>
        <v>0</v>
      </c>
      <c r="K335" s="9" t="n">
        <f aca="false">IFERROR(I335+J335,"")</f>
        <v>0</v>
      </c>
    </row>
    <row r="336" customFormat="false" ht="15" hidden="false" customHeight="false" outlineLevel="0" collapsed="false">
      <c r="A336" s="10"/>
      <c r="B336" s="10"/>
      <c r="C336" s="10"/>
      <c r="D336" s="14" t="str">
        <f aca="false">IFERROR(IF(C336="","",INDEX(Products!$C$5:$C$504,MATCH(C336,Products!$A$5:$A$504,0))),"")</f>
        <v/>
      </c>
      <c r="E336" s="13" t="n">
        <v>1</v>
      </c>
      <c r="F336" s="11"/>
      <c r="G336" s="15" t="n">
        <v>0</v>
      </c>
      <c r="H336" s="10" t="s">
        <v>114</v>
      </c>
      <c r="I336" s="9" t="n">
        <f aca="false">IFERROR(E336*F336*(1-G336),"")</f>
        <v>0</v>
      </c>
      <c r="J336" s="9" t="n">
        <f aca="false">IFERROR(I336*IFERROR(VLOOKUP(H336,VatRates,2,FALSE()),0),"")</f>
        <v>0</v>
      </c>
      <c r="K336" s="9" t="n">
        <f aca="false">IFERROR(I336+J336,"")</f>
        <v>0</v>
      </c>
    </row>
    <row r="337" customFormat="false" ht="15" hidden="false" customHeight="false" outlineLevel="0" collapsed="false">
      <c r="A337" s="10"/>
      <c r="B337" s="10"/>
      <c r="C337" s="10"/>
      <c r="D337" s="14" t="str">
        <f aca="false">IFERROR(IF(C337="","",INDEX(Products!$C$5:$C$504,MATCH(C337,Products!$A$5:$A$504,0))),"")</f>
        <v/>
      </c>
      <c r="E337" s="13" t="n">
        <v>1</v>
      </c>
      <c r="F337" s="11"/>
      <c r="G337" s="15" t="n">
        <v>0</v>
      </c>
      <c r="H337" s="10" t="s">
        <v>114</v>
      </c>
      <c r="I337" s="9" t="n">
        <f aca="false">IFERROR(E337*F337*(1-G337),"")</f>
        <v>0</v>
      </c>
      <c r="J337" s="9" t="n">
        <f aca="false">IFERROR(I337*IFERROR(VLOOKUP(H337,VatRates,2,FALSE()),0),"")</f>
        <v>0</v>
      </c>
      <c r="K337" s="9" t="n">
        <f aca="false">IFERROR(I337+J337,"")</f>
        <v>0</v>
      </c>
    </row>
    <row r="338" customFormat="false" ht="15" hidden="false" customHeight="false" outlineLevel="0" collapsed="false">
      <c r="A338" s="10"/>
      <c r="B338" s="10"/>
      <c r="C338" s="10"/>
      <c r="D338" s="14" t="str">
        <f aca="false">IFERROR(IF(C338="","",INDEX(Products!$C$5:$C$504,MATCH(C338,Products!$A$5:$A$504,0))),"")</f>
        <v/>
      </c>
      <c r="E338" s="13" t="n">
        <v>1</v>
      </c>
      <c r="F338" s="11"/>
      <c r="G338" s="15" t="n">
        <v>0</v>
      </c>
      <c r="H338" s="10" t="s">
        <v>114</v>
      </c>
      <c r="I338" s="9" t="n">
        <f aca="false">IFERROR(E338*F338*(1-G338),"")</f>
        <v>0</v>
      </c>
      <c r="J338" s="9" t="n">
        <f aca="false">IFERROR(I338*IFERROR(VLOOKUP(H338,VatRates,2,FALSE()),0),"")</f>
        <v>0</v>
      </c>
      <c r="K338" s="9" t="n">
        <f aca="false">IFERROR(I338+J338,"")</f>
        <v>0</v>
      </c>
    </row>
    <row r="339" customFormat="false" ht="15" hidden="false" customHeight="false" outlineLevel="0" collapsed="false">
      <c r="A339" s="10"/>
      <c r="B339" s="10"/>
      <c r="C339" s="10"/>
      <c r="D339" s="14" t="str">
        <f aca="false">IFERROR(IF(C339="","",INDEX(Products!$C$5:$C$504,MATCH(C339,Products!$A$5:$A$504,0))),"")</f>
        <v/>
      </c>
      <c r="E339" s="13" t="n">
        <v>1</v>
      </c>
      <c r="F339" s="11"/>
      <c r="G339" s="15" t="n">
        <v>0</v>
      </c>
      <c r="H339" s="10" t="s">
        <v>114</v>
      </c>
      <c r="I339" s="9" t="n">
        <f aca="false">IFERROR(E339*F339*(1-G339),"")</f>
        <v>0</v>
      </c>
      <c r="J339" s="9" t="n">
        <f aca="false">IFERROR(I339*IFERROR(VLOOKUP(H339,VatRates,2,FALSE()),0),"")</f>
        <v>0</v>
      </c>
      <c r="K339" s="9" t="n">
        <f aca="false">IFERROR(I339+J339,"")</f>
        <v>0</v>
      </c>
    </row>
    <row r="340" customFormat="false" ht="15" hidden="false" customHeight="false" outlineLevel="0" collapsed="false">
      <c r="A340" s="10"/>
      <c r="B340" s="10"/>
      <c r="C340" s="10"/>
      <c r="D340" s="14" t="str">
        <f aca="false">IFERROR(IF(C340="","",INDEX(Products!$C$5:$C$504,MATCH(C340,Products!$A$5:$A$504,0))),"")</f>
        <v/>
      </c>
      <c r="E340" s="13" t="n">
        <v>1</v>
      </c>
      <c r="F340" s="11"/>
      <c r="G340" s="15" t="n">
        <v>0</v>
      </c>
      <c r="H340" s="10" t="s">
        <v>114</v>
      </c>
      <c r="I340" s="9" t="n">
        <f aca="false">IFERROR(E340*F340*(1-G340),"")</f>
        <v>0</v>
      </c>
      <c r="J340" s="9" t="n">
        <f aca="false">IFERROR(I340*IFERROR(VLOOKUP(H340,VatRates,2,FALSE()),0),"")</f>
        <v>0</v>
      </c>
      <c r="K340" s="9" t="n">
        <f aca="false">IFERROR(I340+J340,"")</f>
        <v>0</v>
      </c>
    </row>
    <row r="341" customFormat="false" ht="15" hidden="false" customHeight="false" outlineLevel="0" collapsed="false">
      <c r="A341" s="10"/>
      <c r="B341" s="10"/>
      <c r="C341" s="10"/>
      <c r="D341" s="14" t="str">
        <f aca="false">IFERROR(IF(C341="","",INDEX(Products!$C$5:$C$504,MATCH(C341,Products!$A$5:$A$504,0))),"")</f>
        <v/>
      </c>
      <c r="E341" s="13" t="n">
        <v>1</v>
      </c>
      <c r="F341" s="11"/>
      <c r="G341" s="15" t="n">
        <v>0</v>
      </c>
      <c r="H341" s="10" t="s">
        <v>114</v>
      </c>
      <c r="I341" s="9" t="n">
        <f aca="false">IFERROR(E341*F341*(1-G341),"")</f>
        <v>0</v>
      </c>
      <c r="J341" s="9" t="n">
        <f aca="false">IFERROR(I341*IFERROR(VLOOKUP(H341,VatRates,2,FALSE()),0),"")</f>
        <v>0</v>
      </c>
      <c r="K341" s="9" t="n">
        <f aca="false">IFERROR(I341+J341,"")</f>
        <v>0</v>
      </c>
    </row>
    <row r="342" customFormat="false" ht="15" hidden="false" customHeight="false" outlineLevel="0" collapsed="false">
      <c r="A342" s="10"/>
      <c r="B342" s="10"/>
      <c r="C342" s="10"/>
      <c r="D342" s="14" t="str">
        <f aca="false">IFERROR(IF(C342="","",INDEX(Products!$C$5:$C$504,MATCH(C342,Products!$A$5:$A$504,0))),"")</f>
        <v/>
      </c>
      <c r="E342" s="13" t="n">
        <v>1</v>
      </c>
      <c r="F342" s="11"/>
      <c r="G342" s="15" t="n">
        <v>0</v>
      </c>
      <c r="H342" s="10" t="s">
        <v>114</v>
      </c>
      <c r="I342" s="9" t="n">
        <f aca="false">IFERROR(E342*F342*(1-G342),"")</f>
        <v>0</v>
      </c>
      <c r="J342" s="9" t="n">
        <f aca="false">IFERROR(I342*IFERROR(VLOOKUP(H342,VatRates,2,FALSE()),0),"")</f>
        <v>0</v>
      </c>
      <c r="K342" s="9" t="n">
        <f aca="false">IFERROR(I342+J342,"")</f>
        <v>0</v>
      </c>
    </row>
    <row r="343" customFormat="false" ht="15" hidden="false" customHeight="false" outlineLevel="0" collapsed="false">
      <c r="A343" s="10"/>
      <c r="B343" s="10"/>
      <c r="C343" s="10"/>
      <c r="D343" s="14" t="str">
        <f aca="false">IFERROR(IF(C343="","",INDEX(Products!$C$5:$C$504,MATCH(C343,Products!$A$5:$A$504,0))),"")</f>
        <v/>
      </c>
      <c r="E343" s="13" t="n">
        <v>1</v>
      </c>
      <c r="F343" s="11"/>
      <c r="G343" s="15" t="n">
        <v>0</v>
      </c>
      <c r="H343" s="10" t="s">
        <v>114</v>
      </c>
      <c r="I343" s="9" t="n">
        <f aca="false">IFERROR(E343*F343*(1-G343),"")</f>
        <v>0</v>
      </c>
      <c r="J343" s="9" t="n">
        <f aca="false">IFERROR(I343*IFERROR(VLOOKUP(H343,VatRates,2,FALSE()),0),"")</f>
        <v>0</v>
      </c>
      <c r="K343" s="9" t="n">
        <f aca="false">IFERROR(I343+J343,"")</f>
        <v>0</v>
      </c>
    </row>
    <row r="344" customFormat="false" ht="15" hidden="false" customHeight="false" outlineLevel="0" collapsed="false">
      <c r="A344" s="10"/>
      <c r="B344" s="10"/>
      <c r="C344" s="10"/>
      <c r="D344" s="14" t="str">
        <f aca="false">IFERROR(IF(C344="","",INDEX(Products!$C$5:$C$504,MATCH(C344,Products!$A$5:$A$504,0))),"")</f>
        <v/>
      </c>
      <c r="E344" s="13" t="n">
        <v>1</v>
      </c>
      <c r="F344" s="11"/>
      <c r="G344" s="15" t="n">
        <v>0</v>
      </c>
      <c r="H344" s="10" t="s">
        <v>114</v>
      </c>
      <c r="I344" s="9" t="n">
        <f aca="false">IFERROR(E344*F344*(1-G344),"")</f>
        <v>0</v>
      </c>
      <c r="J344" s="9" t="n">
        <f aca="false">IFERROR(I344*IFERROR(VLOOKUP(H344,VatRates,2,FALSE()),0),"")</f>
        <v>0</v>
      </c>
      <c r="K344" s="9" t="n">
        <f aca="false">IFERROR(I344+J344,"")</f>
        <v>0</v>
      </c>
    </row>
    <row r="345" customFormat="false" ht="15" hidden="false" customHeight="false" outlineLevel="0" collapsed="false">
      <c r="A345" s="10"/>
      <c r="B345" s="10"/>
      <c r="C345" s="10"/>
      <c r="D345" s="14" t="str">
        <f aca="false">IFERROR(IF(C345="","",INDEX(Products!$C$5:$C$504,MATCH(C345,Products!$A$5:$A$504,0))),"")</f>
        <v/>
      </c>
      <c r="E345" s="13" t="n">
        <v>1</v>
      </c>
      <c r="F345" s="11"/>
      <c r="G345" s="15" t="n">
        <v>0</v>
      </c>
      <c r="H345" s="10" t="s">
        <v>114</v>
      </c>
      <c r="I345" s="9" t="n">
        <f aca="false">IFERROR(E345*F345*(1-G345),"")</f>
        <v>0</v>
      </c>
      <c r="J345" s="9" t="n">
        <f aca="false">IFERROR(I345*IFERROR(VLOOKUP(H345,VatRates,2,FALSE()),0),"")</f>
        <v>0</v>
      </c>
      <c r="K345" s="9" t="n">
        <f aca="false">IFERROR(I345+J345,"")</f>
        <v>0</v>
      </c>
    </row>
    <row r="346" customFormat="false" ht="15" hidden="false" customHeight="false" outlineLevel="0" collapsed="false">
      <c r="A346" s="10"/>
      <c r="B346" s="10"/>
      <c r="C346" s="10"/>
      <c r="D346" s="14" t="str">
        <f aca="false">IFERROR(IF(C346="","",INDEX(Products!$C$5:$C$504,MATCH(C346,Products!$A$5:$A$504,0))),"")</f>
        <v/>
      </c>
      <c r="E346" s="13" t="n">
        <v>1</v>
      </c>
      <c r="F346" s="11"/>
      <c r="G346" s="15" t="n">
        <v>0</v>
      </c>
      <c r="H346" s="10" t="s">
        <v>114</v>
      </c>
      <c r="I346" s="9" t="n">
        <f aca="false">IFERROR(E346*F346*(1-G346),"")</f>
        <v>0</v>
      </c>
      <c r="J346" s="9" t="n">
        <f aca="false">IFERROR(I346*IFERROR(VLOOKUP(H346,VatRates,2,FALSE()),0),"")</f>
        <v>0</v>
      </c>
      <c r="K346" s="9" t="n">
        <f aca="false">IFERROR(I346+J346,"")</f>
        <v>0</v>
      </c>
    </row>
    <row r="347" customFormat="false" ht="15" hidden="false" customHeight="false" outlineLevel="0" collapsed="false">
      <c r="A347" s="10"/>
      <c r="B347" s="10"/>
      <c r="C347" s="10"/>
      <c r="D347" s="14" t="str">
        <f aca="false">IFERROR(IF(C347="","",INDEX(Products!$C$5:$C$504,MATCH(C347,Products!$A$5:$A$504,0))),"")</f>
        <v/>
      </c>
      <c r="E347" s="13" t="n">
        <v>1</v>
      </c>
      <c r="F347" s="11"/>
      <c r="G347" s="15" t="n">
        <v>0</v>
      </c>
      <c r="H347" s="10" t="s">
        <v>114</v>
      </c>
      <c r="I347" s="9" t="n">
        <f aca="false">IFERROR(E347*F347*(1-G347),"")</f>
        <v>0</v>
      </c>
      <c r="J347" s="9" t="n">
        <f aca="false">IFERROR(I347*IFERROR(VLOOKUP(H347,VatRates,2,FALSE()),0),"")</f>
        <v>0</v>
      </c>
      <c r="K347" s="9" t="n">
        <f aca="false">IFERROR(I347+J347,"")</f>
        <v>0</v>
      </c>
    </row>
    <row r="348" customFormat="false" ht="15" hidden="false" customHeight="false" outlineLevel="0" collapsed="false">
      <c r="A348" s="10"/>
      <c r="B348" s="10"/>
      <c r="C348" s="10"/>
      <c r="D348" s="14" t="str">
        <f aca="false">IFERROR(IF(C348="","",INDEX(Products!$C$5:$C$504,MATCH(C348,Products!$A$5:$A$504,0))),"")</f>
        <v/>
      </c>
      <c r="E348" s="13" t="n">
        <v>1</v>
      </c>
      <c r="F348" s="11"/>
      <c r="G348" s="15" t="n">
        <v>0</v>
      </c>
      <c r="H348" s="10" t="s">
        <v>114</v>
      </c>
      <c r="I348" s="9" t="n">
        <f aca="false">IFERROR(E348*F348*(1-G348),"")</f>
        <v>0</v>
      </c>
      <c r="J348" s="9" t="n">
        <f aca="false">IFERROR(I348*IFERROR(VLOOKUP(H348,VatRates,2,FALSE()),0),"")</f>
        <v>0</v>
      </c>
      <c r="K348" s="9" t="n">
        <f aca="false">IFERROR(I348+J348,"")</f>
        <v>0</v>
      </c>
    </row>
    <row r="349" customFormat="false" ht="15" hidden="false" customHeight="false" outlineLevel="0" collapsed="false">
      <c r="A349" s="10"/>
      <c r="B349" s="10"/>
      <c r="C349" s="10"/>
      <c r="D349" s="14" t="str">
        <f aca="false">IFERROR(IF(C349="","",INDEX(Products!$C$5:$C$504,MATCH(C349,Products!$A$5:$A$504,0))),"")</f>
        <v/>
      </c>
      <c r="E349" s="13" t="n">
        <v>1</v>
      </c>
      <c r="F349" s="11"/>
      <c r="G349" s="15" t="n">
        <v>0</v>
      </c>
      <c r="H349" s="10" t="s">
        <v>114</v>
      </c>
      <c r="I349" s="9" t="n">
        <f aca="false">IFERROR(E349*F349*(1-G349),"")</f>
        <v>0</v>
      </c>
      <c r="J349" s="9" t="n">
        <f aca="false">IFERROR(I349*IFERROR(VLOOKUP(H349,VatRates,2,FALSE()),0),"")</f>
        <v>0</v>
      </c>
      <c r="K349" s="9" t="n">
        <f aca="false">IFERROR(I349+J349,"")</f>
        <v>0</v>
      </c>
    </row>
    <row r="350" customFormat="false" ht="15" hidden="false" customHeight="false" outlineLevel="0" collapsed="false">
      <c r="A350" s="10"/>
      <c r="B350" s="10"/>
      <c r="C350" s="10"/>
      <c r="D350" s="14" t="str">
        <f aca="false">IFERROR(IF(C350="","",INDEX(Products!$C$5:$C$504,MATCH(C350,Products!$A$5:$A$504,0))),"")</f>
        <v/>
      </c>
      <c r="E350" s="13" t="n">
        <v>1</v>
      </c>
      <c r="F350" s="11"/>
      <c r="G350" s="15" t="n">
        <v>0</v>
      </c>
      <c r="H350" s="10" t="s">
        <v>114</v>
      </c>
      <c r="I350" s="9" t="n">
        <f aca="false">IFERROR(E350*F350*(1-G350),"")</f>
        <v>0</v>
      </c>
      <c r="J350" s="9" t="n">
        <f aca="false">IFERROR(I350*IFERROR(VLOOKUP(H350,VatRates,2,FALSE()),0),"")</f>
        <v>0</v>
      </c>
      <c r="K350" s="9" t="n">
        <f aca="false">IFERROR(I350+J350,"")</f>
        <v>0</v>
      </c>
    </row>
    <row r="351" customFormat="false" ht="15" hidden="false" customHeight="false" outlineLevel="0" collapsed="false">
      <c r="A351" s="10"/>
      <c r="B351" s="10"/>
      <c r="C351" s="10"/>
      <c r="D351" s="14" t="str">
        <f aca="false">IFERROR(IF(C351="","",INDEX(Products!$C$5:$C$504,MATCH(C351,Products!$A$5:$A$504,0))),"")</f>
        <v/>
      </c>
      <c r="E351" s="13" t="n">
        <v>1</v>
      </c>
      <c r="F351" s="11"/>
      <c r="G351" s="15" t="n">
        <v>0</v>
      </c>
      <c r="H351" s="10" t="s">
        <v>114</v>
      </c>
      <c r="I351" s="9" t="n">
        <f aca="false">IFERROR(E351*F351*(1-G351),"")</f>
        <v>0</v>
      </c>
      <c r="J351" s="9" t="n">
        <f aca="false">IFERROR(I351*IFERROR(VLOOKUP(H351,VatRates,2,FALSE()),0),"")</f>
        <v>0</v>
      </c>
      <c r="K351" s="9" t="n">
        <f aca="false">IFERROR(I351+J351,"")</f>
        <v>0</v>
      </c>
    </row>
    <row r="352" customFormat="false" ht="15" hidden="false" customHeight="false" outlineLevel="0" collapsed="false">
      <c r="A352" s="10"/>
      <c r="B352" s="10"/>
      <c r="C352" s="10"/>
      <c r="D352" s="14" t="str">
        <f aca="false">IFERROR(IF(C352="","",INDEX(Products!$C$5:$C$504,MATCH(C352,Products!$A$5:$A$504,0))),"")</f>
        <v/>
      </c>
      <c r="E352" s="13" t="n">
        <v>1</v>
      </c>
      <c r="F352" s="11"/>
      <c r="G352" s="15" t="n">
        <v>0</v>
      </c>
      <c r="H352" s="10" t="s">
        <v>114</v>
      </c>
      <c r="I352" s="9" t="n">
        <f aca="false">IFERROR(E352*F352*(1-G352),"")</f>
        <v>0</v>
      </c>
      <c r="J352" s="9" t="n">
        <f aca="false">IFERROR(I352*IFERROR(VLOOKUP(H352,VatRates,2,FALSE()),0),"")</f>
        <v>0</v>
      </c>
      <c r="K352" s="9" t="n">
        <f aca="false">IFERROR(I352+J352,"")</f>
        <v>0</v>
      </c>
    </row>
    <row r="353" customFormat="false" ht="15" hidden="false" customHeight="false" outlineLevel="0" collapsed="false">
      <c r="A353" s="10"/>
      <c r="B353" s="10"/>
      <c r="C353" s="10"/>
      <c r="D353" s="14" t="str">
        <f aca="false">IFERROR(IF(C353="","",INDEX(Products!$C$5:$C$504,MATCH(C353,Products!$A$5:$A$504,0))),"")</f>
        <v/>
      </c>
      <c r="E353" s="13" t="n">
        <v>1</v>
      </c>
      <c r="F353" s="11"/>
      <c r="G353" s="15" t="n">
        <v>0</v>
      </c>
      <c r="H353" s="10" t="s">
        <v>114</v>
      </c>
      <c r="I353" s="9" t="n">
        <f aca="false">IFERROR(E353*F353*(1-G353),"")</f>
        <v>0</v>
      </c>
      <c r="J353" s="9" t="n">
        <f aca="false">IFERROR(I353*IFERROR(VLOOKUP(H353,VatRates,2,FALSE()),0),"")</f>
        <v>0</v>
      </c>
      <c r="K353" s="9" t="n">
        <f aca="false">IFERROR(I353+J353,"")</f>
        <v>0</v>
      </c>
    </row>
    <row r="354" customFormat="false" ht="15" hidden="false" customHeight="false" outlineLevel="0" collapsed="false">
      <c r="A354" s="10"/>
      <c r="B354" s="10"/>
      <c r="C354" s="10"/>
      <c r="D354" s="14" t="str">
        <f aca="false">IFERROR(IF(C354="","",INDEX(Products!$C$5:$C$504,MATCH(C354,Products!$A$5:$A$504,0))),"")</f>
        <v/>
      </c>
      <c r="E354" s="13" t="n">
        <v>1</v>
      </c>
      <c r="F354" s="11"/>
      <c r="G354" s="15" t="n">
        <v>0</v>
      </c>
      <c r="H354" s="10" t="s">
        <v>114</v>
      </c>
      <c r="I354" s="9" t="n">
        <f aca="false">IFERROR(E354*F354*(1-G354),"")</f>
        <v>0</v>
      </c>
      <c r="J354" s="9" t="n">
        <f aca="false">IFERROR(I354*IFERROR(VLOOKUP(H354,VatRates,2,FALSE()),0),"")</f>
        <v>0</v>
      </c>
      <c r="K354" s="9" t="n">
        <f aca="false">IFERROR(I354+J354,"")</f>
        <v>0</v>
      </c>
    </row>
    <row r="355" customFormat="false" ht="15" hidden="false" customHeight="false" outlineLevel="0" collapsed="false">
      <c r="A355" s="10"/>
      <c r="B355" s="10"/>
      <c r="C355" s="10"/>
      <c r="D355" s="14" t="str">
        <f aca="false">IFERROR(IF(C355="","",INDEX(Products!$C$5:$C$504,MATCH(C355,Products!$A$5:$A$504,0))),"")</f>
        <v/>
      </c>
      <c r="E355" s="13" t="n">
        <v>1</v>
      </c>
      <c r="F355" s="11"/>
      <c r="G355" s="15" t="n">
        <v>0</v>
      </c>
      <c r="H355" s="10" t="s">
        <v>114</v>
      </c>
      <c r="I355" s="9" t="n">
        <f aca="false">IFERROR(E355*F355*(1-G355),"")</f>
        <v>0</v>
      </c>
      <c r="J355" s="9" t="n">
        <f aca="false">IFERROR(I355*IFERROR(VLOOKUP(H355,VatRates,2,FALSE()),0),"")</f>
        <v>0</v>
      </c>
      <c r="K355" s="9" t="n">
        <f aca="false">IFERROR(I355+J355,"")</f>
        <v>0</v>
      </c>
    </row>
    <row r="356" customFormat="false" ht="15" hidden="false" customHeight="false" outlineLevel="0" collapsed="false">
      <c r="A356" s="10"/>
      <c r="B356" s="10"/>
      <c r="C356" s="10"/>
      <c r="D356" s="14" t="str">
        <f aca="false">IFERROR(IF(C356="","",INDEX(Products!$C$5:$C$504,MATCH(C356,Products!$A$5:$A$504,0))),"")</f>
        <v/>
      </c>
      <c r="E356" s="13" t="n">
        <v>1</v>
      </c>
      <c r="F356" s="11"/>
      <c r="G356" s="15" t="n">
        <v>0</v>
      </c>
      <c r="H356" s="10" t="s">
        <v>114</v>
      </c>
      <c r="I356" s="9" t="n">
        <f aca="false">IFERROR(E356*F356*(1-G356),"")</f>
        <v>0</v>
      </c>
      <c r="J356" s="9" t="n">
        <f aca="false">IFERROR(I356*IFERROR(VLOOKUP(H356,VatRates,2,FALSE()),0),"")</f>
        <v>0</v>
      </c>
      <c r="K356" s="9" t="n">
        <f aca="false">IFERROR(I356+J356,"")</f>
        <v>0</v>
      </c>
    </row>
    <row r="357" customFormat="false" ht="15" hidden="false" customHeight="false" outlineLevel="0" collapsed="false">
      <c r="A357" s="10"/>
      <c r="B357" s="10"/>
      <c r="C357" s="10"/>
      <c r="D357" s="14" t="str">
        <f aca="false">IFERROR(IF(C357="","",INDEX(Products!$C$5:$C$504,MATCH(C357,Products!$A$5:$A$504,0))),"")</f>
        <v/>
      </c>
      <c r="E357" s="13" t="n">
        <v>1</v>
      </c>
      <c r="F357" s="11"/>
      <c r="G357" s="15" t="n">
        <v>0</v>
      </c>
      <c r="H357" s="10" t="s">
        <v>114</v>
      </c>
      <c r="I357" s="9" t="n">
        <f aca="false">IFERROR(E357*F357*(1-G357),"")</f>
        <v>0</v>
      </c>
      <c r="J357" s="9" t="n">
        <f aca="false">IFERROR(I357*IFERROR(VLOOKUP(H357,VatRates,2,FALSE()),0),"")</f>
        <v>0</v>
      </c>
      <c r="K357" s="9" t="n">
        <f aca="false">IFERROR(I357+J357,"")</f>
        <v>0</v>
      </c>
    </row>
    <row r="358" customFormat="false" ht="15" hidden="false" customHeight="false" outlineLevel="0" collapsed="false">
      <c r="A358" s="10"/>
      <c r="B358" s="10"/>
      <c r="C358" s="10"/>
      <c r="D358" s="14" t="str">
        <f aca="false">IFERROR(IF(C358="","",INDEX(Products!$C$5:$C$504,MATCH(C358,Products!$A$5:$A$504,0))),"")</f>
        <v/>
      </c>
      <c r="E358" s="13" t="n">
        <v>1</v>
      </c>
      <c r="F358" s="11"/>
      <c r="G358" s="15" t="n">
        <v>0</v>
      </c>
      <c r="H358" s="10" t="s">
        <v>114</v>
      </c>
      <c r="I358" s="9" t="n">
        <f aca="false">IFERROR(E358*F358*(1-G358),"")</f>
        <v>0</v>
      </c>
      <c r="J358" s="9" t="n">
        <f aca="false">IFERROR(I358*IFERROR(VLOOKUP(H358,VatRates,2,FALSE()),0),"")</f>
        <v>0</v>
      </c>
      <c r="K358" s="9" t="n">
        <f aca="false">IFERROR(I358+J358,"")</f>
        <v>0</v>
      </c>
    </row>
    <row r="359" customFormat="false" ht="15" hidden="false" customHeight="false" outlineLevel="0" collapsed="false">
      <c r="A359" s="10"/>
      <c r="B359" s="10"/>
      <c r="C359" s="10"/>
      <c r="D359" s="14" t="str">
        <f aca="false">IFERROR(IF(C359="","",INDEX(Products!$C$5:$C$504,MATCH(C359,Products!$A$5:$A$504,0))),"")</f>
        <v/>
      </c>
      <c r="E359" s="13" t="n">
        <v>1</v>
      </c>
      <c r="F359" s="11"/>
      <c r="G359" s="15" t="n">
        <v>0</v>
      </c>
      <c r="H359" s="10" t="s">
        <v>114</v>
      </c>
      <c r="I359" s="9" t="n">
        <f aca="false">IFERROR(E359*F359*(1-G359),"")</f>
        <v>0</v>
      </c>
      <c r="J359" s="9" t="n">
        <f aca="false">IFERROR(I359*IFERROR(VLOOKUP(H359,VatRates,2,FALSE()),0),"")</f>
        <v>0</v>
      </c>
      <c r="K359" s="9" t="n">
        <f aca="false">IFERROR(I359+J359,"")</f>
        <v>0</v>
      </c>
    </row>
    <row r="360" customFormat="false" ht="15" hidden="false" customHeight="false" outlineLevel="0" collapsed="false">
      <c r="A360" s="10"/>
      <c r="B360" s="10"/>
      <c r="C360" s="10"/>
      <c r="D360" s="14" t="str">
        <f aca="false">IFERROR(IF(C360="","",INDEX(Products!$C$5:$C$504,MATCH(C360,Products!$A$5:$A$504,0))),"")</f>
        <v/>
      </c>
      <c r="E360" s="13" t="n">
        <v>1</v>
      </c>
      <c r="F360" s="11"/>
      <c r="G360" s="15" t="n">
        <v>0</v>
      </c>
      <c r="H360" s="10" t="s">
        <v>114</v>
      </c>
      <c r="I360" s="9" t="n">
        <f aca="false">IFERROR(E360*F360*(1-G360),"")</f>
        <v>0</v>
      </c>
      <c r="J360" s="9" t="n">
        <f aca="false">IFERROR(I360*IFERROR(VLOOKUP(H360,VatRates,2,FALSE()),0),"")</f>
        <v>0</v>
      </c>
      <c r="K360" s="9" t="n">
        <f aca="false">IFERROR(I360+J360,"")</f>
        <v>0</v>
      </c>
    </row>
    <row r="361" customFormat="false" ht="15" hidden="false" customHeight="false" outlineLevel="0" collapsed="false">
      <c r="A361" s="10"/>
      <c r="B361" s="10"/>
      <c r="C361" s="10"/>
      <c r="D361" s="14" t="str">
        <f aca="false">IFERROR(IF(C361="","",INDEX(Products!$C$5:$C$504,MATCH(C361,Products!$A$5:$A$504,0))),"")</f>
        <v/>
      </c>
      <c r="E361" s="13" t="n">
        <v>1</v>
      </c>
      <c r="F361" s="11"/>
      <c r="G361" s="15" t="n">
        <v>0</v>
      </c>
      <c r="H361" s="10" t="s">
        <v>114</v>
      </c>
      <c r="I361" s="9" t="n">
        <f aca="false">IFERROR(E361*F361*(1-G361),"")</f>
        <v>0</v>
      </c>
      <c r="J361" s="9" t="n">
        <f aca="false">IFERROR(I361*IFERROR(VLOOKUP(H361,VatRates,2,FALSE()),0),"")</f>
        <v>0</v>
      </c>
      <c r="K361" s="9" t="n">
        <f aca="false">IFERROR(I361+J361,"")</f>
        <v>0</v>
      </c>
    </row>
    <row r="362" customFormat="false" ht="15" hidden="false" customHeight="false" outlineLevel="0" collapsed="false">
      <c r="A362" s="10"/>
      <c r="B362" s="10"/>
      <c r="C362" s="10"/>
      <c r="D362" s="14" t="str">
        <f aca="false">IFERROR(IF(C362="","",INDEX(Products!$C$5:$C$504,MATCH(C362,Products!$A$5:$A$504,0))),"")</f>
        <v/>
      </c>
      <c r="E362" s="13" t="n">
        <v>1</v>
      </c>
      <c r="F362" s="11"/>
      <c r="G362" s="15" t="n">
        <v>0</v>
      </c>
      <c r="H362" s="10" t="s">
        <v>114</v>
      </c>
      <c r="I362" s="9" t="n">
        <f aca="false">IFERROR(E362*F362*(1-G362),"")</f>
        <v>0</v>
      </c>
      <c r="J362" s="9" t="n">
        <f aca="false">IFERROR(I362*IFERROR(VLOOKUP(H362,VatRates,2,FALSE()),0),"")</f>
        <v>0</v>
      </c>
      <c r="K362" s="9" t="n">
        <f aca="false">IFERROR(I362+J362,"")</f>
        <v>0</v>
      </c>
    </row>
    <row r="363" customFormat="false" ht="15" hidden="false" customHeight="false" outlineLevel="0" collapsed="false">
      <c r="A363" s="10"/>
      <c r="B363" s="10"/>
      <c r="C363" s="10"/>
      <c r="D363" s="14" t="str">
        <f aca="false">IFERROR(IF(C363="","",INDEX(Products!$C$5:$C$504,MATCH(C363,Products!$A$5:$A$504,0))),"")</f>
        <v/>
      </c>
      <c r="E363" s="13" t="n">
        <v>1</v>
      </c>
      <c r="F363" s="11"/>
      <c r="G363" s="15" t="n">
        <v>0</v>
      </c>
      <c r="H363" s="10" t="s">
        <v>114</v>
      </c>
      <c r="I363" s="9" t="n">
        <f aca="false">IFERROR(E363*F363*(1-G363),"")</f>
        <v>0</v>
      </c>
      <c r="J363" s="9" t="n">
        <f aca="false">IFERROR(I363*IFERROR(VLOOKUP(H363,VatRates,2,FALSE()),0),"")</f>
        <v>0</v>
      </c>
      <c r="K363" s="9" t="n">
        <f aca="false">IFERROR(I363+J363,"")</f>
        <v>0</v>
      </c>
    </row>
    <row r="364" customFormat="false" ht="15" hidden="false" customHeight="false" outlineLevel="0" collapsed="false">
      <c r="A364" s="10"/>
      <c r="B364" s="10"/>
      <c r="C364" s="10"/>
      <c r="D364" s="14" t="str">
        <f aca="false">IFERROR(IF(C364="","",INDEX(Products!$C$5:$C$504,MATCH(C364,Products!$A$5:$A$504,0))),"")</f>
        <v/>
      </c>
      <c r="E364" s="13" t="n">
        <v>1</v>
      </c>
      <c r="F364" s="11"/>
      <c r="G364" s="15" t="n">
        <v>0</v>
      </c>
      <c r="H364" s="10" t="s">
        <v>114</v>
      </c>
      <c r="I364" s="9" t="n">
        <f aca="false">IFERROR(E364*F364*(1-G364),"")</f>
        <v>0</v>
      </c>
      <c r="J364" s="9" t="n">
        <f aca="false">IFERROR(I364*IFERROR(VLOOKUP(H364,VatRates,2,FALSE()),0),"")</f>
        <v>0</v>
      </c>
      <c r="K364" s="9" t="n">
        <f aca="false">IFERROR(I364+J364,"")</f>
        <v>0</v>
      </c>
    </row>
    <row r="365" customFormat="false" ht="15" hidden="false" customHeight="false" outlineLevel="0" collapsed="false">
      <c r="A365" s="10"/>
      <c r="B365" s="10"/>
      <c r="C365" s="10"/>
      <c r="D365" s="14" t="str">
        <f aca="false">IFERROR(IF(C365="","",INDEX(Products!$C$5:$C$504,MATCH(C365,Products!$A$5:$A$504,0))),"")</f>
        <v/>
      </c>
      <c r="E365" s="13" t="n">
        <v>1</v>
      </c>
      <c r="F365" s="11"/>
      <c r="G365" s="15" t="n">
        <v>0</v>
      </c>
      <c r="H365" s="10" t="s">
        <v>114</v>
      </c>
      <c r="I365" s="9" t="n">
        <f aca="false">IFERROR(E365*F365*(1-G365),"")</f>
        <v>0</v>
      </c>
      <c r="J365" s="9" t="n">
        <f aca="false">IFERROR(I365*IFERROR(VLOOKUP(H365,VatRates,2,FALSE()),0),"")</f>
        <v>0</v>
      </c>
      <c r="K365" s="9" t="n">
        <f aca="false">IFERROR(I365+J365,"")</f>
        <v>0</v>
      </c>
    </row>
    <row r="366" customFormat="false" ht="15" hidden="false" customHeight="false" outlineLevel="0" collapsed="false">
      <c r="A366" s="10"/>
      <c r="B366" s="10"/>
      <c r="C366" s="10"/>
      <c r="D366" s="14" t="str">
        <f aca="false">IFERROR(IF(C366="","",INDEX(Products!$C$5:$C$504,MATCH(C366,Products!$A$5:$A$504,0))),"")</f>
        <v/>
      </c>
      <c r="E366" s="13" t="n">
        <v>1</v>
      </c>
      <c r="F366" s="11"/>
      <c r="G366" s="15" t="n">
        <v>0</v>
      </c>
      <c r="H366" s="10" t="s">
        <v>114</v>
      </c>
      <c r="I366" s="9" t="n">
        <f aca="false">IFERROR(E366*F366*(1-G366),"")</f>
        <v>0</v>
      </c>
      <c r="J366" s="9" t="n">
        <f aca="false">IFERROR(I366*IFERROR(VLOOKUP(H366,VatRates,2,FALSE()),0),"")</f>
        <v>0</v>
      </c>
      <c r="K366" s="9" t="n">
        <f aca="false">IFERROR(I366+J366,"")</f>
        <v>0</v>
      </c>
    </row>
    <row r="367" customFormat="false" ht="15" hidden="false" customHeight="false" outlineLevel="0" collapsed="false">
      <c r="A367" s="10"/>
      <c r="B367" s="10"/>
      <c r="C367" s="10"/>
      <c r="D367" s="14" t="str">
        <f aca="false">IFERROR(IF(C367="","",INDEX(Products!$C$5:$C$504,MATCH(C367,Products!$A$5:$A$504,0))),"")</f>
        <v/>
      </c>
      <c r="E367" s="13" t="n">
        <v>1</v>
      </c>
      <c r="F367" s="11"/>
      <c r="G367" s="15" t="n">
        <v>0</v>
      </c>
      <c r="H367" s="10" t="s">
        <v>114</v>
      </c>
      <c r="I367" s="9" t="n">
        <f aca="false">IFERROR(E367*F367*(1-G367),"")</f>
        <v>0</v>
      </c>
      <c r="J367" s="9" t="n">
        <f aca="false">IFERROR(I367*IFERROR(VLOOKUP(H367,VatRates,2,FALSE()),0),"")</f>
        <v>0</v>
      </c>
      <c r="K367" s="9" t="n">
        <f aca="false">IFERROR(I367+J367,"")</f>
        <v>0</v>
      </c>
    </row>
    <row r="368" customFormat="false" ht="15" hidden="false" customHeight="false" outlineLevel="0" collapsed="false">
      <c r="A368" s="10"/>
      <c r="B368" s="10"/>
      <c r="C368" s="10"/>
      <c r="D368" s="14" t="str">
        <f aca="false">IFERROR(IF(C368="","",INDEX(Products!$C$5:$C$504,MATCH(C368,Products!$A$5:$A$504,0))),"")</f>
        <v/>
      </c>
      <c r="E368" s="13" t="n">
        <v>1</v>
      </c>
      <c r="F368" s="11"/>
      <c r="G368" s="15" t="n">
        <v>0</v>
      </c>
      <c r="H368" s="10" t="s">
        <v>114</v>
      </c>
      <c r="I368" s="9" t="n">
        <f aca="false">IFERROR(E368*F368*(1-G368),"")</f>
        <v>0</v>
      </c>
      <c r="J368" s="9" t="n">
        <f aca="false">IFERROR(I368*IFERROR(VLOOKUP(H368,VatRates,2,FALSE()),0),"")</f>
        <v>0</v>
      </c>
      <c r="K368" s="9" t="n">
        <f aca="false">IFERROR(I368+J368,"")</f>
        <v>0</v>
      </c>
    </row>
    <row r="369" customFormat="false" ht="15" hidden="false" customHeight="false" outlineLevel="0" collapsed="false">
      <c r="A369" s="10"/>
      <c r="B369" s="10"/>
      <c r="C369" s="10"/>
      <c r="D369" s="14" t="str">
        <f aca="false">IFERROR(IF(C369="","",INDEX(Products!$C$5:$C$504,MATCH(C369,Products!$A$5:$A$504,0))),"")</f>
        <v/>
      </c>
      <c r="E369" s="13" t="n">
        <v>1</v>
      </c>
      <c r="F369" s="11"/>
      <c r="G369" s="15" t="n">
        <v>0</v>
      </c>
      <c r="H369" s="10" t="s">
        <v>114</v>
      </c>
      <c r="I369" s="9" t="n">
        <f aca="false">IFERROR(E369*F369*(1-G369),"")</f>
        <v>0</v>
      </c>
      <c r="J369" s="9" t="n">
        <f aca="false">IFERROR(I369*IFERROR(VLOOKUP(H369,VatRates,2,FALSE()),0),"")</f>
        <v>0</v>
      </c>
      <c r="K369" s="9" t="n">
        <f aca="false">IFERROR(I369+J369,"")</f>
        <v>0</v>
      </c>
    </row>
    <row r="370" customFormat="false" ht="15" hidden="false" customHeight="false" outlineLevel="0" collapsed="false">
      <c r="A370" s="10"/>
      <c r="B370" s="10"/>
      <c r="C370" s="10"/>
      <c r="D370" s="14" t="str">
        <f aca="false">IFERROR(IF(C370="","",INDEX(Products!$C$5:$C$504,MATCH(C370,Products!$A$5:$A$504,0))),"")</f>
        <v/>
      </c>
      <c r="E370" s="13" t="n">
        <v>1</v>
      </c>
      <c r="F370" s="11"/>
      <c r="G370" s="15" t="n">
        <v>0</v>
      </c>
      <c r="H370" s="10" t="s">
        <v>114</v>
      </c>
      <c r="I370" s="9" t="n">
        <f aca="false">IFERROR(E370*F370*(1-G370),"")</f>
        <v>0</v>
      </c>
      <c r="J370" s="9" t="n">
        <f aca="false">IFERROR(I370*IFERROR(VLOOKUP(H370,VatRates,2,FALSE()),0),"")</f>
        <v>0</v>
      </c>
      <c r="K370" s="9" t="n">
        <f aca="false">IFERROR(I370+J370,"")</f>
        <v>0</v>
      </c>
    </row>
    <row r="371" customFormat="false" ht="15" hidden="false" customHeight="false" outlineLevel="0" collapsed="false">
      <c r="A371" s="10"/>
      <c r="B371" s="10"/>
      <c r="C371" s="10"/>
      <c r="D371" s="14" t="str">
        <f aca="false">IFERROR(IF(C371="","",INDEX(Products!$C$5:$C$504,MATCH(C371,Products!$A$5:$A$504,0))),"")</f>
        <v/>
      </c>
      <c r="E371" s="13" t="n">
        <v>1</v>
      </c>
      <c r="F371" s="11"/>
      <c r="G371" s="15" t="n">
        <v>0</v>
      </c>
      <c r="H371" s="10" t="s">
        <v>114</v>
      </c>
      <c r="I371" s="9" t="n">
        <f aca="false">IFERROR(E371*F371*(1-G371),"")</f>
        <v>0</v>
      </c>
      <c r="J371" s="9" t="n">
        <f aca="false">IFERROR(I371*IFERROR(VLOOKUP(H371,VatRates,2,FALSE()),0),"")</f>
        <v>0</v>
      </c>
      <c r="K371" s="9" t="n">
        <f aca="false">IFERROR(I371+J371,"")</f>
        <v>0</v>
      </c>
    </row>
    <row r="372" customFormat="false" ht="15" hidden="false" customHeight="false" outlineLevel="0" collapsed="false">
      <c r="A372" s="10"/>
      <c r="B372" s="10"/>
      <c r="C372" s="10"/>
      <c r="D372" s="14" t="str">
        <f aca="false">IFERROR(IF(C372="","",INDEX(Products!$C$5:$C$504,MATCH(C372,Products!$A$5:$A$504,0))),"")</f>
        <v/>
      </c>
      <c r="E372" s="13" t="n">
        <v>1</v>
      </c>
      <c r="F372" s="11"/>
      <c r="G372" s="15" t="n">
        <v>0</v>
      </c>
      <c r="H372" s="10" t="s">
        <v>114</v>
      </c>
      <c r="I372" s="9" t="n">
        <f aca="false">IFERROR(E372*F372*(1-G372),"")</f>
        <v>0</v>
      </c>
      <c r="J372" s="9" t="n">
        <f aca="false">IFERROR(I372*IFERROR(VLOOKUP(H372,VatRates,2,FALSE()),0),"")</f>
        <v>0</v>
      </c>
      <c r="K372" s="9" t="n">
        <f aca="false">IFERROR(I372+J372,"")</f>
        <v>0</v>
      </c>
    </row>
    <row r="373" customFormat="false" ht="15" hidden="false" customHeight="false" outlineLevel="0" collapsed="false">
      <c r="A373" s="10"/>
      <c r="B373" s="10"/>
      <c r="C373" s="10"/>
      <c r="D373" s="14" t="str">
        <f aca="false">IFERROR(IF(C373="","",INDEX(Products!$C$5:$C$504,MATCH(C373,Products!$A$5:$A$504,0))),"")</f>
        <v/>
      </c>
      <c r="E373" s="13" t="n">
        <v>1</v>
      </c>
      <c r="F373" s="11"/>
      <c r="G373" s="15" t="n">
        <v>0</v>
      </c>
      <c r="H373" s="10" t="s">
        <v>114</v>
      </c>
      <c r="I373" s="9" t="n">
        <f aca="false">IFERROR(E373*F373*(1-G373),"")</f>
        <v>0</v>
      </c>
      <c r="J373" s="9" t="n">
        <f aca="false">IFERROR(I373*IFERROR(VLOOKUP(H373,VatRates,2,FALSE()),0),"")</f>
        <v>0</v>
      </c>
      <c r="K373" s="9" t="n">
        <f aca="false">IFERROR(I373+J373,"")</f>
        <v>0</v>
      </c>
    </row>
    <row r="374" customFormat="false" ht="15" hidden="false" customHeight="false" outlineLevel="0" collapsed="false">
      <c r="A374" s="10"/>
      <c r="B374" s="10"/>
      <c r="C374" s="10"/>
      <c r="D374" s="14" t="str">
        <f aca="false">IFERROR(IF(C374="","",INDEX(Products!$C$5:$C$504,MATCH(C374,Products!$A$5:$A$504,0))),"")</f>
        <v/>
      </c>
      <c r="E374" s="13" t="n">
        <v>1</v>
      </c>
      <c r="F374" s="11"/>
      <c r="G374" s="15" t="n">
        <v>0</v>
      </c>
      <c r="H374" s="10" t="s">
        <v>114</v>
      </c>
      <c r="I374" s="9" t="n">
        <f aca="false">IFERROR(E374*F374*(1-G374),"")</f>
        <v>0</v>
      </c>
      <c r="J374" s="9" t="n">
        <f aca="false">IFERROR(I374*IFERROR(VLOOKUP(H374,VatRates,2,FALSE()),0),"")</f>
        <v>0</v>
      </c>
      <c r="K374" s="9" t="n">
        <f aca="false">IFERROR(I374+J374,"")</f>
        <v>0</v>
      </c>
    </row>
    <row r="375" customFormat="false" ht="15" hidden="false" customHeight="false" outlineLevel="0" collapsed="false">
      <c r="A375" s="10"/>
      <c r="B375" s="10"/>
      <c r="C375" s="10"/>
      <c r="D375" s="14" t="str">
        <f aca="false">IFERROR(IF(C375="","",INDEX(Products!$C$5:$C$504,MATCH(C375,Products!$A$5:$A$504,0))),"")</f>
        <v/>
      </c>
      <c r="E375" s="13" t="n">
        <v>1</v>
      </c>
      <c r="F375" s="11"/>
      <c r="G375" s="15" t="n">
        <v>0</v>
      </c>
      <c r="H375" s="10" t="s">
        <v>114</v>
      </c>
      <c r="I375" s="9" t="n">
        <f aca="false">IFERROR(E375*F375*(1-G375),"")</f>
        <v>0</v>
      </c>
      <c r="J375" s="9" t="n">
        <f aca="false">IFERROR(I375*IFERROR(VLOOKUP(H375,VatRates,2,FALSE()),0),"")</f>
        <v>0</v>
      </c>
      <c r="K375" s="9" t="n">
        <f aca="false">IFERROR(I375+J375,"")</f>
        <v>0</v>
      </c>
    </row>
    <row r="376" customFormat="false" ht="15" hidden="false" customHeight="false" outlineLevel="0" collapsed="false">
      <c r="A376" s="10"/>
      <c r="B376" s="10"/>
      <c r="C376" s="10"/>
      <c r="D376" s="14" t="str">
        <f aca="false">IFERROR(IF(C376="","",INDEX(Products!$C$5:$C$504,MATCH(C376,Products!$A$5:$A$504,0))),"")</f>
        <v/>
      </c>
      <c r="E376" s="13" t="n">
        <v>1</v>
      </c>
      <c r="F376" s="11"/>
      <c r="G376" s="15" t="n">
        <v>0</v>
      </c>
      <c r="H376" s="10" t="s">
        <v>114</v>
      </c>
      <c r="I376" s="9" t="n">
        <f aca="false">IFERROR(E376*F376*(1-G376),"")</f>
        <v>0</v>
      </c>
      <c r="J376" s="9" t="n">
        <f aca="false">IFERROR(I376*IFERROR(VLOOKUP(H376,VatRates,2,FALSE()),0),"")</f>
        <v>0</v>
      </c>
      <c r="K376" s="9" t="n">
        <f aca="false">IFERROR(I376+J376,"")</f>
        <v>0</v>
      </c>
    </row>
    <row r="377" customFormat="false" ht="15" hidden="false" customHeight="false" outlineLevel="0" collapsed="false">
      <c r="A377" s="10"/>
      <c r="B377" s="10"/>
      <c r="C377" s="10"/>
      <c r="D377" s="14" t="str">
        <f aca="false">IFERROR(IF(C377="","",INDEX(Products!$C$5:$C$504,MATCH(C377,Products!$A$5:$A$504,0))),"")</f>
        <v/>
      </c>
      <c r="E377" s="13" t="n">
        <v>1</v>
      </c>
      <c r="F377" s="11"/>
      <c r="G377" s="15" t="n">
        <v>0</v>
      </c>
      <c r="H377" s="10" t="s">
        <v>114</v>
      </c>
      <c r="I377" s="9" t="n">
        <f aca="false">IFERROR(E377*F377*(1-G377),"")</f>
        <v>0</v>
      </c>
      <c r="J377" s="9" t="n">
        <f aca="false">IFERROR(I377*IFERROR(VLOOKUP(H377,VatRates,2,FALSE()),0),"")</f>
        <v>0</v>
      </c>
      <c r="K377" s="9" t="n">
        <f aca="false">IFERROR(I377+J377,"")</f>
        <v>0</v>
      </c>
    </row>
    <row r="378" customFormat="false" ht="15" hidden="false" customHeight="false" outlineLevel="0" collapsed="false">
      <c r="A378" s="10"/>
      <c r="B378" s="10"/>
      <c r="C378" s="10"/>
      <c r="D378" s="14" t="str">
        <f aca="false">IFERROR(IF(C378="","",INDEX(Products!$C$5:$C$504,MATCH(C378,Products!$A$5:$A$504,0))),"")</f>
        <v/>
      </c>
      <c r="E378" s="13" t="n">
        <v>1</v>
      </c>
      <c r="F378" s="11"/>
      <c r="G378" s="15" t="n">
        <v>0</v>
      </c>
      <c r="H378" s="10" t="s">
        <v>114</v>
      </c>
      <c r="I378" s="9" t="n">
        <f aca="false">IFERROR(E378*F378*(1-G378),"")</f>
        <v>0</v>
      </c>
      <c r="J378" s="9" t="n">
        <f aca="false">IFERROR(I378*IFERROR(VLOOKUP(H378,VatRates,2,FALSE()),0),"")</f>
        <v>0</v>
      </c>
      <c r="K378" s="9" t="n">
        <f aca="false">IFERROR(I378+J378,"")</f>
        <v>0</v>
      </c>
    </row>
    <row r="379" customFormat="false" ht="15" hidden="false" customHeight="false" outlineLevel="0" collapsed="false">
      <c r="A379" s="10"/>
      <c r="B379" s="10"/>
      <c r="C379" s="10"/>
      <c r="D379" s="14" t="str">
        <f aca="false">IFERROR(IF(C379="","",INDEX(Products!$C$5:$C$504,MATCH(C379,Products!$A$5:$A$504,0))),"")</f>
        <v/>
      </c>
      <c r="E379" s="13" t="n">
        <v>1</v>
      </c>
      <c r="F379" s="11"/>
      <c r="G379" s="15" t="n">
        <v>0</v>
      </c>
      <c r="H379" s="10" t="s">
        <v>114</v>
      </c>
      <c r="I379" s="9" t="n">
        <f aca="false">IFERROR(E379*F379*(1-G379),"")</f>
        <v>0</v>
      </c>
      <c r="J379" s="9" t="n">
        <f aca="false">IFERROR(I379*IFERROR(VLOOKUP(H379,VatRates,2,FALSE()),0),"")</f>
        <v>0</v>
      </c>
      <c r="K379" s="9" t="n">
        <f aca="false">IFERROR(I379+J379,"")</f>
        <v>0</v>
      </c>
    </row>
    <row r="380" customFormat="false" ht="15" hidden="false" customHeight="false" outlineLevel="0" collapsed="false">
      <c r="A380" s="10"/>
      <c r="B380" s="10"/>
      <c r="C380" s="10"/>
      <c r="D380" s="14" t="str">
        <f aca="false">IFERROR(IF(C380="","",INDEX(Products!$C$5:$C$504,MATCH(C380,Products!$A$5:$A$504,0))),"")</f>
        <v/>
      </c>
      <c r="E380" s="13" t="n">
        <v>1</v>
      </c>
      <c r="F380" s="11"/>
      <c r="G380" s="15" t="n">
        <v>0</v>
      </c>
      <c r="H380" s="10" t="s">
        <v>114</v>
      </c>
      <c r="I380" s="9" t="n">
        <f aca="false">IFERROR(E380*F380*(1-G380),"")</f>
        <v>0</v>
      </c>
      <c r="J380" s="9" t="n">
        <f aca="false">IFERROR(I380*IFERROR(VLOOKUP(H380,VatRates,2,FALSE()),0),"")</f>
        <v>0</v>
      </c>
      <c r="K380" s="9" t="n">
        <f aca="false">IFERROR(I380+J380,"")</f>
        <v>0</v>
      </c>
    </row>
    <row r="381" customFormat="false" ht="15" hidden="false" customHeight="false" outlineLevel="0" collapsed="false">
      <c r="A381" s="10"/>
      <c r="B381" s="10"/>
      <c r="C381" s="10"/>
      <c r="D381" s="14" t="str">
        <f aca="false">IFERROR(IF(C381="","",INDEX(Products!$C$5:$C$504,MATCH(C381,Products!$A$5:$A$504,0))),"")</f>
        <v/>
      </c>
      <c r="E381" s="13" t="n">
        <v>1</v>
      </c>
      <c r="F381" s="11"/>
      <c r="G381" s="15" t="n">
        <v>0</v>
      </c>
      <c r="H381" s="10" t="s">
        <v>114</v>
      </c>
      <c r="I381" s="9" t="n">
        <f aca="false">IFERROR(E381*F381*(1-G381),"")</f>
        <v>0</v>
      </c>
      <c r="J381" s="9" t="n">
        <f aca="false">IFERROR(I381*IFERROR(VLOOKUP(H381,VatRates,2,FALSE()),0),"")</f>
        <v>0</v>
      </c>
      <c r="K381" s="9" t="n">
        <f aca="false">IFERROR(I381+J381,"")</f>
        <v>0</v>
      </c>
    </row>
    <row r="382" customFormat="false" ht="15" hidden="false" customHeight="false" outlineLevel="0" collapsed="false">
      <c r="A382" s="10"/>
      <c r="B382" s="10"/>
      <c r="C382" s="10"/>
      <c r="D382" s="14" t="str">
        <f aca="false">IFERROR(IF(C382="","",INDEX(Products!$C$5:$C$504,MATCH(C382,Products!$A$5:$A$504,0))),"")</f>
        <v/>
      </c>
      <c r="E382" s="13" t="n">
        <v>1</v>
      </c>
      <c r="F382" s="11"/>
      <c r="G382" s="15" t="n">
        <v>0</v>
      </c>
      <c r="H382" s="10" t="s">
        <v>114</v>
      </c>
      <c r="I382" s="9" t="n">
        <f aca="false">IFERROR(E382*F382*(1-G382),"")</f>
        <v>0</v>
      </c>
      <c r="J382" s="9" t="n">
        <f aca="false">IFERROR(I382*IFERROR(VLOOKUP(H382,VatRates,2,FALSE()),0),"")</f>
        <v>0</v>
      </c>
      <c r="K382" s="9" t="n">
        <f aca="false">IFERROR(I382+J382,"")</f>
        <v>0</v>
      </c>
    </row>
    <row r="383" customFormat="false" ht="15" hidden="false" customHeight="false" outlineLevel="0" collapsed="false">
      <c r="A383" s="10"/>
      <c r="B383" s="10"/>
      <c r="C383" s="10"/>
      <c r="D383" s="14" t="str">
        <f aca="false">IFERROR(IF(C383="","",INDEX(Products!$C$5:$C$504,MATCH(C383,Products!$A$5:$A$504,0))),"")</f>
        <v/>
      </c>
      <c r="E383" s="13" t="n">
        <v>1</v>
      </c>
      <c r="F383" s="11"/>
      <c r="G383" s="15" t="n">
        <v>0</v>
      </c>
      <c r="H383" s="10" t="s">
        <v>114</v>
      </c>
      <c r="I383" s="9" t="n">
        <f aca="false">IFERROR(E383*F383*(1-G383),"")</f>
        <v>0</v>
      </c>
      <c r="J383" s="9" t="n">
        <f aca="false">IFERROR(I383*IFERROR(VLOOKUP(H383,VatRates,2,FALSE()),0),"")</f>
        <v>0</v>
      </c>
      <c r="K383" s="9" t="n">
        <f aca="false">IFERROR(I383+J383,"")</f>
        <v>0</v>
      </c>
    </row>
    <row r="384" customFormat="false" ht="15" hidden="false" customHeight="false" outlineLevel="0" collapsed="false">
      <c r="A384" s="10"/>
      <c r="B384" s="10"/>
      <c r="C384" s="10"/>
      <c r="D384" s="14" t="str">
        <f aca="false">IFERROR(IF(C384="","",INDEX(Products!$C$5:$C$504,MATCH(C384,Products!$A$5:$A$504,0))),"")</f>
        <v/>
      </c>
      <c r="E384" s="13" t="n">
        <v>1</v>
      </c>
      <c r="F384" s="11"/>
      <c r="G384" s="15" t="n">
        <v>0</v>
      </c>
      <c r="H384" s="10" t="s">
        <v>114</v>
      </c>
      <c r="I384" s="9" t="n">
        <f aca="false">IFERROR(E384*F384*(1-G384),"")</f>
        <v>0</v>
      </c>
      <c r="J384" s="9" t="n">
        <f aca="false">IFERROR(I384*IFERROR(VLOOKUP(H384,VatRates,2,FALSE()),0),"")</f>
        <v>0</v>
      </c>
      <c r="K384" s="9" t="n">
        <f aca="false">IFERROR(I384+J384,"")</f>
        <v>0</v>
      </c>
    </row>
    <row r="385" customFormat="false" ht="15" hidden="false" customHeight="false" outlineLevel="0" collapsed="false">
      <c r="A385" s="10"/>
      <c r="B385" s="10"/>
      <c r="C385" s="10"/>
      <c r="D385" s="14" t="str">
        <f aca="false">IFERROR(IF(C385="","",INDEX(Products!$C$5:$C$504,MATCH(C385,Products!$A$5:$A$504,0))),"")</f>
        <v/>
      </c>
      <c r="E385" s="13" t="n">
        <v>1</v>
      </c>
      <c r="F385" s="11"/>
      <c r="G385" s="15" t="n">
        <v>0</v>
      </c>
      <c r="H385" s="10" t="s">
        <v>114</v>
      </c>
      <c r="I385" s="9" t="n">
        <f aca="false">IFERROR(E385*F385*(1-G385),"")</f>
        <v>0</v>
      </c>
      <c r="J385" s="9" t="n">
        <f aca="false">IFERROR(I385*IFERROR(VLOOKUP(H385,VatRates,2,FALSE()),0),"")</f>
        <v>0</v>
      </c>
      <c r="K385" s="9" t="n">
        <f aca="false">IFERROR(I385+J385,"")</f>
        <v>0</v>
      </c>
    </row>
    <row r="386" customFormat="false" ht="15" hidden="false" customHeight="false" outlineLevel="0" collapsed="false">
      <c r="A386" s="10"/>
      <c r="B386" s="10"/>
      <c r="C386" s="10"/>
      <c r="D386" s="14" t="str">
        <f aca="false">IFERROR(IF(C386="","",INDEX(Products!$C$5:$C$504,MATCH(C386,Products!$A$5:$A$504,0))),"")</f>
        <v/>
      </c>
      <c r="E386" s="13" t="n">
        <v>1</v>
      </c>
      <c r="F386" s="11"/>
      <c r="G386" s="15" t="n">
        <v>0</v>
      </c>
      <c r="H386" s="10" t="s">
        <v>114</v>
      </c>
      <c r="I386" s="9" t="n">
        <f aca="false">IFERROR(E386*F386*(1-G386),"")</f>
        <v>0</v>
      </c>
      <c r="J386" s="9" t="n">
        <f aca="false">IFERROR(I386*IFERROR(VLOOKUP(H386,VatRates,2,FALSE()),0),"")</f>
        <v>0</v>
      </c>
      <c r="K386" s="9" t="n">
        <f aca="false">IFERROR(I386+J386,"")</f>
        <v>0</v>
      </c>
    </row>
    <row r="387" customFormat="false" ht="15" hidden="false" customHeight="false" outlineLevel="0" collapsed="false">
      <c r="A387" s="10"/>
      <c r="B387" s="10"/>
      <c r="C387" s="10"/>
      <c r="D387" s="14" t="str">
        <f aca="false">IFERROR(IF(C387="","",INDEX(Products!$C$5:$C$504,MATCH(C387,Products!$A$5:$A$504,0))),"")</f>
        <v/>
      </c>
      <c r="E387" s="13" t="n">
        <v>1</v>
      </c>
      <c r="F387" s="11"/>
      <c r="G387" s="15" t="n">
        <v>0</v>
      </c>
      <c r="H387" s="10" t="s">
        <v>114</v>
      </c>
      <c r="I387" s="9" t="n">
        <f aca="false">IFERROR(E387*F387*(1-G387),"")</f>
        <v>0</v>
      </c>
      <c r="J387" s="9" t="n">
        <f aca="false">IFERROR(I387*IFERROR(VLOOKUP(H387,VatRates,2,FALSE()),0),"")</f>
        <v>0</v>
      </c>
      <c r="K387" s="9" t="n">
        <f aca="false">IFERROR(I387+J387,"")</f>
        <v>0</v>
      </c>
    </row>
    <row r="388" customFormat="false" ht="15" hidden="false" customHeight="false" outlineLevel="0" collapsed="false">
      <c r="A388" s="10"/>
      <c r="B388" s="10"/>
      <c r="C388" s="10"/>
      <c r="D388" s="14" t="str">
        <f aca="false">IFERROR(IF(C388="","",INDEX(Products!$C$5:$C$504,MATCH(C388,Products!$A$5:$A$504,0))),"")</f>
        <v/>
      </c>
      <c r="E388" s="13" t="n">
        <v>1</v>
      </c>
      <c r="F388" s="11"/>
      <c r="G388" s="15" t="n">
        <v>0</v>
      </c>
      <c r="H388" s="10" t="s">
        <v>114</v>
      </c>
      <c r="I388" s="9" t="n">
        <f aca="false">IFERROR(E388*F388*(1-G388),"")</f>
        <v>0</v>
      </c>
      <c r="J388" s="9" t="n">
        <f aca="false">IFERROR(I388*IFERROR(VLOOKUP(H388,VatRates,2,FALSE()),0),"")</f>
        <v>0</v>
      </c>
      <c r="K388" s="9" t="n">
        <f aca="false">IFERROR(I388+J388,"")</f>
        <v>0</v>
      </c>
    </row>
    <row r="389" customFormat="false" ht="15" hidden="false" customHeight="false" outlineLevel="0" collapsed="false">
      <c r="A389" s="10"/>
      <c r="B389" s="10"/>
      <c r="C389" s="10"/>
      <c r="D389" s="14" t="str">
        <f aca="false">IFERROR(IF(C389="","",INDEX(Products!$C$5:$C$504,MATCH(C389,Products!$A$5:$A$504,0))),"")</f>
        <v/>
      </c>
      <c r="E389" s="13" t="n">
        <v>1</v>
      </c>
      <c r="F389" s="11"/>
      <c r="G389" s="15" t="n">
        <v>0</v>
      </c>
      <c r="H389" s="10" t="s">
        <v>114</v>
      </c>
      <c r="I389" s="9" t="n">
        <f aca="false">IFERROR(E389*F389*(1-G389),"")</f>
        <v>0</v>
      </c>
      <c r="J389" s="9" t="n">
        <f aca="false">IFERROR(I389*IFERROR(VLOOKUP(H389,VatRates,2,FALSE()),0),"")</f>
        <v>0</v>
      </c>
      <c r="K389" s="9" t="n">
        <f aca="false">IFERROR(I389+J389,"")</f>
        <v>0</v>
      </c>
    </row>
    <row r="390" customFormat="false" ht="15" hidden="false" customHeight="false" outlineLevel="0" collapsed="false">
      <c r="A390" s="10"/>
      <c r="B390" s="10"/>
      <c r="C390" s="10"/>
      <c r="D390" s="14" t="str">
        <f aca="false">IFERROR(IF(C390="","",INDEX(Products!$C$5:$C$504,MATCH(C390,Products!$A$5:$A$504,0))),"")</f>
        <v/>
      </c>
      <c r="E390" s="13" t="n">
        <v>1</v>
      </c>
      <c r="F390" s="11"/>
      <c r="G390" s="15" t="n">
        <v>0</v>
      </c>
      <c r="H390" s="10" t="s">
        <v>114</v>
      </c>
      <c r="I390" s="9" t="n">
        <f aca="false">IFERROR(E390*F390*(1-G390),"")</f>
        <v>0</v>
      </c>
      <c r="J390" s="9" t="n">
        <f aca="false">IFERROR(I390*IFERROR(VLOOKUP(H390,VatRates,2,FALSE()),0),"")</f>
        <v>0</v>
      </c>
      <c r="K390" s="9" t="n">
        <f aca="false">IFERROR(I390+J390,"")</f>
        <v>0</v>
      </c>
    </row>
    <row r="391" customFormat="false" ht="15" hidden="false" customHeight="false" outlineLevel="0" collapsed="false">
      <c r="A391" s="10"/>
      <c r="B391" s="10"/>
      <c r="C391" s="10"/>
      <c r="D391" s="14" t="str">
        <f aca="false">IFERROR(IF(C391="","",INDEX(Products!$C$5:$C$504,MATCH(C391,Products!$A$5:$A$504,0))),"")</f>
        <v/>
      </c>
      <c r="E391" s="13" t="n">
        <v>1</v>
      </c>
      <c r="F391" s="11"/>
      <c r="G391" s="15" t="n">
        <v>0</v>
      </c>
      <c r="H391" s="10" t="s">
        <v>114</v>
      </c>
      <c r="I391" s="9" t="n">
        <f aca="false">IFERROR(E391*F391*(1-G391),"")</f>
        <v>0</v>
      </c>
      <c r="J391" s="9" t="n">
        <f aca="false">IFERROR(I391*IFERROR(VLOOKUP(H391,VatRates,2,FALSE()),0),"")</f>
        <v>0</v>
      </c>
      <c r="K391" s="9" t="n">
        <f aca="false">IFERROR(I391+J391,"")</f>
        <v>0</v>
      </c>
    </row>
    <row r="392" customFormat="false" ht="15" hidden="false" customHeight="false" outlineLevel="0" collapsed="false">
      <c r="A392" s="10"/>
      <c r="B392" s="10"/>
      <c r="C392" s="10"/>
      <c r="D392" s="14" t="str">
        <f aca="false">IFERROR(IF(C392="","",INDEX(Products!$C$5:$C$504,MATCH(C392,Products!$A$5:$A$504,0))),"")</f>
        <v/>
      </c>
      <c r="E392" s="13" t="n">
        <v>1</v>
      </c>
      <c r="F392" s="11"/>
      <c r="G392" s="15" t="n">
        <v>0</v>
      </c>
      <c r="H392" s="10" t="s">
        <v>114</v>
      </c>
      <c r="I392" s="9" t="n">
        <f aca="false">IFERROR(E392*F392*(1-G392),"")</f>
        <v>0</v>
      </c>
      <c r="J392" s="9" t="n">
        <f aca="false">IFERROR(I392*IFERROR(VLOOKUP(H392,VatRates,2,FALSE()),0),"")</f>
        <v>0</v>
      </c>
      <c r="K392" s="9" t="n">
        <f aca="false">IFERROR(I392+J392,"")</f>
        <v>0</v>
      </c>
    </row>
    <row r="393" customFormat="false" ht="15" hidden="false" customHeight="false" outlineLevel="0" collapsed="false">
      <c r="A393" s="10"/>
      <c r="B393" s="10"/>
      <c r="C393" s="10"/>
      <c r="D393" s="14" t="str">
        <f aca="false">IFERROR(IF(C393="","",INDEX(Products!$C$5:$C$504,MATCH(C393,Products!$A$5:$A$504,0))),"")</f>
        <v/>
      </c>
      <c r="E393" s="13" t="n">
        <v>1</v>
      </c>
      <c r="F393" s="11"/>
      <c r="G393" s="15" t="n">
        <v>0</v>
      </c>
      <c r="H393" s="10" t="s">
        <v>114</v>
      </c>
      <c r="I393" s="9" t="n">
        <f aca="false">IFERROR(E393*F393*(1-G393),"")</f>
        <v>0</v>
      </c>
      <c r="J393" s="9" t="n">
        <f aca="false">IFERROR(I393*IFERROR(VLOOKUP(H393,VatRates,2,FALSE()),0),"")</f>
        <v>0</v>
      </c>
      <c r="K393" s="9" t="n">
        <f aca="false">IFERROR(I393+J393,"")</f>
        <v>0</v>
      </c>
    </row>
    <row r="394" customFormat="false" ht="15" hidden="false" customHeight="false" outlineLevel="0" collapsed="false">
      <c r="A394" s="10"/>
      <c r="B394" s="10"/>
      <c r="C394" s="10"/>
      <c r="D394" s="14" t="str">
        <f aca="false">IFERROR(IF(C394="","",INDEX(Products!$C$5:$C$504,MATCH(C394,Products!$A$5:$A$504,0))),"")</f>
        <v/>
      </c>
      <c r="E394" s="13" t="n">
        <v>1</v>
      </c>
      <c r="F394" s="11"/>
      <c r="G394" s="15" t="n">
        <v>0</v>
      </c>
      <c r="H394" s="10" t="s">
        <v>114</v>
      </c>
      <c r="I394" s="9" t="n">
        <f aca="false">IFERROR(E394*F394*(1-G394),"")</f>
        <v>0</v>
      </c>
      <c r="J394" s="9" t="n">
        <f aca="false">IFERROR(I394*IFERROR(VLOOKUP(H394,VatRates,2,FALSE()),0),"")</f>
        <v>0</v>
      </c>
      <c r="K394" s="9" t="n">
        <f aca="false">IFERROR(I394+J394,"")</f>
        <v>0</v>
      </c>
    </row>
    <row r="395" customFormat="false" ht="15" hidden="false" customHeight="false" outlineLevel="0" collapsed="false">
      <c r="A395" s="10"/>
      <c r="B395" s="10"/>
      <c r="C395" s="10"/>
      <c r="D395" s="14" t="str">
        <f aca="false">IFERROR(IF(C395="","",INDEX(Products!$C$5:$C$504,MATCH(C395,Products!$A$5:$A$504,0))),"")</f>
        <v/>
      </c>
      <c r="E395" s="13" t="n">
        <v>1</v>
      </c>
      <c r="F395" s="11"/>
      <c r="G395" s="15" t="n">
        <v>0</v>
      </c>
      <c r="H395" s="10" t="s">
        <v>114</v>
      </c>
      <c r="I395" s="9" t="n">
        <f aca="false">IFERROR(E395*F395*(1-G395),"")</f>
        <v>0</v>
      </c>
      <c r="J395" s="9" t="n">
        <f aca="false">IFERROR(I395*IFERROR(VLOOKUP(H395,VatRates,2,FALSE()),0),"")</f>
        <v>0</v>
      </c>
      <c r="K395" s="9" t="n">
        <f aca="false">IFERROR(I395+J395,"")</f>
        <v>0</v>
      </c>
    </row>
    <row r="396" customFormat="false" ht="15" hidden="false" customHeight="false" outlineLevel="0" collapsed="false">
      <c r="A396" s="10"/>
      <c r="B396" s="10"/>
      <c r="C396" s="10"/>
      <c r="D396" s="14" t="str">
        <f aca="false">IFERROR(IF(C396="","",INDEX(Products!$C$5:$C$504,MATCH(C396,Products!$A$5:$A$504,0))),"")</f>
        <v/>
      </c>
      <c r="E396" s="13" t="n">
        <v>1</v>
      </c>
      <c r="F396" s="11"/>
      <c r="G396" s="15" t="n">
        <v>0</v>
      </c>
      <c r="H396" s="10" t="s">
        <v>114</v>
      </c>
      <c r="I396" s="9" t="n">
        <f aca="false">IFERROR(E396*F396*(1-G396),"")</f>
        <v>0</v>
      </c>
      <c r="J396" s="9" t="n">
        <f aca="false">IFERROR(I396*IFERROR(VLOOKUP(H396,VatRates,2,FALSE()),0),"")</f>
        <v>0</v>
      </c>
      <c r="K396" s="9" t="n">
        <f aca="false">IFERROR(I396+J396,"")</f>
        <v>0</v>
      </c>
    </row>
    <row r="397" customFormat="false" ht="15" hidden="false" customHeight="false" outlineLevel="0" collapsed="false">
      <c r="A397" s="10"/>
      <c r="B397" s="10"/>
      <c r="C397" s="10"/>
      <c r="D397" s="14" t="str">
        <f aca="false">IFERROR(IF(C397="","",INDEX(Products!$C$5:$C$504,MATCH(C397,Products!$A$5:$A$504,0))),"")</f>
        <v/>
      </c>
      <c r="E397" s="13" t="n">
        <v>1</v>
      </c>
      <c r="F397" s="11"/>
      <c r="G397" s="15" t="n">
        <v>0</v>
      </c>
      <c r="H397" s="10" t="s">
        <v>114</v>
      </c>
      <c r="I397" s="9" t="n">
        <f aca="false">IFERROR(E397*F397*(1-G397),"")</f>
        <v>0</v>
      </c>
      <c r="J397" s="9" t="n">
        <f aca="false">IFERROR(I397*IFERROR(VLOOKUP(H397,VatRates,2,FALSE()),0),"")</f>
        <v>0</v>
      </c>
      <c r="K397" s="9" t="n">
        <f aca="false">IFERROR(I397+J397,"")</f>
        <v>0</v>
      </c>
    </row>
    <row r="398" customFormat="false" ht="15" hidden="false" customHeight="false" outlineLevel="0" collapsed="false">
      <c r="A398" s="10"/>
      <c r="B398" s="10"/>
      <c r="C398" s="10"/>
      <c r="D398" s="14" t="str">
        <f aca="false">IFERROR(IF(C398="","",INDEX(Products!$C$5:$C$504,MATCH(C398,Products!$A$5:$A$504,0))),"")</f>
        <v/>
      </c>
      <c r="E398" s="13" t="n">
        <v>1</v>
      </c>
      <c r="F398" s="11"/>
      <c r="G398" s="15" t="n">
        <v>0</v>
      </c>
      <c r="H398" s="10" t="s">
        <v>114</v>
      </c>
      <c r="I398" s="9" t="n">
        <f aca="false">IFERROR(E398*F398*(1-G398),"")</f>
        <v>0</v>
      </c>
      <c r="J398" s="9" t="n">
        <f aca="false">IFERROR(I398*IFERROR(VLOOKUP(H398,VatRates,2,FALSE()),0),"")</f>
        <v>0</v>
      </c>
      <c r="K398" s="9" t="n">
        <f aca="false">IFERROR(I398+J398,"")</f>
        <v>0</v>
      </c>
    </row>
    <row r="399" customFormat="false" ht="15" hidden="false" customHeight="false" outlineLevel="0" collapsed="false">
      <c r="A399" s="10"/>
      <c r="B399" s="10"/>
      <c r="C399" s="10"/>
      <c r="D399" s="14" t="str">
        <f aca="false">IFERROR(IF(C399="","",INDEX(Products!$C$5:$C$504,MATCH(C399,Products!$A$5:$A$504,0))),"")</f>
        <v/>
      </c>
      <c r="E399" s="13" t="n">
        <v>1</v>
      </c>
      <c r="F399" s="11"/>
      <c r="G399" s="15" t="n">
        <v>0</v>
      </c>
      <c r="H399" s="10" t="s">
        <v>114</v>
      </c>
      <c r="I399" s="9" t="n">
        <f aca="false">IFERROR(E399*F399*(1-G399),"")</f>
        <v>0</v>
      </c>
      <c r="J399" s="9" t="n">
        <f aca="false">IFERROR(I399*IFERROR(VLOOKUP(H399,VatRates,2,FALSE()),0),"")</f>
        <v>0</v>
      </c>
      <c r="K399" s="9" t="n">
        <f aca="false">IFERROR(I399+J399,"")</f>
        <v>0</v>
      </c>
    </row>
    <row r="400" customFormat="false" ht="15" hidden="false" customHeight="false" outlineLevel="0" collapsed="false">
      <c r="A400" s="10"/>
      <c r="B400" s="10"/>
      <c r="C400" s="10"/>
      <c r="D400" s="14" t="str">
        <f aca="false">IFERROR(IF(C400="","",INDEX(Products!$C$5:$C$504,MATCH(C400,Products!$A$5:$A$504,0))),"")</f>
        <v/>
      </c>
      <c r="E400" s="13" t="n">
        <v>1</v>
      </c>
      <c r="F400" s="11"/>
      <c r="G400" s="15" t="n">
        <v>0</v>
      </c>
      <c r="H400" s="10" t="s">
        <v>114</v>
      </c>
      <c r="I400" s="9" t="n">
        <f aca="false">IFERROR(E400*F400*(1-G400),"")</f>
        <v>0</v>
      </c>
      <c r="J400" s="9" t="n">
        <f aca="false">IFERROR(I400*IFERROR(VLOOKUP(H400,VatRates,2,FALSE()),0),"")</f>
        <v>0</v>
      </c>
      <c r="K400" s="9" t="n">
        <f aca="false">IFERROR(I400+J400,"")</f>
        <v>0</v>
      </c>
    </row>
    <row r="401" customFormat="false" ht="15" hidden="false" customHeight="false" outlineLevel="0" collapsed="false">
      <c r="A401" s="10"/>
      <c r="B401" s="10"/>
      <c r="C401" s="10"/>
      <c r="D401" s="14" t="str">
        <f aca="false">IFERROR(IF(C401="","",INDEX(Products!$C$5:$C$504,MATCH(C401,Products!$A$5:$A$504,0))),"")</f>
        <v/>
      </c>
      <c r="E401" s="13" t="n">
        <v>1</v>
      </c>
      <c r="F401" s="11"/>
      <c r="G401" s="15" t="n">
        <v>0</v>
      </c>
      <c r="H401" s="10" t="s">
        <v>114</v>
      </c>
      <c r="I401" s="9" t="n">
        <f aca="false">IFERROR(E401*F401*(1-G401),"")</f>
        <v>0</v>
      </c>
      <c r="J401" s="9" t="n">
        <f aca="false">IFERROR(I401*IFERROR(VLOOKUP(H401,VatRates,2,FALSE()),0),"")</f>
        <v>0</v>
      </c>
      <c r="K401" s="9" t="n">
        <f aca="false">IFERROR(I401+J401,"")</f>
        <v>0</v>
      </c>
    </row>
    <row r="402" customFormat="false" ht="15" hidden="false" customHeight="false" outlineLevel="0" collapsed="false">
      <c r="A402" s="10"/>
      <c r="B402" s="10"/>
      <c r="C402" s="10"/>
      <c r="D402" s="14" t="str">
        <f aca="false">IFERROR(IF(C402="","",INDEX(Products!$C$5:$C$504,MATCH(C402,Products!$A$5:$A$504,0))),"")</f>
        <v/>
      </c>
      <c r="E402" s="13" t="n">
        <v>1</v>
      </c>
      <c r="F402" s="11"/>
      <c r="G402" s="15" t="n">
        <v>0</v>
      </c>
      <c r="H402" s="10" t="s">
        <v>114</v>
      </c>
      <c r="I402" s="9" t="n">
        <f aca="false">IFERROR(E402*F402*(1-G402),"")</f>
        <v>0</v>
      </c>
      <c r="J402" s="9" t="n">
        <f aca="false">IFERROR(I402*IFERROR(VLOOKUP(H402,VatRates,2,FALSE()),0),"")</f>
        <v>0</v>
      </c>
      <c r="K402" s="9" t="n">
        <f aca="false">IFERROR(I402+J402,"")</f>
        <v>0</v>
      </c>
    </row>
    <row r="403" customFormat="false" ht="15" hidden="false" customHeight="false" outlineLevel="0" collapsed="false">
      <c r="A403" s="10"/>
      <c r="B403" s="10"/>
      <c r="C403" s="10"/>
      <c r="D403" s="14" t="str">
        <f aca="false">IFERROR(IF(C403="","",INDEX(Products!$C$5:$C$504,MATCH(C403,Products!$A$5:$A$504,0))),"")</f>
        <v/>
      </c>
      <c r="E403" s="13" t="n">
        <v>1</v>
      </c>
      <c r="F403" s="11"/>
      <c r="G403" s="15" t="n">
        <v>0</v>
      </c>
      <c r="H403" s="10" t="s">
        <v>114</v>
      </c>
      <c r="I403" s="9" t="n">
        <f aca="false">IFERROR(E403*F403*(1-G403),"")</f>
        <v>0</v>
      </c>
      <c r="J403" s="9" t="n">
        <f aca="false">IFERROR(I403*IFERROR(VLOOKUP(H403,VatRates,2,FALSE()),0),"")</f>
        <v>0</v>
      </c>
      <c r="K403" s="9" t="n">
        <f aca="false">IFERROR(I403+J403,"")</f>
        <v>0</v>
      </c>
    </row>
    <row r="404" customFormat="false" ht="15" hidden="false" customHeight="false" outlineLevel="0" collapsed="false">
      <c r="A404" s="10"/>
      <c r="B404" s="10"/>
      <c r="C404" s="10"/>
      <c r="D404" s="14" t="str">
        <f aca="false">IFERROR(IF(C404="","",INDEX(Products!$C$5:$C$504,MATCH(C404,Products!$A$5:$A$504,0))),"")</f>
        <v/>
      </c>
      <c r="E404" s="13" t="n">
        <v>1</v>
      </c>
      <c r="F404" s="11"/>
      <c r="G404" s="15" t="n">
        <v>0</v>
      </c>
      <c r="H404" s="10" t="s">
        <v>114</v>
      </c>
      <c r="I404" s="9" t="n">
        <f aca="false">IFERROR(E404*F404*(1-G404),"")</f>
        <v>0</v>
      </c>
      <c r="J404" s="9" t="n">
        <f aca="false">IFERROR(I404*IFERROR(VLOOKUP(H404,VatRates,2,FALSE()),0),"")</f>
        <v>0</v>
      </c>
      <c r="K404" s="9" t="n">
        <f aca="false">IFERROR(I404+J404,"")</f>
        <v>0</v>
      </c>
    </row>
    <row r="405" customFormat="false" ht="15" hidden="false" customHeight="false" outlineLevel="0" collapsed="false">
      <c r="A405" s="10"/>
      <c r="B405" s="10"/>
      <c r="C405" s="10"/>
      <c r="D405" s="14" t="str">
        <f aca="false">IFERROR(IF(C405="","",INDEX(Products!$C$5:$C$504,MATCH(C405,Products!$A$5:$A$504,0))),"")</f>
        <v/>
      </c>
      <c r="E405" s="13" t="n">
        <v>1</v>
      </c>
      <c r="F405" s="11"/>
      <c r="G405" s="15" t="n">
        <v>0</v>
      </c>
      <c r="H405" s="10" t="s">
        <v>114</v>
      </c>
      <c r="I405" s="9" t="n">
        <f aca="false">IFERROR(E405*F405*(1-G405),"")</f>
        <v>0</v>
      </c>
      <c r="J405" s="9" t="n">
        <f aca="false">IFERROR(I405*IFERROR(VLOOKUP(H405,VatRates,2,FALSE()),0),"")</f>
        <v>0</v>
      </c>
      <c r="K405" s="9" t="n">
        <f aca="false">IFERROR(I405+J405,"")</f>
        <v>0</v>
      </c>
    </row>
    <row r="406" customFormat="false" ht="15" hidden="false" customHeight="false" outlineLevel="0" collapsed="false">
      <c r="A406" s="10"/>
      <c r="B406" s="10"/>
      <c r="C406" s="10"/>
      <c r="D406" s="14" t="str">
        <f aca="false">IFERROR(IF(C406="","",INDEX(Products!$C$5:$C$504,MATCH(C406,Products!$A$5:$A$504,0))),"")</f>
        <v/>
      </c>
      <c r="E406" s="13" t="n">
        <v>1</v>
      </c>
      <c r="F406" s="11"/>
      <c r="G406" s="15" t="n">
        <v>0</v>
      </c>
      <c r="H406" s="10" t="s">
        <v>114</v>
      </c>
      <c r="I406" s="9" t="n">
        <f aca="false">IFERROR(E406*F406*(1-G406),"")</f>
        <v>0</v>
      </c>
      <c r="J406" s="9" t="n">
        <f aca="false">IFERROR(I406*IFERROR(VLOOKUP(H406,VatRates,2,FALSE()),0),"")</f>
        <v>0</v>
      </c>
      <c r="K406" s="9" t="n">
        <f aca="false">IFERROR(I406+J406,"")</f>
        <v>0</v>
      </c>
    </row>
    <row r="407" customFormat="false" ht="15" hidden="false" customHeight="false" outlineLevel="0" collapsed="false">
      <c r="A407" s="10"/>
      <c r="B407" s="10"/>
      <c r="C407" s="10"/>
      <c r="D407" s="14" t="str">
        <f aca="false">IFERROR(IF(C407="","",INDEX(Products!$C$5:$C$504,MATCH(C407,Products!$A$5:$A$504,0))),"")</f>
        <v/>
      </c>
      <c r="E407" s="13" t="n">
        <v>1</v>
      </c>
      <c r="F407" s="11"/>
      <c r="G407" s="15" t="n">
        <v>0</v>
      </c>
      <c r="H407" s="10" t="s">
        <v>114</v>
      </c>
      <c r="I407" s="9" t="n">
        <f aca="false">IFERROR(E407*F407*(1-G407),"")</f>
        <v>0</v>
      </c>
      <c r="J407" s="9" t="n">
        <f aca="false">IFERROR(I407*IFERROR(VLOOKUP(H407,VatRates,2,FALSE()),0),"")</f>
        <v>0</v>
      </c>
      <c r="K407" s="9" t="n">
        <f aca="false">IFERROR(I407+J407,"")</f>
        <v>0</v>
      </c>
    </row>
    <row r="408" customFormat="false" ht="15" hidden="false" customHeight="false" outlineLevel="0" collapsed="false">
      <c r="A408" s="10"/>
      <c r="B408" s="10"/>
      <c r="C408" s="10"/>
      <c r="D408" s="14" t="str">
        <f aca="false">IFERROR(IF(C408="","",INDEX(Products!$C$5:$C$504,MATCH(C408,Products!$A$5:$A$504,0))),"")</f>
        <v/>
      </c>
      <c r="E408" s="13" t="n">
        <v>1</v>
      </c>
      <c r="F408" s="11"/>
      <c r="G408" s="15" t="n">
        <v>0</v>
      </c>
      <c r="H408" s="10" t="s">
        <v>114</v>
      </c>
      <c r="I408" s="9" t="n">
        <f aca="false">IFERROR(E408*F408*(1-G408),"")</f>
        <v>0</v>
      </c>
      <c r="J408" s="9" t="n">
        <f aca="false">IFERROR(I408*IFERROR(VLOOKUP(H408,VatRates,2,FALSE()),0),"")</f>
        <v>0</v>
      </c>
      <c r="K408" s="9" t="n">
        <f aca="false">IFERROR(I408+J408,"")</f>
        <v>0</v>
      </c>
    </row>
    <row r="409" customFormat="false" ht="15" hidden="false" customHeight="false" outlineLevel="0" collapsed="false">
      <c r="A409" s="10"/>
      <c r="B409" s="10"/>
      <c r="C409" s="10"/>
      <c r="D409" s="14" t="str">
        <f aca="false">IFERROR(IF(C409="","",INDEX(Products!$C$5:$C$504,MATCH(C409,Products!$A$5:$A$504,0))),"")</f>
        <v/>
      </c>
      <c r="E409" s="13" t="n">
        <v>1</v>
      </c>
      <c r="F409" s="11"/>
      <c r="G409" s="15" t="n">
        <v>0</v>
      </c>
      <c r="H409" s="10" t="s">
        <v>114</v>
      </c>
      <c r="I409" s="9" t="n">
        <f aca="false">IFERROR(E409*F409*(1-G409),"")</f>
        <v>0</v>
      </c>
      <c r="J409" s="9" t="n">
        <f aca="false">IFERROR(I409*IFERROR(VLOOKUP(H409,VatRates,2,FALSE()),0),"")</f>
        <v>0</v>
      </c>
      <c r="K409" s="9" t="n">
        <f aca="false">IFERROR(I409+J409,"")</f>
        <v>0</v>
      </c>
    </row>
    <row r="410" customFormat="false" ht="15" hidden="false" customHeight="false" outlineLevel="0" collapsed="false">
      <c r="A410" s="10"/>
      <c r="B410" s="10"/>
      <c r="C410" s="10"/>
      <c r="D410" s="14" t="str">
        <f aca="false">IFERROR(IF(C410="","",INDEX(Products!$C$5:$C$504,MATCH(C410,Products!$A$5:$A$504,0))),"")</f>
        <v/>
      </c>
      <c r="E410" s="13" t="n">
        <v>1</v>
      </c>
      <c r="F410" s="11"/>
      <c r="G410" s="15" t="n">
        <v>0</v>
      </c>
      <c r="H410" s="10" t="s">
        <v>114</v>
      </c>
      <c r="I410" s="9" t="n">
        <f aca="false">IFERROR(E410*F410*(1-G410),"")</f>
        <v>0</v>
      </c>
      <c r="J410" s="9" t="n">
        <f aca="false">IFERROR(I410*IFERROR(VLOOKUP(H410,VatRates,2,FALSE()),0),"")</f>
        <v>0</v>
      </c>
      <c r="K410" s="9" t="n">
        <f aca="false">IFERROR(I410+J410,"")</f>
        <v>0</v>
      </c>
    </row>
    <row r="411" customFormat="false" ht="15" hidden="false" customHeight="false" outlineLevel="0" collapsed="false">
      <c r="A411" s="10"/>
      <c r="B411" s="10"/>
      <c r="C411" s="10"/>
      <c r="D411" s="14" t="str">
        <f aca="false">IFERROR(IF(C411="","",INDEX(Products!$C$5:$C$504,MATCH(C411,Products!$A$5:$A$504,0))),"")</f>
        <v/>
      </c>
      <c r="E411" s="13" t="n">
        <v>1</v>
      </c>
      <c r="F411" s="11"/>
      <c r="G411" s="15" t="n">
        <v>0</v>
      </c>
      <c r="H411" s="10" t="s">
        <v>114</v>
      </c>
      <c r="I411" s="9" t="n">
        <f aca="false">IFERROR(E411*F411*(1-G411),"")</f>
        <v>0</v>
      </c>
      <c r="J411" s="9" t="n">
        <f aca="false">IFERROR(I411*IFERROR(VLOOKUP(H411,VatRates,2,FALSE()),0),"")</f>
        <v>0</v>
      </c>
      <c r="K411" s="9" t="n">
        <f aca="false">IFERROR(I411+J411,"")</f>
        <v>0</v>
      </c>
    </row>
    <row r="412" customFormat="false" ht="15" hidden="false" customHeight="false" outlineLevel="0" collapsed="false">
      <c r="A412" s="10"/>
      <c r="B412" s="10"/>
      <c r="C412" s="10"/>
      <c r="D412" s="14" t="str">
        <f aca="false">IFERROR(IF(C412="","",INDEX(Products!$C$5:$C$504,MATCH(C412,Products!$A$5:$A$504,0))),"")</f>
        <v/>
      </c>
      <c r="E412" s="13" t="n">
        <v>1</v>
      </c>
      <c r="F412" s="11"/>
      <c r="G412" s="15" t="n">
        <v>0</v>
      </c>
      <c r="H412" s="10" t="s">
        <v>114</v>
      </c>
      <c r="I412" s="9" t="n">
        <f aca="false">IFERROR(E412*F412*(1-G412),"")</f>
        <v>0</v>
      </c>
      <c r="J412" s="9" t="n">
        <f aca="false">IFERROR(I412*IFERROR(VLOOKUP(H412,VatRates,2,FALSE()),0),"")</f>
        <v>0</v>
      </c>
      <c r="K412" s="9" t="n">
        <f aca="false">IFERROR(I412+J412,"")</f>
        <v>0</v>
      </c>
    </row>
    <row r="413" customFormat="false" ht="15" hidden="false" customHeight="false" outlineLevel="0" collapsed="false">
      <c r="A413" s="10"/>
      <c r="B413" s="10"/>
      <c r="C413" s="10"/>
      <c r="D413" s="14" t="str">
        <f aca="false">IFERROR(IF(C413="","",INDEX(Products!$C$5:$C$504,MATCH(C413,Products!$A$5:$A$504,0))),"")</f>
        <v/>
      </c>
      <c r="E413" s="13" t="n">
        <v>1</v>
      </c>
      <c r="F413" s="11"/>
      <c r="G413" s="15" t="n">
        <v>0</v>
      </c>
      <c r="H413" s="10" t="s">
        <v>114</v>
      </c>
      <c r="I413" s="9" t="n">
        <f aca="false">IFERROR(E413*F413*(1-G413),"")</f>
        <v>0</v>
      </c>
      <c r="J413" s="9" t="n">
        <f aca="false">IFERROR(I413*IFERROR(VLOOKUP(H413,VatRates,2,FALSE()),0),"")</f>
        <v>0</v>
      </c>
      <c r="K413" s="9" t="n">
        <f aca="false">IFERROR(I413+J413,"")</f>
        <v>0</v>
      </c>
    </row>
    <row r="414" customFormat="false" ht="15" hidden="false" customHeight="false" outlineLevel="0" collapsed="false">
      <c r="A414" s="10"/>
      <c r="B414" s="10"/>
      <c r="C414" s="10"/>
      <c r="D414" s="14" t="str">
        <f aca="false">IFERROR(IF(C414="","",INDEX(Products!$C$5:$C$504,MATCH(C414,Products!$A$5:$A$504,0))),"")</f>
        <v/>
      </c>
      <c r="E414" s="13" t="n">
        <v>1</v>
      </c>
      <c r="F414" s="11"/>
      <c r="G414" s="15" t="n">
        <v>0</v>
      </c>
      <c r="H414" s="10" t="s">
        <v>114</v>
      </c>
      <c r="I414" s="9" t="n">
        <f aca="false">IFERROR(E414*F414*(1-G414),"")</f>
        <v>0</v>
      </c>
      <c r="J414" s="9" t="n">
        <f aca="false">IFERROR(I414*IFERROR(VLOOKUP(H414,VatRates,2,FALSE()),0),"")</f>
        <v>0</v>
      </c>
      <c r="K414" s="9" t="n">
        <f aca="false">IFERROR(I414+J414,"")</f>
        <v>0</v>
      </c>
    </row>
    <row r="415" customFormat="false" ht="15" hidden="false" customHeight="false" outlineLevel="0" collapsed="false">
      <c r="A415" s="10"/>
      <c r="B415" s="10"/>
      <c r="C415" s="10"/>
      <c r="D415" s="14" t="str">
        <f aca="false">IFERROR(IF(C415="","",INDEX(Products!$C$5:$C$504,MATCH(C415,Products!$A$5:$A$504,0))),"")</f>
        <v/>
      </c>
      <c r="E415" s="13" t="n">
        <v>1</v>
      </c>
      <c r="F415" s="11"/>
      <c r="G415" s="15" t="n">
        <v>0</v>
      </c>
      <c r="H415" s="10" t="s">
        <v>114</v>
      </c>
      <c r="I415" s="9" t="n">
        <f aca="false">IFERROR(E415*F415*(1-G415),"")</f>
        <v>0</v>
      </c>
      <c r="J415" s="9" t="n">
        <f aca="false">IFERROR(I415*IFERROR(VLOOKUP(H415,VatRates,2,FALSE()),0),"")</f>
        <v>0</v>
      </c>
      <c r="K415" s="9" t="n">
        <f aca="false">IFERROR(I415+J415,"")</f>
        <v>0</v>
      </c>
    </row>
    <row r="416" customFormat="false" ht="15" hidden="false" customHeight="false" outlineLevel="0" collapsed="false">
      <c r="A416" s="10"/>
      <c r="B416" s="10"/>
      <c r="C416" s="10"/>
      <c r="D416" s="14" t="str">
        <f aca="false">IFERROR(IF(C416="","",INDEX(Products!$C$5:$C$504,MATCH(C416,Products!$A$5:$A$504,0))),"")</f>
        <v/>
      </c>
      <c r="E416" s="13" t="n">
        <v>1</v>
      </c>
      <c r="F416" s="11"/>
      <c r="G416" s="15" t="n">
        <v>0</v>
      </c>
      <c r="H416" s="10" t="s">
        <v>114</v>
      </c>
      <c r="I416" s="9" t="n">
        <f aca="false">IFERROR(E416*F416*(1-G416),"")</f>
        <v>0</v>
      </c>
      <c r="J416" s="9" t="n">
        <f aca="false">IFERROR(I416*IFERROR(VLOOKUP(H416,VatRates,2,FALSE()),0),"")</f>
        <v>0</v>
      </c>
      <c r="K416" s="9" t="n">
        <f aca="false">IFERROR(I416+J416,"")</f>
        <v>0</v>
      </c>
    </row>
    <row r="417" customFormat="false" ht="15" hidden="false" customHeight="false" outlineLevel="0" collapsed="false">
      <c r="A417" s="10"/>
      <c r="B417" s="10"/>
      <c r="C417" s="10"/>
      <c r="D417" s="14" t="str">
        <f aca="false">IFERROR(IF(C417="","",INDEX(Products!$C$5:$C$504,MATCH(C417,Products!$A$5:$A$504,0))),"")</f>
        <v/>
      </c>
      <c r="E417" s="13" t="n">
        <v>1</v>
      </c>
      <c r="F417" s="11"/>
      <c r="G417" s="15" t="n">
        <v>0</v>
      </c>
      <c r="H417" s="10" t="s">
        <v>114</v>
      </c>
      <c r="I417" s="9" t="n">
        <f aca="false">IFERROR(E417*F417*(1-G417),"")</f>
        <v>0</v>
      </c>
      <c r="J417" s="9" t="n">
        <f aca="false">IFERROR(I417*IFERROR(VLOOKUP(H417,VatRates,2,FALSE()),0),"")</f>
        <v>0</v>
      </c>
      <c r="K417" s="9" t="n">
        <f aca="false">IFERROR(I417+J417,"")</f>
        <v>0</v>
      </c>
    </row>
    <row r="418" customFormat="false" ht="15" hidden="false" customHeight="false" outlineLevel="0" collapsed="false">
      <c r="A418" s="10"/>
      <c r="B418" s="10"/>
      <c r="C418" s="10"/>
      <c r="D418" s="14" t="str">
        <f aca="false">IFERROR(IF(C418="","",INDEX(Products!$C$5:$C$504,MATCH(C418,Products!$A$5:$A$504,0))),"")</f>
        <v/>
      </c>
      <c r="E418" s="13" t="n">
        <v>1</v>
      </c>
      <c r="F418" s="11"/>
      <c r="G418" s="15" t="n">
        <v>0</v>
      </c>
      <c r="H418" s="10" t="s">
        <v>114</v>
      </c>
      <c r="I418" s="9" t="n">
        <f aca="false">IFERROR(E418*F418*(1-G418),"")</f>
        <v>0</v>
      </c>
      <c r="J418" s="9" t="n">
        <f aca="false">IFERROR(I418*IFERROR(VLOOKUP(H418,VatRates,2,FALSE()),0),"")</f>
        <v>0</v>
      </c>
      <c r="K418" s="9" t="n">
        <f aca="false">IFERROR(I418+J418,"")</f>
        <v>0</v>
      </c>
    </row>
    <row r="419" customFormat="false" ht="15" hidden="false" customHeight="false" outlineLevel="0" collapsed="false">
      <c r="A419" s="10"/>
      <c r="B419" s="10"/>
      <c r="C419" s="10"/>
      <c r="D419" s="14" t="str">
        <f aca="false">IFERROR(IF(C419="","",INDEX(Products!$C$5:$C$504,MATCH(C419,Products!$A$5:$A$504,0))),"")</f>
        <v/>
      </c>
      <c r="E419" s="13" t="n">
        <v>1</v>
      </c>
      <c r="F419" s="11"/>
      <c r="G419" s="15" t="n">
        <v>0</v>
      </c>
      <c r="H419" s="10" t="s">
        <v>114</v>
      </c>
      <c r="I419" s="9" t="n">
        <f aca="false">IFERROR(E419*F419*(1-G419),"")</f>
        <v>0</v>
      </c>
      <c r="J419" s="9" t="n">
        <f aca="false">IFERROR(I419*IFERROR(VLOOKUP(H419,VatRates,2,FALSE()),0),"")</f>
        <v>0</v>
      </c>
      <c r="K419" s="9" t="n">
        <f aca="false">IFERROR(I419+J419,"")</f>
        <v>0</v>
      </c>
    </row>
    <row r="420" customFormat="false" ht="15" hidden="false" customHeight="false" outlineLevel="0" collapsed="false">
      <c r="A420" s="10"/>
      <c r="B420" s="10"/>
      <c r="C420" s="10"/>
      <c r="D420" s="14" t="str">
        <f aca="false">IFERROR(IF(C420="","",INDEX(Products!$C$5:$C$504,MATCH(C420,Products!$A$5:$A$504,0))),"")</f>
        <v/>
      </c>
      <c r="E420" s="13" t="n">
        <v>1</v>
      </c>
      <c r="F420" s="11"/>
      <c r="G420" s="15" t="n">
        <v>0</v>
      </c>
      <c r="H420" s="10" t="s">
        <v>114</v>
      </c>
      <c r="I420" s="9" t="n">
        <f aca="false">IFERROR(E420*F420*(1-G420),"")</f>
        <v>0</v>
      </c>
      <c r="J420" s="9" t="n">
        <f aca="false">IFERROR(I420*IFERROR(VLOOKUP(H420,VatRates,2,FALSE()),0),"")</f>
        <v>0</v>
      </c>
      <c r="K420" s="9" t="n">
        <f aca="false">IFERROR(I420+J420,"")</f>
        <v>0</v>
      </c>
    </row>
    <row r="421" customFormat="false" ht="15" hidden="false" customHeight="false" outlineLevel="0" collapsed="false">
      <c r="A421" s="10"/>
      <c r="B421" s="10"/>
      <c r="C421" s="10"/>
      <c r="D421" s="14" t="str">
        <f aca="false">IFERROR(IF(C421="","",INDEX(Products!$C$5:$C$504,MATCH(C421,Products!$A$5:$A$504,0))),"")</f>
        <v/>
      </c>
      <c r="E421" s="13" t="n">
        <v>1</v>
      </c>
      <c r="F421" s="11"/>
      <c r="G421" s="15" t="n">
        <v>0</v>
      </c>
      <c r="H421" s="10" t="s">
        <v>114</v>
      </c>
      <c r="I421" s="9" t="n">
        <f aca="false">IFERROR(E421*F421*(1-G421),"")</f>
        <v>0</v>
      </c>
      <c r="J421" s="9" t="n">
        <f aca="false">IFERROR(I421*IFERROR(VLOOKUP(H421,VatRates,2,FALSE()),0),"")</f>
        <v>0</v>
      </c>
      <c r="K421" s="9" t="n">
        <f aca="false">IFERROR(I421+J421,"")</f>
        <v>0</v>
      </c>
    </row>
    <row r="422" customFormat="false" ht="15" hidden="false" customHeight="false" outlineLevel="0" collapsed="false">
      <c r="A422" s="10"/>
      <c r="B422" s="10"/>
      <c r="C422" s="10"/>
      <c r="D422" s="14" t="str">
        <f aca="false">IFERROR(IF(C422="","",INDEX(Products!$C$5:$C$504,MATCH(C422,Products!$A$5:$A$504,0))),"")</f>
        <v/>
      </c>
      <c r="E422" s="13" t="n">
        <v>1</v>
      </c>
      <c r="F422" s="11"/>
      <c r="G422" s="15" t="n">
        <v>0</v>
      </c>
      <c r="H422" s="10" t="s">
        <v>114</v>
      </c>
      <c r="I422" s="9" t="n">
        <f aca="false">IFERROR(E422*F422*(1-G422),"")</f>
        <v>0</v>
      </c>
      <c r="J422" s="9" t="n">
        <f aca="false">IFERROR(I422*IFERROR(VLOOKUP(H422,VatRates,2,FALSE()),0),"")</f>
        <v>0</v>
      </c>
      <c r="K422" s="9" t="n">
        <f aca="false">IFERROR(I422+J422,"")</f>
        <v>0</v>
      </c>
    </row>
    <row r="423" customFormat="false" ht="15" hidden="false" customHeight="false" outlineLevel="0" collapsed="false">
      <c r="A423" s="10"/>
      <c r="B423" s="10"/>
      <c r="C423" s="10"/>
      <c r="D423" s="14" t="str">
        <f aca="false">IFERROR(IF(C423="","",INDEX(Products!$C$5:$C$504,MATCH(C423,Products!$A$5:$A$504,0))),"")</f>
        <v/>
      </c>
      <c r="E423" s="13" t="n">
        <v>1</v>
      </c>
      <c r="F423" s="11"/>
      <c r="G423" s="15" t="n">
        <v>0</v>
      </c>
      <c r="H423" s="10" t="s">
        <v>114</v>
      </c>
      <c r="I423" s="9" t="n">
        <f aca="false">IFERROR(E423*F423*(1-G423),"")</f>
        <v>0</v>
      </c>
      <c r="J423" s="9" t="n">
        <f aca="false">IFERROR(I423*IFERROR(VLOOKUP(H423,VatRates,2,FALSE()),0),"")</f>
        <v>0</v>
      </c>
      <c r="K423" s="9" t="n">
        <f aca="false">IFERROR(I423+J423,"")</f>
        <v>0</v>
      </c>
    </row>
    <row r="424" customFormat="false" ht="15" hidden="false" customHeight="false" outlineLevel="0" collapsed="false">
      <c r="A424" s="10"/>
      <c r="B424" s="10"/>
      <c r="C424" s="10"/>
      <c r="D424" s="14" t="str">
        <f aca="false">IFERROR(IF(C424="","",INDEX(Products!$C$5:$C$504,MATCH(C424,Products!$A$5:$A$504,0))),"")</f>
        <v/>
      </c>
      <c r="E424" s="13" t="n">
        <v>1</v>
      </c>
      <c r="F424" s="11"/>
      <c r="G424" s="15" t="n">
        <v>0</v>
      </c>
      <c r="H424" s="10" t="s">
        <v>114</v>
      </c>
      <c r="I424" s="9" t="n">
        <f aca="false">IFERROR(E424*F424*(1-G424),"")</f>
        <v>0</v>
      </c>
      <c r="J424" s="9" t="n">
        <f aca="false">IFERROR(I424*IFERROR(VLOOKUP(H424,VatRates,2,FALSE()),0),"")</f>
        <v>0</v>
      </c>
      <c r="K424" s="9" t="n">
        <f aca="false">IFERROR(I424+J424,"")</f>
        <v>0</v>
      </c>
    </row>
    <row r="425" customFormat="false" ht="15" hidden="false" customHeight="false" outlineLevel="0" collapsed="false">
      <c r="A425" s="10"/>
      <c r="B425" s="10"/>
      <c r="C425" s="10"/>
      <c r="D425" s="14" t="str">
        <f aca="false">IFERROR(IF(C425="","",INDEX(Products!$C$5:$C$504,MATCH(C425,Products!$A$5:$A$504,0))),"")</f>
        <v/>
      </c>
      <c r="E425" s="13" t="n">
        <v>1</v>
      </c>
      <c r="F425" s="11"/>
      <c r="G425" s="15" t="n">
        <v>0</v>
      </c>
      <c r="H425" s="10" t="s">
        <v>114</v>
      </c>
      <c r="I425" s="9" t="n">
        <f aca="false">IFERROR(E425*F425*(1-G425),"")</f>
        <v>0</v>
      </c>
      <c r="J425" s="9" t="n">
        <f aca="false">IFERROR(I425*IFERROR(VLOOKUP(H425,VatRates,2,FALSE()),0),"")</f>
        <v>0</v>
      </c>
      <c r="K425" s="9" t="n">
        <f aca="false">IFERROR(I425+J425,"")</f>
        <v>0</v>
      </c>
    </row>
    <row r="426" customFormat="false" ht="15" hidden="false" customHeight="false" outlineLevel="0" collapsed="false">
      <c r="A426" s="10"/>
      <c r="B426" s="10"/>
      <c r="C426" s="10"/>
      <c r="D426" s="14" t="str">
        <f aca="false">IFERROR(IF(C426="","",INDEX(Products!$C$5:$C$504,MATCH(C426,Products!$A$5:$A$504,0))),"")</f>
        <v/>
      </c>
      <c r="E426" s="13" t="n">
        <v>1</v>
      </c>
      <c r="F426" s="11"/>
      <c r="G426" s="15" t="n">
        <v>0</v>
      </c>
      <c r="H426" s="10" t="s">
        <v>114</v>
      </c>
      <c r="I426" s="9" t="n">
        <f aca="false">IFERROR(E426*F426*(1-G426),"")</f>
        <v>0</v>
      </c>
      <c r="J426" s="9" t="n">
        <f aca="false">IFERROR(I426*IFERROR(VLOOKUP(H426,VatRates,2,FALSE()),0),"")</f>
        <v>0</v>
      </c>
      <c r="K426" s="9" t="n">
        <f aca="false">IFERROR(I426+J426,"")</f>
        <v>0</v>
      </c>
    </row>
    <row r="427" customFormat="false" ht="15" hidden="false" customHeight="false" outlineLevel="0" collapsed="false">
      <c r="A427" s="10"/>
      <c r="B427" s="10"/>
      <c r="C427" s="10"/>
      <c r="D427" s="14" t="str">
        <f aca="false">IFERROR(IF(C427="","",INDEX(Products!$C$5:$C$504,MATCH(C427,Products!$A$5:$A$504,0))),"")</f>
        <v/>
      </c>
      <c r="E427" s="13" t="n">
        <v>1</v>
      </c>
      <c r="F427" s="11"/>
      <c r="G427" s="15" t="n">
        <v>0</v>
      </c>
      <c r="H427" s="10" t="s">
        <v>114</v>
      </c>
      <c r="I427" s="9" t="n">
        <f aca="false">IFERROR(E427*F427*(1-G427),"")</f>
        <v>0</v>
      </c>
      <c r="J427" s="9" t="n">
        <f aca="false">IFERROR(I427*IFERROR(VLOOKUP(H427,VatRates,2,FALSE()),0),"")</f>
        <v>0</v>
      </c>
      <c r="K427" s="9" t="n">
        <f aca="false">IFERROR(I427+J427,"")</f>
        <v>0</v>
      </c>
    </row>
    <row r="428" customFormat="false" ht="15" hidden="false" customHeight="false" outlineLevel="0" collapsed="false">
      <c r="A428" s="10"/>
      <c r="B428" s="10"/>
      <c r="C428" s="10"/>
      <c r="D428" s="14" t="str">
        <f aca="false">IFERROR(IF(C428="","",INDEX(Products!$C$5:$C$504,MATCH(C428,Products!$A$5:$A$504,0))),"")</f>
        <v/>
      </c>
      <c r="E428" s="13" t="n">
        <v>1</v>
      </c>
      <c r="F428" s="11"/>
      <c r="G428" s="15" t="n">
        <v>0</v>
      </c>
      <c r="H428" s="10" t="s">
        <v>114</v>
      </c>
      <c r="I428" s="9" t="n">
        <f aca="false">IFERROR(E428*F428*(1-G428),"")</f>
        <v>0</v>
      </c>
      <c r="J428" s="9" t="n">
        <f aca="false">IFERROR(I428*IFERROR(VLOOKUP(H428,VatRates,2,FALSE()),0),"")</f>
        <v>0</v>
      </c>
      <c r="K428" s="9" t="n">
        <f aca="false">IFERROR(I428+J428,"")</f>
        <v>0</v>
      </c>
    </row>
    <row r="429" customFormat="false" ht="15" hidden="false" customHeight="false" outlineLevel="0" collapsed="false">
      <c r="A429" s="10"/>
      <c r="B429" s="10"/>
      <c r="C429" s="10"/>
      <c r="D429" s="14" t="str">
        <f aca="false">IFERROR(IF(C429="","",INDEX(Products!$C$5:$C$504,MATCH(C429,Products!$A$5:$A$504,0))),"")</f>
        <v/>
      </c>
      <c r="E429" s="13" t="n">
        <v>1</v>
      </c>
      <c r="F429" s="11"/>
      <c r="G429" s="15" t="n">
        <v>0</v>
      </c>
      <c r="H429" s="10" t="s">
        <v>114</v>
      </c>
      <c r="I429" s="9" t="n">
        <f aca="false">IFERROR(E429*F429*(1-G429),"")</f>
        <v>0</v>
      </c>
      <c r="J429" s="9" t="n">
        <f aca="false">IFERROR(I429*IFERROR(VLOOKUP(H429,VatRates,2,FALSE()),0),"")</f>
        <v>0</v>
      </c>
      <c r="K429" s="9" t="n">
        <f aca="false">IFERROR(I429+J429,"")</f>
        <v>0</v>
      </c>
    </row>
    <row r="430" customFormat="false" ht="15" hidden="false" customHeight="false" outlineLevel="0" collapsed="false">
      <c r="A430" s="10"/>
      <c r="B430" s="10"/>
      <c r="C430" s="10"/>
      <c r="D430" s="14" t="str">
        <f aca="false">IFERROR(IF(C430="","",INDEX(Products!$C$5:$C$504,MATCH(C430,Products!$A$5:$A$504,0))),"")</f>
        <v/>
      </c>
      <c r="E430" s="13" t="n">
        <v>1</v>
      </c>
      <c r="F430" s="11"/>
      <c r="G430" s="15" t="n">
        <v>0</v>
      </c>
      <c r="H430" s="10" t="s">
        <v>114</v>
      </c>
      <c r="I430" s="9" t="n">
        <f aca="false">IFERROR(E430*F430*(1-G430),"")</f>
        <v>0</v>
      </c>
      <c r="J430" s="9" t="n">
        <f aca="false">IFERROR(I430*IFERROR(VLOOKUP(H430,VatRates,2,FALSE()),0),"")</f>
        <v>0</v>
      </c>
      <c r="K430" s="9" t="n">
        <f aca="false">IFERROR(I430+J430,"")</f>
        <v>0</v>
      </c>
    </row>
    <row r="431" customFormat="false" ht="15" hidden="false" customHeight="false" outlineLevel="0" collapsed="false">
      <c r="A431" s="10"/>
      <c r="B431" s="10"/>
      <c r="C431" s="10"/>
      <c r="D431" s="14" t="str">
        <f aca="false">IFERROR(IF(C431="","",INDEX(Products!$C$5:$C$504,MATCH(C431,Products!$A$5:$A$504,0))),"")</f>
        <v/>
      </c>
      <c r="E431" s="13" t="n">
        <v>1</v>
      </c>
      <c r="F431" s="11"/>
      <c r="G431" s="15" t="n">
        <v>0</v>
      </c>
      <c r="H431" s="10" t="s">
        <v>114</v>
      </c>
      <c r="I431" s="9" t="n">
        <f aca="false">IFERROR(E431*F431*(1-G431),"")</f>
        <v>0</v>
      </c>
      <c r="J431" s="9" t="n">
        <f aca="false">IFERROR(I431*IFERROR(VLOOKUP(H431,VatRates,2,FALSE()),0),"")</f>
        <v>0</v>
      </c>
      <c r="K431" s="9" t="n">
        <f aca="false">IFERROR(I431+J431,"")</f>
        <v>0</v>
      </c>
    </row>
    <row r="432" customFormat="false" ht="15" hidden="false" customHeight="false" outlineLevel="0" collapsed="false">
      <c r="A432" s="10"/>
      <c r="B432" s="10"/>
      <c r="C432" s="10"/>
      <c r="D432" s="14" t="str">
        <f aca="false">IFERROR(IF(C432="","",INDEX(Products!$C$5:$C$504,MATCH(C432,Products!$A$5:$A$504,0))),"")</f>
        <v/>
      </c>
      <c r="E432" s="13" t="n">
        <v>1</v>
      </c>
      <c r="F432" s="11"/>
      <c r="G432" s="15" t="n">
        <v>0</v>
      </c>
      <c r="H432" s="10" t="s">
        <v>114</v>
      </c>
      <c r="I432" s="9" t="n">
        <f aca="false">IFERROR(E432*F432*(1-G432),"")</f>
        <v>0</v>
      </c>
      <c r="J432" s="9" t="n">
        <f aca="false">IFERROR(I432*IFERROR(VLOOKUP(H432,VatRates,2,FALSE()),0),"")</f>
        <v>0</v>
      </c>
      <c r="K432" s="9" t="n">
        <f aca="false">IFERROR(I432+J432,"")</f>
        <v>0</v>
      </c>
    </row>
    <row r="433" customFormat="false" ht="15" hidden="false" customHeight="false" outlineLevel="0" collapsed="false">
      <c r="A433" s="10"/>
      <c r="B433" s="10"/>
      <c r="C433" s="10"/>
      <c r="D433" s="14" t="str">
        <f aca="false">IFERROR(IF(C433="","",INDEX(Products!$C$5:$C$504,MATCH(C433,Products!$A$5:$A$504,0))),"")</f>
        <v/>
      </c>
      <c r="E433" s="13" t="n">
        <v>1</v>
      </c>
      <c r="F433" s="11"/>
      <c r="G433" s="15" t="n">
        <v>0</v>
      </c>
      <c r="H433" s="10" t="s">
        <v>114</v>
      </c>
      <c r="I433" s="9" t="n">
        <f aca="false">IFERROR(E433*F433*(1-G433),"")</f>
        <v>0</v>
      </c>
      <c r="J433" s="9" t="n">
        <f aca="false">IFERROR(I433*IFERROR(VLOOKUP(H433,VatRates,2,FALSE()),0),"")</f>
        <v>0</v>
      </c>
      <c r="K433" s="9" t="n">
        <f aca="false">IFERROR(I433+J433,"")</f>
        <v>0</v>
      </c>
    </row>
    <row r="434" customFormat="false" ht="15" hidden="false" customHeight="false" outlineLevel="0" collapsed="false">
      <c r="A434" s="10"/>
      <c r="B434" s="10"/>
      <c r="C434" s="10"/>
      <c r="D434" s="14" t="str">
        <f aca="false">IFERROR(IF(C434="","",INDEX(Products!$C$5:$C$504,MATCH(C434,Products!$A$5:$A$504,0))),"")</f>
        <v/>
      </c>
      <c r="E434" s="13" t="n">
        <v>1</v>
      </c>
      <c r="F434" s="11"/>
      <c r="G434" s="15" t="n">
        <v>0</v>
      </c>
      <c r="H434" s="10" t="s">
        <v>114</v>
      </c>
      <c r="I434" s="9" t="n">
        <f aca="false">IFERROR(E434*F434*(1-G434),"")</f>
        <v>0</v>
      </c>
      <c r="J434" s="9" t="n">
        <f aca="false">IFERROR(I434*IFERROR(VLOOKUP(H434,VatRates,2,FALSE()),0),"")</f>
        <v>0</v>
      </c>
      <c r="K434" s="9" t="n">
        <f aca="false">IFERROR(I434+J434,"")</f>
        <v>0</v>
      </c>
    </row>
    <row r="435" customFormat="false" ht="15" hidden="false" customHeight="false" outlineLevel="0" collapsed="false">
      <c r="A435" s="10"/>
      <c r="B435" s="10"/>
      <c r="C435" s="10"/>
      <c r="D435" s="14" t="str">
        <f aca="false">IFERROR(IF(C435="","",INDEX(Products!$C$5:$C$504,MATCH(C435,Products!$A$5:$A$504,0))),"")</f>
        <v/>
      </c>
      <c r="E435" s="13" t="n">
        <v>1</v>
      </c>
      <c r="F435" s="11"/>
      <c r="G435" s="15" t="n">
        <v>0</v>
      </c>
      <c r="H435" s="10" t="s">
        <v>114</v>
      </c>
      <c r="I435" s="9" t="n">
        <f aca="false">IFERROR(E435*F435*(1-G435),"")</f>
        <v>0</v>
      </c>
      <c r="J435" s="9" t="n">
        <f aca="false">IFERROR(I435*IFERROR(VLOOKUP(H435,VatRates,2,FALSE()),0),"")</f>
        <v>0</v>
      </c>
      <c r="K435" s="9" t="n">
        <f aca="false">IFERROR(I435+J435,"")</f>
        <v>0</v>
      </c>
    </row>
    <row r="436" customFormat="false" ht="15" hidden="false" customHeight="false" outlineLevel="0" collapsed="false">
      <c r="A436" s="10"/>
      <c r="B436" s="10"/>
      <c r="C436" s="10"/>
      <c r="D436" s="14" t="str">
        <f aca="false">IFERROR(IF(C436="","",INDEX(Products!$C$5:$C$504,MATCH(C436,Products!$A$5:$A$504,0))),"")</f>
        <v/>
      </c>
      <c r="E436" s="13" t="n">
        <v>1</v>
      </c>
      <c r="F436" s="11"/>
      <c r="G436" s="15" t="n">
        <v>0</v>
      </c>
      <c r="H436" s="10" t="s">
        <v>114</v>
      </c>
      <c r="I436" s="9" t="n">
        <f aca="false">IFERROR(E436*F436*(1-G436),"")</f>
        <v>0</v>
      </c>
      <c r="J436" s="9" t="n">
        <f aca="false">IFERROR(I436*IFERROR(VLOOKUP(H436,VatRates,2,FALSE()),0),"")</f>
        <v>0</v>
      </c>
      <c r="K436" s="9" t="n">
        <f aca="false">IFERROR(I436+J436,"")</f>
        <v>0</v>
      </c>
    </row>
    <row r="437" customFormat="false" ht="15" hidden="false" customHeight="false" outlineLevel="0" collapsed="false">
      <c r="A437" s="10"/>
      <c r="B437" s="10"/>
      <c r="C437" s="10"/>
      <c r="D437" s="14" t="str">
        <f aca="false">IFERROR(IF(C437="","",INDEX(Products!$C$5:$C$504,MATCH(C437,Products!$A$5:$A$504,0))),"")</f>
        <v/>
      </c>
      <c r="E437" s="13" t="n">
        <v>1</v>
      </c>
      <c r="F437" s="11"/>
      <c r="G437" s="15" t="n">
        <v>0</v>
      </c>
      <c r="H437" s="10" t="s">
        <v>114</v>
      </c>
      <c r="I437" s="9" t="n">
        <f aca="false">IFERROR(E437*F437*(1-G437),"")</f>
        <v>0</v>
      </c>
      <c r="J437" s="9" t="n">
        <f aca="false">IFERROR(I437*IFERROR(VLOOKUP(H437,VatRates,2,FALSE()),0),"")</f>
        <v>0</v>
      </c>
      <c r="K437" s="9" t="n">
        <f aca="false">IFERROR(I437+J437,"")</f>
        <v>0</v>
      </c>
    </row>
    <row r="438" customFormat="false" ht="15" hidden="false" customHeight="false" outlineLevel="0" collapsed="false">
      <c r="A438" s="10"/>
      <c r="B438" s="10"/>
      <c r="C438" s="10"/>
      <c r="D438" s="14" t="str">
        <f aca="false">IFERROR(IF(C438="","",INDEX(Products!$C$5:$C$504,MATCH(C438,Products!$A$5:$A$504,0))),"")</f>
        <v/>
      </c>
      <c r="E438" s="13" t="n">
        <v>1</v>
      </c>
      <c r="F438" s="11"/>
      <c r="G438" s="15" t="n">
        <v>0</v>
      </c>
      <c r="H438" s="10" t="s">
        <v>114</v>
      </c>
      <c r="I438" s="9" t="n">
        <f aca="false">IFERROR(E438*F438*(1-G438),"")</f>
        <v>0</v>
      </c>
      <c r="J438" s="9" t="n">
        <f aca="false">IFERROR(I438*IFERROR(VLOOKUP(H438,VatRates,2,FALSE()),0),"")</f>
        <v>0</v>
      </c>
      <c r="K438" s="9" t="n">
        <f aca="false">IFERROR(I438+J438,"")</f>
        <v>0</v>
      </c>
    </row>
    <row r="439" customFormat="false" ht="15" hidden="false" customHeight="false" outlineLevel="0" collapsed="false">
      <c r="A439" s="10"/>
      <c r="B439" s="10"/>
      <c r="C439" s="10"/>
      <c r="D439" s="14" t="str">
        <f aca="false">IFERROR(IF(C439="","",INDEX(Products!$C$5:$C$504,MATCH(C439,Products!$A$5:$A$504,0))),"")</f>
        <v/>
      </c>
      <c r="E439" s="13" t="n">
        <v>1</v>
      </c>
      <c r="F439" s="11"/>
      <c r="G439" s="15" t="n">
        <v>0</v>
      </c>
      <c r="H439" s="10" t="s">
        <v>114</v>
      </c>
      <c r="I439" s="9" t="n">
        <f aca="false">IFERROR(E439*F439*(1-G439),"")</f>
        <v>0</v>
      </c>
      <c r="J439" s="9" t="n">
        <f aca="false">IFERROR(I439*IFERROR(VLOOKUP(H439,VatRates,2,FALSE()),0),"")</f>
        <v>0</v>
      </c>
      <c r="K439" s="9" t="n">
        <f aca="false">IFERROR(I439+J439,"")</f>
        <v>0</v>
      </c>
    </row>
    <row r="440" customFormat="false" ht="15" hidden="false" customHeight="false" outlineLevel="0" collapsed="false">
      <c r="A440" s="10"/>
      <c r="B440" s="10"/>
      <c r="C440" s="10"/>
      <c r="D440" s="14" t="str">
        <f aca="false">IFERROR(IF(C440="","",INDEX(Products!$C$5:$C$504,MATCH(C440,Products!$A$5:$A$504,0))),"")</f>
        <v/>
      </c>
      <c r="E440" s="13" t="n">
        <v>1</v>
      </c>
      <c r="F440" s="11"/>
      <c r="G440" s="15" t="n">
        <v>0</v>
      </c>
      <c r="H440" s="10" t="s">
        <v>114</v>
      </c>
      <c r="I440" s="9" t="n">
        <f aca="false">IFERROR(E440*F440*(1-G440),"")</f>
        <v>0</v>
      </c>
      <c r="J440" s="9" t="n">
        <f aca="false">IFERROR(I440*IFERROR(VLOOKUP(H440,VatRates,2,FALSE()),0),"")</f>
        <v>0</v>
      </c>
      <c r="K440" s="9" t="n">
        <f aca="false">IFERROR(I440+J440,"")</f>
        <v>0</v>
      </c>
    </row>
    <row r="441" customFormat="false" ht="15" hidden="false" customHeight="false" outlineLevel="0" collapsed="false">
      <c r="A441" s="10"/>
      <c r="B441" s="10"/>
      <c r="C441" s="10"/>
      <c r="D441" s="14" t="str">
        <f aca="false">IFERROR(IF(C441="","",INDEX(Products!$C$5:$C$504,MATCH(C441,Products!$A$5:$A$504,0))),"")</f>
        <v/>
      </c>
      <c r="E441" s="13" t="n">
        <v>1</v>
      </c>
      <c r="F441" s="11"/>
      <c r="G441" s="15" t="n">
        <v>0</v>
      </c>
      <c r="H441" s="10" t="s">
        <v>114</v>
      </c>
      <c r="I441" s="9" t="n">
        <f aca="false">IFERROR(E441*F441*(1-G441),"")</f>
        <v>0</v>
      </c>
      <c r="J441" s="9" t="n">
        <f aca="false">IFERROR(I441*IFERROR(VLOOKUP(H441,VatRates,2,FALSE()),0),"")</f>
        <v>0</v>
      </c>
      <c r="K441" s="9" t="n">
        <f aca="false">IFERROR(I441+J441,"")</f>
        <v>0</v>
      </c>
    </row>
    <row r="442" customFormat="false" ht="15" hidden="false" customHeight="false" outlineLevel="0" collapsed="false">
      <c r="A442" s="10"/>
      <c r="B442" s="10"/>
      <c r="C442" s="10"/>
      <c r="D442" s="14" t="str">
        <f aca="false">IFERROR(IF(C442="","",INDEX(Products!$C$5:$C$504,MATCH(C442,Products!$A$5:$A$504,0))),"")</f>
        <v/>
      </c>
      <c r="E442" s="13" t="n">
        <v>1</v>
      </c>
      <c r="F442" s="11"/>
      <c r="G442" s="15" t="n">
        <v>0</v>
      </c>
      <c r="H442" s="10" t="s">
        <v>114</v>
      </c>
      <c r="I442" s="9" t="n">
        <f aca="false">IFERROR(E442*F442*(1-G442),"")</f>
        <v>0</v>
      </c>
      <c r="J442" s="9" t="n">
        <f aca="false">IFERROR(I442*IFERROR(VLOOKUP(H442,VatRates,2,FALSE()),0),"")</f>
        <v>0</v>
      </c>
      <c r="K442" s="9" t="n">
        <f aca="false">IFERROR(I442+J442,"")</f>
        <v>0</v>
      </c>
    </row>
    <row r="443" customFormat="false" ht="15" hidden="false" customHeight="false" outlineLevel="0" collapsed="false">
      <c r="A443" s="10"/>
      <c r="B443" s="10"/>
      <c r="C443" s="10"/>
      <c r="D443" s="14" t="str">
        <f aca="false">IFERROR(IF(C443="","",INDEX(Products!$C$5:$C$504,MATCH(C443,Products!$A$5:$A$504,0))),"")</f>
        <v/>
      </c>
      <c r="E443" s="13" t="n">
        <v>1</v>
      </c>
      <c r="F443" s="11"/>
      <c r="G443" s="15" t="n">
        <v>0</v>
      </c>
      <c r="H443" s="10" t="s">
        <v>114</v>
      </c>
      <c r="I443" s="9" t="n">
        <f aca="false">IFERROR(E443*F443*(1-G443),"")</f>
        <v>0</v>
      </c>
      <c r="J443" s="9" t="n">
        <f aca="false">IFERROR(I443*IFERROR(VLOOKUP(H443,VatRates,2,FALSE()),0),"")</f>
        <v>0</v>
      </c>
      <c r="K443" s="9" t="n">
        <f aca="false">IFERROR(I443+J443,"")</f>
        <v>0</v>
      </c>
    </row>
    <row r="444" customFormat="false" ht="15" hidden="false" customHeight="false" outlineLevel="0" collapsed="false">
      <c r="A444" s="10"/>
      <c r="B444" s="10"/>
      <c r="C444" s="10"/>
      <c r="D444" s="14" t="str">
        <f aca="false">IFERROR(IF(C444="","",INDEX(Products!$C$5:$C$504,MATCH(C444,Products!$A$5:$A$504,0))),"")</f>
        <v/>
      </c>
      <c r="E444" s="13" t="n">
        <v>1</v>
      </c>
      <c r="F444" s="11"/>
      <c r="G444" s="15" t="n">
        <v>0</v>
      </c>
      <c r="H444" s="10" t="s">
        <v>114</v>
      </c>
      <c r="I444" s="9" t="n">
        <f aca="false">IFERROR(E444*F444*(1-G444),"")</f>
        <v>0</v>
      </c>
      <c r="J444" s="9" t="n">
        <f aca="false">IFERROR(I444*IFERROR(VLOOKUP(H444,VatRates,2,FALSE()),0),"")</f>
        <v>0</v>
      </c>
      <c r="K444" s="9" t="n">
        <f aca="false">IFERROR(I444+J444,"")</f>
        <v>0</v>
      </c>
    </row>
    <row r="445" customFormat="false" ht="15" hidden="false" customHeight="false" outlineLevel="0" collapsed="false">
      <c r="A445" s="10"/>
      <c r="B445" s="10"/>
      <c r="C445" s="10"/>
      <c r="D445" s="14" t="str">
        <f aca="false">IFERROR(IF(C445="","",INDEX(Products!$C$5:$C$504,MATCH(C445,Products!$A$5:$A$504,0))),"")</f>
        <v/>
      </c>
      <c r="E445" s="13" t="n">
        <v>1</v>
      </c>
      <c r="F445" s="11"/>
      <c r="G445" s="15" t="n">
        <v>0</v>
      </c>
      <c r="H445" s="10" t="s">
        <v>114</v>
      </c>
      <c r="I445" s="9" t="n">
        <f aca="false">IFERROR(E445*F445*(1-G445),"")</f>
        <v>0</v>
      </c>
      <c r="J445" s="9" t="n">
        <f aca="false">IFERROR(I445*IFERROR(VLOOKUP(H445,VatRates,2,FALSE()),0),"")</f>
        <v>0</v>
      </c>
      <c r="K445" s="9" t="n">
        <f aca="false">IFERROR(I445+J445,"")</f>
        <v>0</v>
      </c>
    </row>
    <row r="446" customFormat="false" ht="15" hidden="false" customHeight="false" outlineLevel="0" collapsed="false">
      <c r="A446" s="10"/>
      <c r="B446" s="10"/>
      <c r="C446" s="10"/>
      <c r="D446" s="14" t="str">
        <f aca="false">IFERROR(IF(C446="","",INDEX(Products!$C$5:$C$504,MATCH(C446,Products!$A$5:$A$504,0))),"")</f>
        <v/>
      </c>
      <c r="E446" s="13" t="n">
        <v>1</v>
      </c>
      <c r="F446" s="11"/>
      <c r="G446" s="15" t="n">
        <v>0</v>
      </c>
      <c r="H446" s="10" t="s">
        <v>114</v>
      </c>
      <c r="I446" s="9" t="n">
        <f aca="false">IFERROR(E446*F446*(1-G446),"")</f>
        <v>0</v>
      </c>
      <c r="J446" s="9" t="n">
        <f aca="false">IFERROR(I446*IFERROR(VLOOKUP(H446,VatRates,2,FALSE()),0),"")</f>
        <v>0</v>
      </c>
      <c r="K446" s="9" t="n">
        <f aca="false">IFERROR(I446+J446,"")</f>
        <v>0</v>
      </c>
    </row>
    <row r="447" customFormat="false" ht="15" hidden="false" customHeight="false" outlineLevel="0" collapsed="false">
      <c r="A447" s="10"/>
      <c r="B447" s="10"/>
      <c r="C447" s="10"/>
      <c r="D447" s="14" t="str">
        <f aca="false">IFERROR(IF(C447="","",INDEX(Products!$C$5:$C$504,MATCH(C447,Products!$A$5:$A$504,0))),"")</f>
        <v/>
      </c>
      <c r="E447" s="13" t="n">
        <v>1</v>
      </c>
      <c r="F447" s="11"/>
      <c r="G447" s="15" t="n">
        <v>0</v>
      </c>
      <c r="H447" s="10" t="s">
        <v>114</v>
      </c>
      <c r="I447" s="9" t="n">
        <f aca="false">IFERROR(E447*F447*(1-G447),"")</f>
        <v>0</v>
      </c>
      <c r="J447" s="9" t="n">
        <f aca="false">IFERROR(I447*IFERROR(VLOOKUP(H447,VatRates,2,FALSE()),0),"")</f>
        <v>0</v>
      </c>
      <c r="K447" s="9" t="n">
        <f aca="false">IFERROR(I447+J447,"")</f>
        <v>0</v>
      </c>
    </row>
    <row r="448" customFormat="false" ht="15" hidden="false" customHeight="false" outlineLevel="0" collapsed="false">
      <c r="A448" s="10"/>
      <c r="B448" s="10"/>
      <c r="C448" s="10"/>
      <c r="D448" s="14" t="str">
        <f aca="false">IFERROR(IF(C448="","",INDEX(Products!$C$5:$C$504,MATCH(C448,Products!$A$5:$A$504,0))),"")</f>
        <v/>
      </c>
      <c r="E448" s="13" t="n">
        <v>1</v>
      </c>
      <c r="F448" s="11"/>
      <c r="G448" s="15" t="n">
        <v>0</v>
      </c>
      <c r="H448" s="10" t="s">
        <v>114</v>
      </c>
      <c r="I448" s="9" t="n">
        <f aca="false">IFERROR(E448*F448*(1-G448),"")</f>
        <v>0</v>
      </c>
      <c r="J448" s="9" t="n">
        <f aca="false">IFERROR(I448*IFERROR(VLOOKUP(H448,VatRates,2,FALSE()),0),"")</f>
        <v>0</v>
      </c>
      <c r="K448" s="9" t="n">
        <f aca="false">IFERROR(I448+J448,"")</f>
        <v>0</v>
      </c>
    </row>
    <row r="449" customFormat="false" ht="15" hidden="false" customHeight="false" outlineLevel="0" collapsed="false">
      <c r="A449" s="10"/>
      <c r="B449" s="10"/>
      <c r="C449" s="10"/>
      <c r="D449" s="14" t="str">
        <f aca="false">IFERROR(IF(C449="","",INDEX(Products!$C$5:$C$504,MATCH(C449,Products!$A$5:$A$504,0))),"")</f>
        <v/>
      </c>
      <c r="E449" s="13" t="n">
        <v>1</v>
      </c>
      <c r="F449" s="11"/>
      <c r="G449" s="15" t="n">
        <v>0</v>
      </c>
      <c r="H449" s="10" t="s">
        <v>114</v>
      </c>
      <c r="I449" s="9" t="n">
        <f aca="false">IFERROR(E449*F449*(1-G449),"")</f>
        <v>0</v>
      </c>
      <c r="J449" s="9" t="n">
        <f aca="false">IFERROR(I449*IFERROR(VLOOKUP(H449,VatRates,2,FALSE()),0),"")</f>
        <v>0</v>
      </c>
      <c r="K449" s="9" t="n">
        <f aca="false">IFERROR(I449+J449,"")</f>
        <v>0</v>
      </c>
    </row>
    <row r="450" customFormat="false" ht="15" hidden="false" customHeight="false" outlineLevel="0" collapsed="false">
      <c r="A450" s="10"/>
      <c r="B450" s="10"/>
      <c r="C450" s="10"/>
      <c r="D450" s="14" t="str">
        <f aca="false">IFERROR(IF(C450="","",INDEX(Products!$C$5:$C$504,MATCH(C450,Products!$A$5:$A$504,0))),"")</f>
        <v/>
      </c>
      <c r="E450" s="13" t="n">
        <v>1</v>
      </c>
      <c r="F450" s="11"/>
      <c r="G450" s="15" t="n">
        <v>0</v>
      </c>
      <c r="H450" s="10" t="s">
        <v>114</v>
      </c>
      <c r="I450" s="9" t="n">
        <f aca="false">IFERROR(E450*F450*(1-G450),"")</f>
        <v>0</v>
      </c>
      <c r="J450" s="9" t="n">
        <f aca="false">IFERROR(I450*IFERROR(VLOOKUP(H450,VatRates,2,FALSE()),0),"")</f>
        <v>0</v>
      </c>
      <c r="K450" s="9" t="n">
        <f aca="false">IFERROR(I450+J450,"")</f>
        <v>0</v>
      </c>
    </row>
    <row r="451" customFormat="false" ht="15" hidden="false" customHeight="false" outlineLevel="0" collapsed="false">
      <c r="A451" s="10"/>
      <c r="B451" s="10"/>
      <c r="C451" s="10"/>
      <c r="D451" s="14" t="str">
        <f aca="false">IFERROR(IF(C451="","",INDEX(Products!$C$5:$C$504,MATCH(C451,Products!$A$5:$A$504,0))),"")</f>
        <v/>
      </c>
      <c r="E451" s="13" t="n">
        <v>1</v>
      </c>
      <c r="F451" s="11"/>
      <c r="G451" s="15" t="n">
        <v>0</v>
      </c>
      <c r="H451" s="10" t="s">
        <v>114</v>
      </c>
      <c r="I451" s="9" t="n">
        <f aca="false">IFERROR(E451*F451*(1-G451),"")</f>
        <v>0</v>
      </c>
      <c r="J451" s="9" t="n">
        <f aca="false">IFERROR(I451*IFERROR(VLOOKUP(H451,VatRates,2,FALSE()),0),"")</f>
        <v>0</v>
      </c>
      <c r="K451" s="9" t="n">
        <f aca="false">IFERROR(I451+J451,"")</f>
        <v>0</v>
      </c>
    </row>
    <row r="452" customFormat="false" ht="15" hidden="false" customHeight="false" outlineLevel="0" collapsed="false">
      <c r="A452" s="10"/>
      <c r="B452" s="10"/>
      <c r="C452" s="10"/>
      <c r="D452" s="14" t="str">
        <f aca="false">IFERROR(IF(C452="","",INDEX(Products!$C$5:$C$504,MATCH(C452,Products!$A$5:$A$504,0))),"")</f>
        <v/>
      </c>
      <c r="E452" s="13" t="n">
        <v>1</v>
      </c>
      <c r="F452" s="11"/>
      <c r="G452" s="15" t="n">
        <v>0</v>
      </c>
      <c r="H452" s="10" t="s">
        <v>114</v>
      </c>
      <c r="I452" s="9" t="n">
        <f aca="false">IFERROR(E452*F452*(1-G452),"")</f>
        <v>0</v>
      </c>
      <c r="J452" s="9" t="n">
        <f aca="false">IFERROR(I452*IFERROR(VLOOKUP(H452,VatRates,2,FALSE()),0),"")</f>
        <v>0</v>
      </c>
      <c r="K452" s="9" t="n">
        <f aca="false">IFERROR(I452+J452,"")</f>
        <v>0</v>
      </c>
    </row>
    <row r="453" customFormat="false" ht="15" hidden="false" customHeight="false" outlineLevel="0" collapsed="false">
      <c r="A453" s="10"/>
      <c r="B453" s="10"/>
      <c r="C453" s="10"/>
      <c r="D453" s="14" t="str">
        <f aca="false">IFERROR(IF(C453="","",INDEX(Products!$C$5:$C$504,MATCH(C453,Products!$A$5:$A$504,0))),"")</f>
        <v/>
      </c>
      <c r="E453" s="13" t="n">
        <v>1</v>
      </c>
      <c r="F453" s="11"/>
      <c r="G453" s="15" t="n">
        <v>0</v>
      </c>
      <c r="H453" s="10" t="s">
        <v>114</v>
      </c>
      <c r="I453" s="9" t="n">
        <f aca="false">IFERROR(E453*F453*(1-G453),"")</f>
        <v>0</v>
      </c>
      <c r="J453" s="9" t="n">
        <f aca="false">IFERROR(I453*IFERROR(VLOOKUP(H453,VatRates,2,FALSE()),0),"")</f>
        <v>0</v>
      </c>
      <c r="K453" s="9" t="n">
        <f aca="false">IFERROR(I453+J453,"")</f>
        <v>0</v>
      </c>
    </row>
    <row r="454" customFormat="false" ht="15" hidden="false" customHeight="false" outlineLevel="0" collapsed="false">
      <c r="A454" s="10"/>
      <c r="B454" s="10"/>
      <c r="C454" s="10"/>
      <c r="D454" s="14" t="str">
        <f aca="false">IFERROR(IF(C454="","",INDEX(Products!$C$5:$C$504,MATCH(C454,Products!$A$5:$A$504,0))),"")</f>
        <v/>
      </c>
      <c r="E454" s="13" t="n">
        <v>1</v>
      </c>
      <c r="F454" s="11"/>
      <c r="G454" s="15" t="n">
        <v>0</v>
      </c>
      <c r="H454" s="10" t="s">
        <v>114</v>
      </c>
      <c r="I454" s="9" t="n">
        <f aca="false">IFERROR(E454*F454*(1-G454),"")</f>
        <v>0</v>
      </c>
      <c r="J454" s="9" t="n">
        <f aca="false">IFERROR(I454*IFERROR(VLOOKUP(H454,VatRates,2,FALSE()),0),"")</f>
        <v>0</v>
      </c>
      <c r="K454" s="9" t="n">
        <f aca="false">IFERROR(I454+J454,"")</f>
        <v>0</v>
      </c>
    </row>
    <row r="455" customFormat="false" ht="15" hidden="false" customHeight="false" outlineLevel="0" collapsed="false">
      <c r="A455" s="10"/>
      <c r="B455" s="10"/>
      <c r="C455" s="10"/>
      <c r="D455" s="14" t="str">
        <f aca="false">IFERROR(IF(C455="","",INDEX(Products!$C$5:$C$504,MATCH(C455,Products!$A$5:$A$504,0))),"")</f>
        <v/>
      </c>
      <c r="E455" s="13" t="n">
        <v>1</v>
      </c>
      <c r="F455" s="11"/>
      <c r="G455" s="15" t="n">
        <v>0</v>
      </c>
      <c r="H455" s="10" t="s">
        <v>114</v>
      </c>
      <c r="I455" s="9" t="n">
        <f aca="false">IFERROR(E455*F455*(1-G455),"")</f>
        <v>0</v>
      </c>
      <c r="J455" s="9" t="n">
        <f aca="false">IFERROR(I455*IFERROR(VLOOKUP(H455,VatRates,2,FALSE()),0),"")</f>
        <v>0</v>
      </c>
      <c r="K455" s="9" t="n">
        <f aca="false">IFERROR(I455+J455,"")</f>
        <v>0</v>
      </c>
    </row>
    <row r="456" customFormat="false" ht="15" hidden="false" customHeight="false" outlineLevel="0" collapsed="false">
      <c r="A456" s="10"/>
      <c r="B456" s="10"/>
      <c r="C456" s="10"/>
      <c r="D456" s="14" t="str">
        <f aca="false">IFERROR(IF(C456="","",INDEX(Products!$C$5:$C$504,MATCH(C456,Products!$A$5:$A$504,0))),"")</f>
        <v/>
      </c>
      <c r="E456" s="13" t="n">
        <v>1</v>
      </c>
      <c r="F456" s="11"/>
      <c r="G456" s="15" t="n">
        <v>0</v>
      </c>
      <c r="H456" s="10" t="s">
        <v>114</v>
      </c>
      <c r="I456" s="9" t="n">
        <f aca="false">IFERROR(E456*F456*(1-G456),"")</f>
        <v>0</v>
      </c>
      <c r="J456" s="9" t="n">
        <f aca="false">IFERROR(I456*IFERROR(VLOOKUP(H456,VatRates,2,FALSE()),0),"")</f>
        <v>0</v>
      </c>
      <c r="K456" s="9" t="n">
        <f aca="false">IFERROR(I456+J456,"")</f>
        <v>0</v>
      </c>
    </row>
    <row r="457" customFormat="false" ht="15" hidden="false" customHeight="false" outlineLevel="0" collapsed="false">
      <c r="A457" s="10"/>
      <c r="B457" s="10"/>
      <c r="C457" s="10"/>
      <c r="D457" s="14" t="str">
        <f aca="false">IFERROR(IF(C457="","",INDEX(Products!$C$5:$C$504,MATCH(C457,Products!$A$5:$A$504,0))),"")</f>
        <v/>
      </c>
      <c r="E457" s="13" t="n">
        <v>1</v>
      </c>
      <c r="F457" s="11"/>
      <c r="G457" s="15" t="n">
        <v>0</v>
      </c>
      <c r="H457" s="10" t="s">
        <v>114</v>
      </c>
      <c r="I457" s="9" t="n">
        <f aca="false">IFERROR(E457*F457*(1-G457),"")</f>
        <v>0</v>
      </c>
      <c r="J457" s="9" t="n">
        <f aca="false">IFERROR(I457*IFERROR(VLOOKUP(H457,VatRates,2,FALSE()),0),"")</f>
        <v>0</v>
      </c>
      <c r="K457" s="9" t="n">
        <f aca="false">IFERROR(I457+J457,"")</f>
        <v>0</v>
      </c>
    </row>
    <row r="458" customFormat="false" ht="15" hidden="false" customHeight="false" outlineLevel="0" collapsed="false">
      <c r="A458" s="10"/>
      <c r="B458" s="10"/>
      <c r="C458" s="10"/>
      <c r="D458" s="14" t="str">
        <f aca="false">IFERROR(IF(C458="","",INDEX(Products!$C$5:$C$504,MATCH(C458,Products!$A$5:$A$504,0))),"")</f>
        <v/>
      </c>
      <c r="E458" s="13" t="n">
        <v>1</v>
      </c>
      <c r="F458" s="11"/>
      <c r="G458" s="15" t="n">
        <v>0</v>
      </c>
      <c r="H458" s="10" t="s">
        <v>114</v>
      </c>
      <c r="I458" s="9" t="n">
        <f aca="false">IFERROR(E458*F458*(1-G458),"")</f>
        <v>0</v>
      </c>
      <c r="J458" s="9" t="n">
        <f aca="false">IFERROR(I458*IFERROR(VLOOKUP(H458,VatRates,2,FALSE()),0),"")</f>
        <v>0</v>
      </c>
      <c r="K458" s="9" t="n">
        <f aca="false">IFERROR(I458+J458,"")</f>
        <v>0</v>
      </c>
    </row>
    <row r="459" customFormat="false" ht="15" hidden="false" customHeight="false" outlineLevel="0" collapsed="false">
      <c r="A459" s="10"/>
      <c r="B459" s="10"/>
      <c r="C459" s="10"/>
      <c r="D459" s="14" t="str">
        <f aca="false">IFERROR(IF(C459="","",INDEX(Products!$C$5:$C$504,MATCH(C459,Products!$A$5:$A$504,0))),"")</f>
        <v/>
      </c>
      <c r="E459" s="13" t="n">
        <v>1</v>
      </c>
      <c r="F459" s="11"/>
      <c r="G459" s="15" t="n">
        <v>0</v>
      </c>
      <c r="H459" s="10" t="s">
        <v>114</v>
      </c>
      <c r="I459" s="9" t="n">
        <f aca="false">IFERROR(E459*F459*(1-G459),"")</f>
        <v>0</v>
      </c>
      <c r="J459" s="9" t="n">
        <f aca="false">IFERROR(I459*IFERROR(VLOOKUP(H459,VatRates,2,FALSE()),0),"")</f>
        <v>0</v>
      </c>
      <c r="K459" s="9" t="n">
        <f aca="false">IFERROR(I459+J459,"")</f>
        <v>0</v>
      </c>
    </row>
    <row r="460" customFormat="false" ht="15" hidden="false" customHeight="false" outlineLevel="0" collapsed="false">
      <c r="A460" s="10"/>
      <c r="B460" s="10"/>
      <c r="C460" s="10"/>
      <c r="D460" s="14" t="str">
        <f aca="false">IFERROR(IF(C460="","",INDEX(Products!$C$5:$C$504,MATCH(C460,Products!$A$5:$A$504,0))),"")</f>
        <v/>
      </c>
      <c r="E460" s="13" t="n">
        <v>1</v>
      </c>
      <c r="F460" s="11"/>
      <c r="G460" s="15" t="n">
        <v>0</v>
      </c>
      <c r="H460" s="10" t="s">
        <v>114</v>
      </c>
      <c r="I460" s="9" t="n">
        <f aca="false">IFERROR(E460*F460*(1-G460),"")</f>
        <v>0</v>
      </c>
      <c r="J460" s="9" t="n">
        <f aca="false">IFERROR(I460*IFERROR(VLOOKUP(H460,VatRates,2,FALSE()),0),"")</f>
        <v>0</v>
      </c>
      <c r="K460" s="9" t="n">
        <f aca="false">IFERROR(I460+J460,"")</f>
        <v>0</v>
      </c>
    </row>
    <row r="461" customFormat="false" ht="15" hidden="false" customHeight="false" outlineLevel="0" collapsed="false">
      <c r="A461" s="10"/>
      <c r="B461" s="10"/>
      <c r="C461" s="10"/>
      <c r="D461" s="14" t="str">
        <f aca="false">IFERROR(IF(C461="","",INDEX(Products!$C$5:$C$504,MATCH(C461,Products!$A$5:$A$504,0))),"")</f>
        <v/>
      </c>
      <c r="E461" s="13" t="n">
        <v>1</v>
      </c>
      <c r="F461" s="11"/>
      <c r="G461" s="15" t="n">
        <v>0</v>
      </c>
      <c r="H461" s="10" t="s">
        <v>114</v>
      </c>
      <c r="I461" s="9" t="n">
        <f aca="false">IFERROR(E461*F461*(1-G461),"")</f>
        <v>0</v>
      </c>
      <c r="J461" s="9" t="n">
        <f aca="false">IFERROR(I461*IFERROR(VLOOKUP(H461,VatRates,2,FALSE()),0),"")</f>
        <v>0</v>
      </c>
      <c r="K461" s="9" t="n">
        <f aca="false">IFERROR(I461+J461,"")</f>
        <v>0</v>
      </c>
    </row>
    <row r="462" customFormat="false" ht="15" hidden="false" customHeight="false" outlineLevel="0" collapsed="false">
      <c r="A462" s="10"/>
      <c r="B462" s="10"/>
      <c r="C462" s="10"/>
      <c r="D462" s="14" t="str">
        <f aca="false">IFERROR(IF(C462="","",INDEX(Products!$C$5:$C$504,MATCH(C462,Products!$A$5:$A$504,0))),"")</f>
        <v/>
      </c>
      <c r="E462" s="13" t="n">
        <v>1</v>
      </c>
      <c r="F462" s="11"/>
      <c r="G462" s="15" t="n">
        <v>0</v>
      </c>
      <c r="H462" s="10" t="s">
        <v>114</v>
      </c>
      <c r="I462" s="9" t="n">
        <f aca="false">IFERROR(E462*F462*(1-G462),"")</f>
        <v>0</v>
      </c>
      <c r="J462" s="9" t="n">
        <f aca="false">IFERROR(I462*IFERROR(VLOOKUP(H462,VatRates,2,FALSE()),0),"")</f>
        <v>0</v>
      </c>
      <c r="K462" s="9" t="n">
        <f aca="false">IFERROR(I462+J462,"")</f>
        <v>0</v>
      </c>
    </row>
    <row r="463" customFormat="false" ht="15" hidden="false" customHeight="false" outlineLevel="0" collapsed="false">
      <c r="A463" s="10"/>
      <c r="B463" s="10"/>
      <c r="C463" s="10"/>
      <c r="D463" s="14" t="str">
        <f aca="false">IFERROR(IF(C463="","",INDEX(Products!$C$5:$C$504,MATCH(C463,Products!$A$5:$A$504,0))),"")</f>
        <v/>
      </c>
      <c r="E463" s="13" t="n">
        <v>1</v>
      </c>
      <c r="F463" s="11"/>
      <c r="G463" s="15" t="n">
        <v>0</v>
      </c>
      <c r="H463" s="10" t="s">
        <v>114</v>
      </c>
      <c r="I463" s="9" t="n">
        <f aca="false">IFERROR(E463*F463*(1-G463),"")</f>
        <v>0</v>
      </c>
      <c r="J463" s="9" t="n">
        <f aca="false">IFERROR(I463*IFERROR(VLOOKUP(H463,VatRates,2,FALSE()),0),"")</f>
        <v>0</v>
      </c>
      <c r="K463" s="9" t="n">
        <f aca="false">IFERROR(I463+J463,"")</f>
        <v>0</v>
      </c>
    </row>
    <row r="464" customFormat="false" ht="15" hidden="false" customHeight="false" outlineLevel="0" collapsed="false">
      <c r="A464" s="10"/>
      <c r="B464" s="10"/>
      <c r="C464" s="10"/>
      <c r="D464" s="14" t="str">
        <f aca="false">IFERROR(IF(C464="","",INDEX(Products!$C$5:$C$504,MATCH(C464,Products!$A$5:$A$504,0))),"")</f>
        <v/>
      </c>
      <c r="E464" s="13" t="n">
        <v>1</v>
      </c>
      <c r="F464" s="11"/>
      <c r="G464" s="15" t="n">
        <v>0</v>
      </c>
      <c r="H464" s="10" t="s">
        <v>114</v>
      </c>
      <c r="I464" s="9" t="n">
        <f aca="false">IFERROR(E464*F464*(1-G464),"")</f>
        <v>0</v>
      </c>
      <c r="J464" s="9" t="n">
        <f aca="false">IFERROR(I464*IFERROR(VLOOKUP(H464,VatRates,2,FALSE()),0),"")</f>
        <v>0</v>
      </c>
      <c r="K464" s="9" t="n">
        <f aca="false">IFERROR(I464+J464,"")</f>
        <v>0</v>
      </c>
    </row>
    <row r="465" customFormat="false" ht="15" hidden="false" customHeight="false" outlineLevel="0" collapsed="false">
      <c r="A465" s="10"/>
      <c r="B465" s="10"/>
      <c r="C465" s="10"/>
      <c r="D465" s="14" t="str">
        <f aca="false">IFERROR(IF(C465="","",INDEX(Products!$C$5:$C$504,MATCH(C465,Products!$A$5:$A$504,0))),"")</f>
        <v/>
      </c>
      <c r="E465" s="13" t="n">
        <v>1</v>
      </c>
      <c r="F465" s="11"/>
      <c r="G465" s="15" t="n">
        <v>0</v>
      </c>
      <c r="H465" s="10" t="s">
        <v>114</v>
      </c>
      <c r="I465" s="9" t="n">
        <f aca="false">IFERROR(E465*F465*(1-G465),"")</f>
        <v>0</v>
      </c>
      <c r="J465" s="9" t="n">
        <f aca="false">IFERROR(I465*IFERROR(VLOOKUP(H465,VatRates,2,FALSE()),0),"")</f>
        <v>0</v>
      </c>
      <c r="K465" s="9" t="n">
        <f aca="false">IFERROR(I465+J465,"")</f>
        <v>0</v>
      </c>
    </row>
    <row r="466" customFormat="false" ht="15" hidden="false" customHeight="false" outlineLevel="0" collapsed="false">
      <c r="A466" s="10"/>
      <c r="B466" s="10"/>
      <c r="C466" s="10"/>
      <c r="D466" s="14" t="str">
        <f aca="false">IFERROR(IF(C466="","",INDEX(Products!$C$5:$C$504,MATCH(C466,Products!$A$5:$A$504,0))),"")</f>
        <v/>
      </c>
      <c r="E466" s="13" t="n">
        <v>1</v>
      </c>
      <c r="F466" s="11"/>
      <c r="G466" s="15" t="n">
        <v>0</v>
      </c>
      <c r="H466" s="10" t="s">
        <v>114</v>
      </c>
      <c r="I466" s="9" t="n">
        <f aca="false">IFERROR(E466*F466*(1-G466),"")</f>
        <v>0</v>
      </c>
      <c r="J466" s="9" t="n">
        <f aca="false">IFERROR(I466*IFERROR(VLOOKUP(H466,VatRates,2,FALSE()),0),"")</f>
        <v>0</v>
      </c>
      <c r="K466" s="9" t="n">
        <f aca="false">IFERROR(I466+J466,"")</f>
        <v>0</v>
      </c>
    </row>
    <row r="467" customFormat="false" ht="15" hidden="false" customHeight="false" outlineLevel="0" collapsed="false">
      <c r="A467" s="10"/>
      <c r="B467" s="10"/>
      <c r="C467" s="10"/>
      <c r="D467" s="14" t="str">
        <f aca="false">IFERROR(IF(C467="","",INDEX(Products!$C$5:$C$504,MATCH(C467,Products!$A$5:$A$504,0))),"")</f>
        <v/>
      </c>
      <c r="E467" s="13" t="n">
        <v>1</v>
      </c>
      <c r="F467" s="11"/>
      <c r="G467" s="15" t="n">
        <v>0</v>
      </c>
      <c r="H467" s="10" t="s">
        <v>114</v>
      </c>
      <c r="I467" s="9" t="n">
        <f aca="false">IFERROR(E467*F467*(1-G467),"")</f>
        <v>0</v>
      </c>
      <c r="J467" s="9" t="n">
        <f aca="false">IFERROR(I467*IFERROR(VLOOKUP(H467,VatRates,2,FALSE()),0),"")</f>
        <v>0</v>
      </c>
      <c r="K467" s="9" t="n">
        <f aca="false">IFERROR(I467+J467,"")</f>
        <v>0</v>
      </c>
    </row>
    <row r="468" customFormat="false" ht="15" hidden="false" customHeight="false" outlineLevel="0" collapsed="false">
      <c r="A468" s="10"/>
      <c r="B468" s="10"/>
      <c r="C468" s="10"/>
      <c r="D468" s="14" t="str">
        <f aca="false">IFERROR(IF(C468="","",INDEX(Products!$C$5:$C$504,MATCH(C468,Products!$A$5:$A$504,0))),"")</f>
        <v/>
      </c>
      <c r="E468" s="13" t="n">
        <v>1</v>
      </c>
      <c r="F468" s="11"/>
      <c r="G468" s="15" t="n">
        <v>0</v>
      </c>
      <c r="H468" s="10" t="s">
        <v>114</v>
      </c>
      <c r="I468" s="9" t="n">
        <f aca="false">IFERROR(E468*F468*(1-G468),"")</f>
        <v>0</v>
      </c>
      <c r="J468" s="9" t="n">
        <f aca="false">IFERROR(I468*IFERROR(VLOOKUP(H468,VatRates,2,FALSE()),0),"")</f>
        <v>0</v>
      </c>
      <c r="K468" s="9" t="n">
        <f aca="false">IFERROR(I468+J468,"")</f>
        <v>0</v>
      </c>
    </row>
    <row r="469" customFormat="false" ht="15" hidden="false" customHeight="false" outlineLevel="0" collapsed="false">
      <c r="A469" s="10"/>
      <c r="B469" s="10"/>
      <c r="C469" s="10"/>
      <c r="D469" s="14" t="str">
        <f aca="false">IFERROR(IF(C469="","",INDEX(Products!$C$5:$C$504,MATCH(C469,Products!$A$5:$A$504,0))),"")</f>
        <v/>
      </c>
      <c r="E469" s="13" t="n">
        <v>1</v>
      </c>
      <c r="F469" s="11"/>
      <c r="G469" s="15" t="n">
        <v>0</v>
      </c>
      <c r="H469" s="10" t="s">
        <v>114</v>
      </c>
      <c r="I469" s="9" t="n">
        <f aca="false">IFERROR(E469*F469*(1-G469),"")</f>
        <v>0</v>
      </c>
      <c r="J469" s="9" t="n">
        <f aca="false">IFERROR(I469*IFERROR(VLOOKUP(H469,VatRates,2,FALSE()),0),"")</f>
        <v>0</v>
      </c>
      <c r="K469" s="9" t="n">
        <f aca="false">IFERROR(I469+J469,"")</f>
        <v>0</v>
      </c>
    </row>
    <row r="470" customFormat="false" ht="15" hidden="false" customHeight="false" outlineLevel="0" collapsed="false">
      <c r="A470" s="10"/>
      <c r="B470" s="10"/>
      <c r="C470" s="10"/>
      <c r="D470" s="14" t="str">
        <f aca="false">IFERROR(IF(C470="","",INDEX(Products!$C$5:$C$504,MATCH(C470,Products!$A$5:$A$504,0))),"")</f>
        <v/>
      </c>
      <c r="E470" s="13" t="n">
        <v>1</v>
      </c>
      <c r="F470" s="11"/>
      <c r="G470" s="15" t="n">
        <v>0</v>
      </c>
      <c r="H470" s="10" t="s">
        <v>114</v>
      </c>
      <c r="I470" s="9" t="n">
        <f aca="false">IFERROR(E470*F470*(1-G470),"")</f>
        <v>0</v>
      </c>
      <c r="J470" s="9" t="n">
        <f aca="false">IFERROR(I470*IFERROR(VLOOKUP(H470,VatRates,2,FALSE()),0),"")</f>
        <v>0</v>
      </c>
      <c r="K470" s="9" t="n">
        <f aca="false">IFERROR(I470+J470,"")</f>
        <v>0</v>
      </c>
    </row>
    <row r="471" customFormat="false" ht="15" hidden="false" customHeight="false" outlineLevel="0" collapsed="false">
      <c r="A471" s="10"/>
      <c r="B471" s="10"/>
      <c r="C471" s="10"/>
      <c r="D471" s="14" t="str">
        <f aca="false">IFERROR(IF(C471="","",INDEX(Products!$C$5:$C$504,MATCH(C471,Products!$A$5:$A$504,0))),"")</f>
        <v/>
      </c>
      <c r="E471" s="13" t="n">
        <v>1</v>
      </c>
      <c r="F471" s="11"/>
      <c r="G471" s="15" t="n">
        <v>0</v>
      </c>
      <c r="H471" s="10" t="s">
        <v>114</v>
      </c>
      <c r="I471" s="9" t="n">
        <f aca="false">IFERROR(E471*F471*(1-G471),"")</f>
        <v>0</v>
      </c>
      <c r="J471" s="9" t="n">
        <f aca="false">IFERROR(I471*IFERROR(VLOOKUP(H471,VatRates,2,FALSE()),0),"")</f>
        <v>0</v>
      </c>
      <c r="K471" s="9" t="n">
        <f aca="false">IFERROR(I471+J471,"")</f>
        <v>0</v>
      </c>
    </row>
    <row r="472" customFormat="false" ht="15" hidden="false" customHeight="false" outlineLevel="0" collapsed="false">
      <c r="A472" s="10"/>
      <c r="B472" s="10"/>
      <c r="C472" s="10"/>
      <c r="D472" s="14" t="str">
        <f aca="false">IFERROR(IF(C472="","",INDEX(Products!$C$5:$C$504,MATCH(C472,Products!$A$5:$A$504,0))),"")</f>
        <v/>
      </c>
      <c r="E472" s="13" t="n">
        <v>1</v>
      </c>
      <c r="F472" s="11"/>
      <c r="G472" s="15" t="n">
        <v>0</v>
      </c>
      <c r="H472" s="10" t="s">
        <v>114</v>
      </c>
      <c r="I472" s="9" t="n">
        <f aca="false">IFERROR(E472*F472*(1-G472),"")</f>
        <v>0</v>
      </c>
      <c r="J472" s="9" t="n">
        <f aca="false">IFERROR(I472*IFERROR(VLOOKUP(H472,VatRates,2,FALSE()),0),"")</f>
        <v>0</v>
      </c>
      <c r="K472" s="9" t="n">
        <f aca="false">IFERROR(I472+J472,"")</f>
        <v>0</v>
      </c>
    </row>
    <row r="473" customFormat="false" ht="15" hidden="false" customHeight="false" outlineLevel="0" collapsed="false">
      <c r="A473" s="10"/>
      <c r="B473" s="10"/>
      <c r="C473" s="10"/>
      <c r="D473" s="14" t="str">
        <f aca="false">IFERROR(IF(C473="","",INDEX(Products!$C$5:$C$504,MATCH(C473,Products!$A$5:$A$504,0))),"")</f>
        <v/>
      </c>
      <c r="E473" s="13" t="n">
        <v>1</v>
      </c>
      <c r="F473" s="11"/>
      <c r="G473" s="15" t="n">
        <v>0</v>
      </c>
      <c r="H473" s="10" t="s">
        <v>114</v>
      </c>
      <c r="I473" s="9" t="n">
        <f aca="false">IFERROR(E473*F473*(1-G473),"")</f>
        <v>0</v>
      </c>
      <c r="J473" s="9" t="n">
        <f aca="false">IFERROR(I473*IFERROR(VLOOKUP(H473,VatRates,2,FALSE()),0),"")</f>
        <v>0</v>
      </c>
      <c r="K473" s="9" t="n">
        <f aca="false">IFERROR(I473+J473,"")</f>
        <v>0</v>
      </c>
    </row>
    <row r="474" customFormat="false" ht="15" hidden="false" customHeight="false" outlineLevel="0" collapsed="false">
      <c r="A474" s="10"/>
      <c r="B474" s="10"/>
      <c r="C474" s="10"/>
      <c r="D474" s="14" t="str">
        <f aca="false">IFERROR(IF(C474="","",INDEX(Products!$C$5:$C$504,MATCH(C474,Products!$A$5:$A$504,0))),"")</f>
        <v/>
      </c>
      <c r="E474" s="13" t="n">
        <v>1</v>
      </c>
      <c r="F474" s="11"/>
      <c r="G474" s="15" t="n">
        <v>0</v>
      </c>
      <c r="H474" s="10" t="s">
        <v>114</v>
      </c>
      <c r="I474" s="9" t="n">
        <f aca="false">IFERROR(E474*F474*(1-G474),"")</f>
        <v>0</v>
      </c>
      <c r="J474" s="9" t="n">
        <f aca="false">IFERROR(I474*IFERROR(VLOOKUP(H474,VatRates,2,FALSE()),0),"")</f>
        <v>0</v>
      </c>
      <c r="K474" s="9" t="n">
        <f aca="false">IFERROR(I474+J474,"")</f>
        <v>0</v>
      </c>
    </row>
    <row r="475" customFormat="false" ht="15" hidden="false" customHeight="false" outlineLevel="0" collapsed="false">
      <c r="A475" s="10"/>
      <c r="B475" s="10"/>
      <c r="C475" s="10"/>
      <c r="D475" s="14" t="str">
        <f aca="false">IFERROR(IF(C475="","",INDEX(Products!$C$5:$C$504,MATCH(C475,Products!$A$5:$A$504,0))),"")</f>
        <v/>
      </c>
      <c r="E475" s="13" t="n">
        <v>1</v>
      </c>
      <c r="F475" s="11"/>
      <c r="G475" s="15" t="n">
        <v>0</v>
      </c>
      <c r="H475" s="10" t="s">
        <v>114</v>
      </c>
      <c r="I475" s="9" t="n">
        <f aca="false">IFERROR(E475*F475*(1-G475),"")</f>
        <v>0</v>
      </c>
      <c r="J475" s="9" t="n">
        <f aca="false">IFERROR(I475*IFERROR(VLOOKUP(H475,VatRates,2,FALSE()),0),"")</f>
        <v>0</v>
      </c>
      <c r="K475" s="9" t="n">
        <f aca="false">IFERROR(I475+J475,"")</f>
        <v>0</v>
      </c>
    </row>
    <row r="476" customFormat="false" ht="15" hidden="false" customHeight="false" outlineLevel="0" collapsed="false">
      <c r="A476" s="10"/>
      <c r="B476" s="10"/>
      <c r="C476" s="10"/>
      <c r="D476" s="14" t="str">
        <f aca="false">IFERROR(IF(C476="","",INDEX(Products!$C$5:$C$504,MATCH(C476,Products!$A$5:$A$504,0))),"")</f>
        <v/>
      </c>
      <c r="E476" s="13" t="n">
        <v>1</v>
      </c>
      <c r="F476" s="11"/>
      <c r="G476" s="15" t="n">
        <v>0</v>
      </c>
      <c r="H476" s="10" t="s">
        <v>114</v>
      </c>
      <c r="I476" s="9" t="n">
        <f aca="false">IFERROR(E476*F476*(1-G476),"")</f>
        <v>0</v>
      </c>
      <c r="J476" s="9" t="n">
        <f aca="false">IFERROR(I476*IFERROR(VLOOKUP(H476,VatRates,2,FALSE()),0),"")</f>
        <v>0</v>
      </c>
      <c r="K476" s="9" t="n">
        <f aca="false">IFERROR(I476+J476,"")</f>
        <v>0</v>
      </c>
    </row>
    <row r="477" customFormat="false" ht="15" hidden="false" customHeight="false" outlineLevel="0" collapsed="false">
      <c r="A477" s="10"/>
      <c r="B477" s="10"/>
      <c r="C477" s="10"/>
      <c r="D477" s="14" t="str">
        <f aca="false">IFERROR(IF(C477="","",INDEX(Products!$C$5:$C$504,MATCH(C477,Products!$A$5:$A$504,0))),"")</f>
        <v/>
      </c>
      <c r="E477" s="13" t="n">
        <v>1</v>
      </c>
      <c r="F477" s="11"/>
      <c r="G477" s="15" t="n">
        <v>0</v>
      </c>
      <c r="H477" s="10" t="s">
        <v>114</v>
      </c>
      <c r="I477" s="9" t="n">
        <f aca="false">IFERROR(E477*F477*(1-G477),"")</f>
        <v>0</v>
      </c>
      <c r="J477" s="9" t="n">
        <f aca="false">IFERROR(I477*IFERROR(VLOOKUP(H477,VatRates,2,FALSE()),0),"")</f>
        <v>0</v>
      </c>
      <c r="K477" s="9" t="n">
        <f aca="false">IFERROR(I477+J477,"")</f>
        <v>0</v>
      </c>
    </row>
    <row r="478" customFormat="false" ht="15" hidden="false" customHeight="false" outlineLevel="0" collapsed="false">
      <c r="A478" s="10"/>
      <c r="B478" s="10"/>
      <c r="C478" s="10"/>
      <c r="D478" s="14" t="str">
        <f aca="false">IFERROR(IF(C478="","",INDEX(Products!$C$5:$C$504,MATCH(C478,Products!$A$5:$A$504,0))),"")</f>
        <v/>
      </c>
      <c r="E478" s="13" t="n">
        <v>1</v>
      </c>
      <c r="F478" s="11"/>
      <c r="G478" s="15" t="n">
        <v>0</v>
      </c>
      <c r="H478" s="10" t="s">
        <v>114</v>
      </c>
      <c r="I478" s="9" t="n">
        <f aca="false">IFERROR(E478*F478*(1-G478),"")</f>
        <v>0</v>
      </c>
      <c r="J478" s="9" t="n">
        <f aca="false">IFERROR(I478*IFERROR(VLOOKUP(H478,VatRates,2,FALSE()),0),"")</f>
        <v>0</v>
      </c>
      <c r="K478" s="9" t="n">
        <f aca="false">IFERROR(I478+J478,"")</f>
        <v>0</v>
      </c>
    </row>
    <row r="479" customFormat="false" ht="15" hidden="false" customHeight="false" outlineLevel="0" collapsed="false">
      <c r="A479" s="10"/>
      <c r="B479" s="10"/>
      <c r="C479" s="10"/>
      <c r="D479" s="14" t="str">
        <f aca="false">IFERROR(IF(C479="","",INDEX(Products!$C$5:$C$504,MATCH(C479,Products!$A$5:$A$504,0))),"")</f>
        <v/>
      </c>
      <c r="E479" s="13" t="n">
        <v>1</v>
      </c>
      <c r="F479" s="11"/>
      <c r="G479" s="15" t="n">
        <v>0</v>
      </c>
      <c r="H479" s="10" t="s">
        <v>114</v>
      </c>
      <c r="I479" s="9" t="n">
        <f aca="false">IFERROR(E479*F479*(1-G479),"")</f>
        <v>0</v>
      </c>
      <c r="J479" s="9" t="n">
        <f aca="false">IFERROR(I479*IFERROR(VLOOKUP(H479,VatRates,2,FALSE()),0),"")</f>
        <v>0</v>
      </c>
      <c r="K479" s="9" t="n">
        <f aca="false">IFERROR(I479+J479,"")</f>
        <v>0</v>
      </c>
    </row>
    <row r="480" customFormat="false" ht="15" hidden="false" customHeight="false" outlineLevel="0" collapsed="false">
      <c r="A480" s="10"/>
      <c r="B480" s="10"/>
      <c r="C480" s="10"/>
      <c r="D480" s="14" t="str">
        <f aca="false">IFERROR(IF(C480="","",INDEX(Products!$C$5:$C$504,MATCH(C480,Products!$A$5:$A$504,0))),"")</f>
        <v/>
      </c>
      <c r="E480" s="13" t="n">
        <v>1</v>
      </c>
      <c r="F480" s="11"/>
      <c r="G480" s="15" t="n">
        <v>0</v>
      </c>
      <c r="H480" s="10" t="s">
        <v>114</v>
      </c>
      <c r="I480" s="9" t="n">
        <f aca="false">IFERROR(E480*F480*(1-G480),"")</f>
        <v>0</v>
      </c>
      <c r="J480" s="9" t="n">
        <f aca="false">IFERROR(I480*IFERROR(VLOOKUP(H480,VatRates,2,FALSE()),0),"")</f>
        <v>0</v>
      </c>
      <c r="K480" s="9" t="n">
        <f aca="false">IFERROR(I480+J480,"")</f>
        <v>0</v>
      </c>
    </row>
    <row r="481" customFormat="false" ht="15" hidden="false" customHeight="false" outlineLevel="0" collapsed="false">
      <c r="A481" s="10"/>
      <c r="B481" s="10"/>
      <c r="C481" s="10"/>
      <c r="D481" s="14" t="str">
        <f aca="false">IFERROR(IF(C481="","",INDEX(Products!$C$5:$C$504,MATCH(C481,Products!$A$5:$A$504,0))),"")</f>
        <v/>
      </c>
      <c r="E481" s="13" t="n">
        <v>1</v>
      </c>
      <c r="F481" s="11"/>
      <c r="G481" s="15" t="n">
        <v>0</v>
      </c>
      <c r="H481" s="10" t="s">
        <v>114</v>
      </c>
      <c r="I481" s="9" t="n">
        <f aca="false">IFERROR(E481*F481*(1-G481),"")</f>
        <v>0</v>
      </c>
      <c r="J481" s="9" t="n">
        <f aca="false">IFERROR(I481*IFERROR(VLOOKUP(H481,VatRates,2,FALSE()),0),"")</f>
        <v>0</v>
      </c>
      <c r="K481" s="9" t="n">
        <f aca="false">IFERROR(I481+J481,"")</f>
        <v>0</v>
      </c>
    </row>
    <row r="482" customFormat="false" ht="15" hidden="false" customHeight="false" outlineLevel="0" collapsed="false">
      <c r="A482" s="10"/>
      <c r="B482" s="10"/>
      <c r="C482" s="10"/>
      <c r="D482" s="14" t="str">
        <f aca="false">IFERROR(IF(C482="","",INDEX(Products!$C$5:$C$504,MATCH(C482,Products!$A$5:$A$504,0))),"")</f>
        <v/>
      </c>
      <c r="E482" s="13" t="n">
        <v>1</v>
      </c>
      <c r="F482" s="11"/>
      <c r="G482" s="15" t="n">
        <v>0</v>
      </c>
      <c r="H482" s="10" t="s">
        <v>114</v>
      </c>
      <c r="I482" s="9" t="n">
        <f aca="false">IFERROR(E482*F482*(1-G482),"")</f>
        <v>0</v>
      </c>
      <c r="J482" s="9" t="n">
        <f aca="false">IFERROR(I482*IFERROR(VLOOKUP(H482,VatRates,2,FALSE()),0),"")</f>
        <v>0</v>
      </c>
      <c r="K482" s="9" t="n">
        <f aca="false">IFERROR(I482+J482,"")</f>
        <v>0</v>
      </c>
    </row>
    <row r="483" customFormat="false" ht="15" hidden="false" customHeight="false" outlineLevel="0" collapsed="false">
      <c r="A483" s="10"/>
      <c r="B483" s="10"/>
      <c r="C483" s="10"/>
      <c r="D483" s="14" t="str">
        <f aca="false">IFERROR(IF(C483="","",INDEX(Products!$C$5:$C$504,MATCH(C483,Products!$A$5:$A$504,0))),"")</f>
        <v/>
      </c>
      <c r="E483" s="13" t="n">
        <v>1</v>
      </c>
      <c r="F483" s="11"/>
      <c r="G483" s="15" t="n">
        <v>0</v>
      </c>
      <c r="H483" s="10" t="s">
        <v>114</v>
      </c>
      <c r="I483" s="9" t="n">
        <f aca="false">IFERROR(E483*F483*(1-G483),"")</f>
        <v>0</v>
      </c>
      <c r="J483" s="9" t="n">
        <f aca="false">IFERROR(I483*IFERROR(VLOOKUP(H483,VatRates,2,FALSE()),0),"")</f>
        <v>0</v>
      </c>
      <c r="K483" s="9" t="n">
        <f aca="false">IFERROR(I483+J483,"")</f>
        <v>0</v>
      </c>
    </row>
    <row r="484" customFormat="false" ht="15" hidden="false" customHeight="false" outlineLevel="0" collapsed="false">
      <c r="A484" s="10"/>
      <c r="B484" s="10"/>
      <c r="C484" s="10"/>
      <c r="D484" s="14" t="str">
        <f aca="false">IFERROR(IF(C484="","",INDEX(Products!$C$5:$C$504,MATCH(C484,Products!$A$5:$A$504,0))),"")</f>
        <v/>
      </c>
      <c r="E484" s="13" t="n">
        <v>1</v>
      </c>
      <c r="F484" s="11"/>
      <c r="G484" s="15" t="n">
        <v>0</v>
      </c>
      <c r="H484" s="10" t="s">
        <v>114</v>
      </c>
      <c r="I484" s="9" t="n">
        <f aca="false">IFERROR(E484*F484*(1-G484),"")</f>
        <v>0</v>
      </c>
      <c r="J484" s="9" t="n">
        <f aca="false">IFERROR(I484*IFERROR(VLOOKUP(H484,VatRates,2,FALSE()),0),"")</f>
        <v>0</v>
      </c>
      <c r="K484" s="9" t="n">
        <f aca="false">IFERROR(I484+J484,"")</f>
        <v>0</v>
      </c>
    </row>
    <row r="485" customFormat="false" ht="15" hidden="false" customHeight="false" outlineLevel="0" collapsed="false">
      <c r="A485" s="10"/>
      <c r="B485" s="10"/>
      <c r="C485" s="10"/>
      <c r="D485" s="14" t="str">
        <f aca="false">IFERROR(IF(C485="","",INDEX(Products!$C$5:$C$504,MATCH(C485,Products!$A$5:$A$504,0))),"")</f>
        <v/>
      </c>
      <c r="E485" s="13" t="n">
        <v>1</v>
      </c>
      <c r="F485" s="11"/>
      <c r="G485" s="15" t="n">
        <v>0</v>
      </c>
      <c r="H485" s="10" t="s">
        <v>114</v>
      </c>
      <c r="I485" s="9" t="n">
        <f aca="false">IFERROR(E485*F485*(1-G485),"")</f>
        <v>0</v>
      </c>
      <c r="J485" s="9" t="n">
        <f aca="false">IFERROR(I485*IFERROR(VLOOKUP(H485,VatRates,2,FALSE()),0),"")</f>
        <v>0</v>
      </c>
      <c r="K485" s="9" t="n">
        <f aca="false">IFERROR(I485+J485,"")</f>
        <v>0</v>
      </c>
    </row>
    <row r="486" customFormat="false" ht="15" hidden="false" customHeight="false" outlineLevel="0" collapsed="false">
      <c r="A486" s="10"/>
      <c r="B486" s="10"/>
      <c r="C486" s="10"/>
      <c r="D486" s="14" t="str">
        <f aca="false">IFERROR(IF(C486="","",INDEX(Products!$C$5:$C$504,MATCH(C486,Products!$A$5:$A$504,0))),"")</f>
        <v/>
      </c>
      <c r="E486" s="13" t="n">
        <v>1</v>
      </c>
      <c r="F486" s="11"/>
      <c r="G486" s="15" t="n">
        <v>0</v>
      </c>
      <c r="H486" s="10" t="s">
        <v>114</v>
      </c>
      <c r="I486" s="9" t="n">
        <f aca="false">IFERROR(E486*F486*(1-G486),"")</f>
        <v>0</v>
      </c>
      <c r="J486" s="9" t="n">
        <f aca="false">IFERROR(I486*IFERROR(VLOOKUP(H486,VatRates,2,FALSE()),0),"")</f>
        <v>0</v>
      </c>
      <c r="K486" s="9" t="n">
        <f aca="false">IFERROR(I486+J486,"")</f>
        <v>0</v>
      </c>
    </row>
    <row r="487" customFormat="false" ht="15" hidden="false" customHeight="false" outlineLevel="0" collapsed="false">
      <c r="A487" s="10"/>
      <c r="B487" s="10"/>
      <c r="C487" s="10"/>
      <c r="D487" s="14" t="str">
        <f aca="false">IFERROR(IF(C487="","",INDEX(Products!$C$5:$C$504,MATCH(C487,Products!$A$5:$A$504,0))),"")</f>
        <v/>
      </c>
      <c r="E487" s="13" t="n">
        <v>1</v>
      </c>
      <c r="F487" s="11"/>
      <c r="G487" s="15" t="n">
        <v>0</v>
      </c>
      <c r="H487" s="10" t="s">
        <v>114</v>
      </c>
      <c r="I487" s="9" t="n">
        <f aca="false">IFERROR(E487*F487*(1-G487),"")</f>
        <v>0</v>
      </c>
      <c r="J487" s="9" t="n">
        <f aca="false">IFERROR(I487*IFERROR(VLOOKUP(H487,VatRates,2,FALSE()),0),"")</f>
        <v>0</v>
      </c>
      <c r="K487" s="9" t="n">
        <f aca="false">IFERROR(I487+J487,"")</f>
        <v>0</v>
      </c>
    </row>
    <row r="488" customFormat="false" ht="15" hidden="false" customHeight="false" outlineLevel="0" collapsed="false">
      <c r="A488" s="10"/>
      <c r="B488" s="10"/>
      <c r="C488" s="10"/>
      <c r="D488" s="14" t="str">
        <f aca="false">IFERROR(IF(C488="","",INDEX(Products!$C$5:$C$504,MATCH(C488,Products!$A$5:$A$504,0))),"")</f>
        <v/>
      </c>
      <c r="E488" s="13" t="n">
        <v>1</v>
      </c>
      <c r="F488" s="11"/>
      <c r="G488" s="15" t="n">
        <v>0</v>
      </c>
      <c r="H488" s="10" t="s">
        <v>114</v>
      </c>
      <c r="I488" s="9" t="n">
        <f aca="false">IFERROR(E488*F488*(1-G488),"")</f>
        <v>0</v>
      </c>
      <c r="J488" s="9" t="n">
        <f aca="false">IFERROR(I488*IFERROR(VLOOKUP(H488,VatRates,2,FALSE()),0),"")</f>
        <v>0</v>
      </c>
      <c r="K488" s="9" t="n">
        <f aca="false">IFERROR(I488+J488,"")</f>
        <v>0</v>
      </c>
    </row>
    <row r="489" customFormat="false" ht="15" hidden="false" customHeight="false" outlineLevel="0" collapsed="false">
      <c r="A489" s="10"/>
      <c r="B489" s="10"/>
      <c r="C489" s="10"/>
      <c r="D489" s="14" t="str">
        <f aca="false">IFERROR(IF(C489="","",INDEX(Products!$C$5:$C$504,MATCH(C489,Products!$A$5:$A$504,0))),"")</f>
        <v/>
      </c>
      <c r="E489" s="13" t="n">
        <v>1</v>
      </c>
      <c r="F489" s="11"/>
      <c r="G489" s="15" t="n">
        <v>0</v>
      </c>
      <c r="H489" s="10" t="s">
        <v>114</v>
      </c>
      <c r="I489" s="9" t="n">
        <f aca="false">IFERROR(E489*F489*(1-G489),"")</f>
        <v>0</v>
      </c>
      <c r="J489" s="9" t="n">
        <f aca="false">IFERROR(I489*IFERROR(VLOOKUP(H489,VatRates,2,FALSE()),0),"")</f>
        <v>0</v>
      </c>
      <c r="K489" s="9" t="n">
        <f aca="false">IFERROR(I489+J489,"")</f>
        <v>0</v>
      </c>
    </row>
    <row r="490" customFormat="false" ht="15" hidden="false" customHeight="false" outlineLevel="0" collapsed="false">
      <c r="A490" s="10"/>
      <c r="B490" s="10"/>
      <c r="C490" s="10"/>
      <c r="D490" s="14" t="str">
        <f aca="false">IFERROR(IF(C490="","",INDEX(Products!$C$5:$C$504,MATCH(C490,Products!$A$5:$A$504,0))),"")</f>
        <v/>
      </c>
      <c r="E490" s="13" t="n">
        <v>1</v>
      </c>
      <c r="F490" s="11"/>
      <c r="G490" s="15" t="n">
        <v>0</v>
      </c>
      <c r="H490" s="10" t="s">
        <v>114</v>
      </c>
      <c r="I490" s="9" t="n">
        <f aca="false">IFERROR(E490*F490*(1-G490),"")</f>
        <v>0</v>
      </c>
      <c r="J490" s="9" t="n">
        <f aca="false">IFERROR(I490*IFERROR(VLOOKUP(H490,VatRates,2,FALSE()),0),"")</f>
        <v>0</v>
      </c>
      <c r="K490" s="9" t="n">
        <f aca="false">IFERROR(I490+J490,"")</f>
        <v>0</v>
      </c>
    </row>
    <row r="491" customFormat="false" ht="15" hidden="false" customHeight="false" outlineLevel="0" collapsed="false">
      <c r="A491" s="10"/>
      <c r="B491" s="10"/>
      <c r="C491" s="10"/>
      <c r="D491" s="14" t="str">
        <f aca="false">IFERROR(IF(C491="","",INDEX(Products!$C$5:$C$504,MATCH(C491,Products!$A$5:$A$504,0))),"")</f>
        <v/>
      </c>
      <c r="E491" s="13" t="n">
        <v>1</v>
      </c>
      <c r="F491" s="11"/>
      <c r="G491" s="15" t="n">
        <v>0</v>
      </c>
      <c r="H491" s="10" t="s">
        <v>114</v>
      </c>
      <c r="I491" s="9" t="n">
        <f aca="false">IFERROR(E491*F491*(1-G491),"")</f>
        <v>0</v>
      </c>
      <c r="J491" s="9" t="n">
        <f aca="false">IFERROR(I491*IFERROR(VLOOKUP(H491,VatRates,2,FALSE()),0),"")</f>
        <v>0</v>
      </c>
      <c r="K491" s="9" t="n">
        <f aca="false">IFERROR(I491+J491,"")</f>
        <v>0</v>
      </c>
    </row>
    <row r="492" customFormat="false" ht="15" hidden="false" customHeight="false" outlineLevel="0" collapsed="false">
      <c r="A492" s="10"/>
      <c r="B492" s="10"/>
      <c r="C492" s="10"/>
      <c r="D492" s="14" t="str">
        <f aca="false">IFERROR(IF(C492="","",INDEX(Products!$C$5:$C$504,MATCH(C492,Products!$A$5:$A$504,0))),"")</f>
        <v/>
      </c>
      <c r="E492" s="13" t="n">
        <v>1</v>
      </c>
      <c r="F492" s="11"/>
      <c r="G492" s="15" t="n">
        <v>0</v>
      </c>
      <c r="H492" s="10" t="s">
        <v>114</v>
      </c>
      <c r="I492" s="9" t="n">
        <f aca="false">IFERROR(E492*F492*(1-G492),"")</f>
        <v>0</v>
      </c>
      <c r="J492" s="9" t="n">
        <f aca="false">IFERROR(I492*IFERROR(VLOOKUP(H492,VatRates,2,FALSE()),0),"")</f>
        <v>0</v>
      </c>
      <c r="K492" s="9" t="n">
        <f aca="false">IFERROR(I492+J492,"")</f>
        <v>0</v>
      </c>
    </row>
    <row r="493" customFormat="false" ht="15" hidden="false" customHeight="false" outlineLevel="0" collapsed="false">
      <c r="A493" s="10"/>
      <c r="B493" s="10"/>
      <c r="C493" s="10"/>
      <c r="D493" s="14" t="str">
        <f aca="false">IFERROR(IF(C493="","",INDEX(Products!$C$5:$C$504,MATCH(C493,Products!$A$5:$A$504,0))),"")</f>
        <v/>
      </c>
      <c r="E493" s="13" t="n">
        <v>1</v>
      </c>
      <c r="F493" s="11"/>
      <c r="G493" s="15" t="n">
        <v>0</v>
      </c>
      <c r="H493" s="10" t="s">
        <v>114</v>
      </c>
      <c r="I493" s="9" t="n">
        <f aca="false">IFERROR(E493*F493*(1-G493),"")</f>
        <v>0</v>
      </c>
      <c r="J493" s="9" t="n">
        <f aca="false">IFERROR(I493*IFERROR(VLOOKUP(H493,VatRates,2,FALSE()),0),"")</f>
        <v>0</v>
      </c>
      <c r="K493" s="9" t="n">
        <f aca="false">IFERROR(I493+J493,"")</f>
        <v>0</v>
      </c>
    </row>
    <row r="494" customFormat="false" ht="15" hidden="false" customHeight="false" outlineLevel="0" collapsed="false">
      <c r="A494" s="10"/>
      <c r="B494" s="10"/>
      <c r="C494" s="10"/>
      <c r="D494" s="14" t="str">
        <f aca="false">IFERROR(IF(C494="","",INDEX(Products!$C$5:$C$504,MATCH(C494,Products!$A$5:$A$504,0))),"")</f>
        <v/>
      </c>
      <c r="E494" s="13" t="n">
        <v>1</v>
      </c>
      <c r="F494" s="11"/>
      <c r="G494" s="15" t="n">
        <v>0</v>
      </c>
      <c r="H494" s="10" t="s">
        <v>114</v>
      </c>
      <c r="I494" s="9" t="n">
        <f aca="false">IFERROR(E494*F494*(1-G494),"")</f>
        <v>0</v>
      </c>
      <c r="J494" s="9" t="n">
        <f aca="false">IFERROR(I494*IFERROR(VLOOKUP(H494,VatRates,2,FALSE()),0),"")</f>
        <v>0</v>
      </c>
      <c r="K494" s="9" t="n">
        <f aca="false">IFERROR(I494+J494,"")</f>
        <v>0</v>
      </c>
    </row>
    <row r="495" customFormat="false" ht="15" hidden="false" customHeight="false" outlineLevel="0" collapsed="false">
      <c r="A495" s="10"/>
      <c r="B495" s="10"/>
      <c r="C495" s="10"/>
      <c r="D495" s="14" t="str">
        <f aca="false">IFERROR(IF(C495="","",INDEX(Products!$C$5:$C$504,MATCH(C495,Products!$A$5:$A$504,0))),"")</f>
        <v/>
      </c>
      <c r="E495" s="13" t="n">
        <v>1</v>
      </c>
      <c r="F495" s="11"/>
      <c r="G495" s="15" t="n">
        <v>0</v>
      </c>
      <c r="H495" s="10" t="s">
        <v>114</v>
      </c>
      <c r="I495" s="9" t="n">
        <f aca="false">IFERROR(E495*F495*(1-G495),"")</f>
        <v>0</v>
      </c>
      <c r="J495" s="9" t="n">
        <f aca="false">IFERROR(I495*IFERROR(VLOOKUP(H495,VatRates,2,FALSE()),0),"")</f>
        <v>0</v>
      </c>
      <c r="K495" s="9" t="n">
        <f aca="false">IFERROR(I495+J495,"")</f>
        <v>0</v>
      </c>
    </row>
    <row r="496" customFormat="false" ht="15" hidden="false" customHeight="false" outlineLevel="0" collapsed="false">
      <c r="A496" s="10"/>
      <c r="B496" s="10"/>
      <c r="C496" s="10"/>
      <c r="D496" s="14" t="str">
        <f aca="false">IFERROR(IF(C496="","",INDEX(Products!$C$5:$C$504,MATCH(C496,Products!$A$5:$A$504,0))),"")</f>
        <v/>
      </c>
      <c r="E496" s="13" t="n">
        <v>1</v>
      </c>
      <c r="F496" s="11"/>
      <c r="G496" s="15" t="n">
        <v>0</v>
      </c>
      <c r="H496" s="10" t="s">
        <v>114</v>
      </c>
      <c r="I496" s="9" t="n">
        <f aca="false">IFERROR(E496*F496*(1-G496),"")</f>
        <v>0</v>
      </c>
      <c r="J496" s="9" t="n">
        <f aca="false">IFERROR(I496*IFERROR(VLOOKUP(H496,VatRates,2,FALSE()),0),"")</f>
        <v>0</v>
      </c>
      <c r="K496" s="9" t="n">
        <f aca="false">IFERROR(I496+J496,"")</f>
        <v>0</v>
      </c>
    </row>
    <row r="497" customFormat="false" ht="15" hidden="false" customHeight="false" outlineLevel="0" collapsed="false">
      <c r="A497" s="10"/>
      <c r="B497" s="10"/>
      <c r="C497" s="10"/>
      <c r="D497" s="14" t="str">
        <f aca="false">IFERROR(IF(C497="","",INDEX(Products!$C$5:$C$504,MATCH(C497,Products!$A$5:$A$504,0))),"")</f>
        <v/>
      </c>
      <c r="E497" s="13" t="n">
        <v>1</v>
      </c>
      <c r="F497" s="11"/>
      <c r="G497" s="15" t="n">
        <v>0</v>
      </c>
      <c r="H497" s="10" t="s">
        <v>114</v>
      </c>
      <c r="I497" s="9" t="n">
        <f aca="false">IFERROR(E497*F497*(1-G497),"")</f>
        <v>0</v>
      </c>
      <c r="J497" s="9" t="n">
        <f aca="false">IFERROR(I497*IFERROR(VLOOKUP(H497,VatRates,2,FALSE()),0),"")</f>
        <v>0</v>
      </c>
      <c r="K497" s="9" t="n">
        <f aca="false">IFERROR(I497+J497,"")</f>
        <v>0</v>
      </c>
    </row>
    <row r="498" customFormat="false" ht="15" hidden="false" customHeight="false" outlineLevel="0" collapsed="false">
      <c r="A498" s="10"/>
      <c r="B498" s="10"/>
      <c r="C498" s="10"/>
      <c r="D498" s="14" t="str">
        <f aca="false">IFERROR(IF(C498="","",INDEX(Products!$C$5:$C$504,MATCH(C498,Products!$A$5:$A$504,0))),"")</f>
        <v/>
      </c>
      <c r="E498" s="13" t="n">
        <v>1</v>
      </c>
      <c r="F498" s="11"/>
      <c r="G498" s="15" t="n">
        <v>0</v>
      </c>
      <c r="H498" s="10" t="s">
        <v>114</v>
      </c>
      <c r="I498" s="9" t="n">
        <f aca="false">IFERROR(E498*F498*(1-G498),"")</f>
        <v>0</v>
      </c>
      <c r="J498" s="9" t="n">
        <f aca="false">IFERROR(I498*IFERROR(VLOOKUP(H498,VatRates,2,FALSE()),0),"")</f>
        <v>0</v>
      </c>
      <c r="K498" s="9" t="n">
        <f aca="false">IFERROR(I498+J498,"")</f>
        <v>0</v>
      </c>
    </row>
    <row r="499" customFormat="false" ht="15" hidden="false" customHeight="false" outlineLevel="0" collapsed="false">
      <c r="A499" s="10"/>
      <c r="B499" s="10"/>
      <c r="C499" s="10"/>
      <c r="D499" s="14" t="str">
        <f aca="false">IFERROR(IF(C499="","",INDEX(Products!$C$5:$C$504,MATCH(C499,Products!$A$5:$A$504,0))),"")</f>
        <v/>
      </c>
      <c r="E499" s="13" t="n">
        <v>1</v>
      </c>
      <c r="F499" s="11"/>
      <c r="G499" s="15" t="n">
        <v>0</v>
      </c>
      <c r="H499" s="10" t="s">
        <v>114</v>
      </c>
      <c r="I499" s="9" t="n">
        <f aca="false">IFERROR(E499*F499*(1-G499),"")</f>
        <v>0</v>
      </c>
      <c r="J499" s="9" t="n">
        <f aca="false">IFERROR(I499*IFERROR(VLOOKUP(H499,VatRates,2,FALSE()),0),"")</f>
        <v>0</v>
      </c>
      <c r="K499" s="9" t="n">
        <f aca="false">IFERROR(I499+J499,"")</f>
        <v>0</v>
      </c>
    </row>
    <row r="500" customFormat="false" ht="15" hidden="false" customHeight="false" outlineLevel="0" collapsed="false">
      <c r="A500" s="10"/>
      <c r="B500" s="10"/>
      <c r="C500" s="10"/>
      <c r="D500" s="14" t="str">
        <f aca="false">IFERROR(IF(C500="","",INDEX(Products!$C$5:$C$504,MATCH(C500,Products!$A$5:$A$504,0))),"")</f>
        <v/>
      </c>
      <c r="E500" s="13" t="n">
        <v>1</v>
      </c>
      <c r="F500" s="11"/>
      <c r="G500" s="15" t="n">
        <v>0</v>
      </c>
      <c r="H500" s="10" t="s">
        <v>114</v>
      </c>
      <c r="I500" s="9" t="n">
        <f aca="false">IFERROR(E500*F500*(1-G500),"")</f>
        <v>0</v>
      </c>
      <c r="J500" s="9" t="n">
        <f aca="false">IFERROR(I500*IFERROR(VLOOKUP(H500,VatRates,2,FALSE()),0),"")</f>
        <v>0</v>
      </c>
      <c r="K500" s="9" t="n">
        <f aca="false">IFERROR(I500+J500,"")</f>
        <v>0</v>
      </c>
    </row>
    <row r="501" customFormat="false" ht="15" hidden="false" customHeight="false" outlineLevel="0" collapsed="false">
      <c r="A501" s="10"/>
      <c r="B501" s="10"/>
      <c r="C501" s="10"/>
      <c r="D501" s="14" t="str">
        <f aca="false">IFERROR(IF(C501="","",INDEX(Products!$C$5:$C$504,MATCH(C501,Products!$A$5:$A$504,0))),"")</f>
        <v/>
      </c>
      <c r="E501" s="13" t="n">
        <v>1</v>
      </c>
      <c r="F501" s="11"/>
      <c r="G501" s="15" t="n">
        <v>0</v>
      </c>
      <c r="H501" s="10" t="s">
        <v>114</v>
      </c>
      <c r="I501" s="9" t="n">
        <f aca="false">IFERROR(E501*F501*(1-G501),"")</f>
        <v>0</v>
      </c>
      <c r="J501" s="9" t="n">
        <f aca="false">IFERROR(I501*IFERROR(VLOOKUP(H501,VatRates,2,FALSE()),0),"")</f>
        <v>0</v>
      </c>
      <c r="K501" s="9" t="n">
        <f aca="false">IFERROR(I501+J501,"")</f>
        <v>0</v>
      </c>
    </row>
    <row r="502" customFormat="false" ht="15" hidden="false" customHeight="false" outlineLevel="0" collapsed="false">
      <c r="A502" s="10"/>
      <c r="B502" s="10"/>
      <c r="C502" s="10"/>
      <c r="D502" s="14" t="str">
        <f aca="false">IFERROR(IF(C502="","",INDEX(Products!$C$5:$C$504,MATCH(C502,Products!$A$5:$A$504,0))),"")</f>
        <v/>
      </c>
      <c r="E502" s="13" t="n">
        <v>1</v>
      </c>
      <c r="F502" s="11"/>
      <c r="G502" s="15" t="n">
        <v>0</v>
      </c>
      <c r="H502" s="10" t="s">
        <v>114</v>
      </c>
      <c r="I502" s="9" t="n">
        <f aca="false">IFERROR(E502*F502*(1-G502),"")</f>
        <v>0</v>
      </c>
      <c r="J502" s="9" t="n">
        <f aca="false">IFERROR(I502*IFERROR(VLOOKUP(H502,VatRates,2,FALSE()),0),"")</f>
        <v>0</v>
      </c>
      <c r="K502" s="9" t="n">
        <f aca="false">IFERROR(I502+J502,"")</f>
        <v>0</v>
      </c>
    </row>
    <row r="503" customFormat="false" ht="15" hidden="false" customHeight="false" outlineLevel="0" collapsed="false">
      <c r="A503" s="10"/>
      <c r="B503" s="10"/>
      <c r="C503" s="10"/>
      <c r="D503" s="14" t="str">
        <f aca="false">IFERROR(IF(C503="","",INDEX(Products!$C$5:$C$504,MATCH(C503,Products!$A$5:$A$504,0))),"")</f>
        <v/>
      </c>
      <c r="E503" s="13" t="n">
        <v>1</v>
      </c>
      <c r="F503" s="11"/>
      <c r="G503" s="15" t="n">
        <v>0</v>
      </c>
      <c r="H503" s="10" t="s">
        <v>114</v>
      </c>
      <c r="I503" s="9" t="n">
        <f aca="false">IFERROR(E503*F503*(1-G503),"")</f>
        <v>0</v>
      </c>
      <c r="J503" s="9" t="n">
        <f aca="false">IFERROR(I503*IFERROR(VLOOKUP(H503,VatRates,2,FALSE()),0),"")</f>
        <v>0</v>
      </c>
      <c r="K503" s="9" t="n">
        <f aca="false">IFERROR(I503+J503,"")</f>
        <v>0</v>
      </c>
    </row>
    <row r="504" customFormat="false" ht="15" hidden="false" customHeight="false" outlineLevel="0" collapsed="false">
      <c r="A504" s="10"/>
      <c r="B504" s="10"/>
      <c r="C504" s="10"/>
      <c r="D504" s="14" t="str">
        <f aca="false">IFERROR(IF(C504="","",INDEX(Products!$C$5:$C$504,MATCH(C504,Products!$A$5:$A$504,0))),"")</f>
        <v/>
      </c>
      <c r="E504" s="13" t="n">
        <v>1</v>
      </c>
      <c r="F504" s="11"/>
      <c r="G504" s="15" t="n">
        <v>0</v>
      </c>
      <c r="H504" s="10" t="s">
        <v>114</v>
      </c>
      <c r="I504" s="9" t="n">
        <f aca="false">IFERROR(E504*F504*(1-G504),"")</f>
        <v>0</v>
      </c>
      <c r="J504" s="9" t="n">
        <f aca="false">IFERROR(I504*IFERROR(VLOOKUP(H504,VatRates,2,FALSE()),0),"")</f>
        <v>0</v>
      </c>
      <c r="K504" s="9" t="n">
        <f aca="false">IFERROR(I504+J504,"")</f>
        <v>0</v>
      </c>
    </row>
  </sheetData>
  <dataValidations count="3">
    <dataValidation allowBlank="true" error="Must match an existing SalesOrders record" errorStyle="stop" errorTitle="Invalid foreign key" operator="between" showDropDown="false" showErrorMessage="false" showInputMessage="false" sqref="B5:B504" type="list">
      <formula1>SalesOrders!$A$5:$A$504</formula1>
      <formula2>0</formula2>
    </dataValidation>
    <dataValidation allowBlank="true" error="Must match an existing Products record" errorStyle="stop" errorTitle="Invalid foreign key" operator="between" showDropDown="false" showErrorMessage="false" showInputMessage="false" sqref="C5:C504" type="list">
      <formula1>Products!$A$5:$A$504</formula1>
      <formula2>0</formula2>
    </dataValidation>
    <dataValidation allowBlank="true" error="Choose from vat_code" errorStyle="stop" errorTitle="Invalid" operator="between" showDropDown="false" showErrorMessage="false" showInputMessage="false" sqref="H5:H504" type="list">
      <formula1>enum_vat_code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4" min="10" style="0" width="13"/>
  </cols>
  <sheetData>
    <row r="1" customFormat="false" ht="19.7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15" hidden="false" customHeight="false" outlineLevel="0" collapsed="false">
      <c r="A4" s="6" t="s">
        <v>187</v>
      </c>
      <c r="B4" s="6" t="s">
        <v>188</v>
      </c>
      <c r="C4" s="6" t="s">
        <v>73</v>
      </c>
      <c r="D4" s="6" t="s">
        <v>189</v>
      </c>
      <c r="E4" s="6" t="s">
        <v>145</v>
      </c>
      <c r="F4" s="6" t="s">
        <v>190</v>
      </c>
      <c r="G4" s="6" t="s">
        <v>191</v>
      </c>
      <c r="H4" s="6" t="s">
        <v>192</v>
      </c>
      <c r="I4" s="6" t="s">
        <v>149</v>
      </c>
      <c r="J4" s="6" t="s">
        <v>150</v>
      </c>
      <c r="K4" s="6" t="s">
        <v>151</v>
      </c>
      <c r="L4" s="6" t="s">
        <v>152</v>
      </c>
      <c r="M4" s="6" t="s">
        <v>153</v>
      </c>
      <c r="N4" s="6" t="s">
        <v>154</v>
      </c>
    </row>
    <row r="5" customFormat="false" ht="15" hidden="false" customHeight="false" outlineLevel="0" collapsed="false">
      <c r="A5" s="10" t="s">
        <v>193</v>
      </c>
      <c r="B5" s="12" t="n">
        <v>46053</v>
      </c>
      <c r="C5" s="10" t="s">
        <v>76</v>
      </c>
      <c r="D5" s="14" t="str">
        <f aca="false">IFERROR(IF(C5="","",INDEX(Suppliers!$B$5:$B$504,MATCH(C5,Suppliers!$A$5:$A$504,0))),"")</f>
        <v>Precision Components Ltd</v>
      </c>
      <c r="E5" s="10" t="s">
        <v>12</v>
      </c>
      <c r="F5" s="12" t="n">
        <v>46068</v>
      </c>
      <c r="G5" s="12" t="n">
        <v>46066</v>
      </c>
      <c r="H5" s="10" t="s">
        <v>194</v>
      </c>
      <c r="I5" s="10"/>
      <c r="J5" s="9" t="n">
        <f aca="false">IFERROR(SUMIFS(PurchaseOrderLines!$H$5:$H$504,PurchaseOrderLines!$B$5:$B$504,A5),"")</f>
        <v>4240</v>
      </c>
      <c r="K5" s="9" t="n">
        <f aca="false">IFERROR(SUMIFS(PurchaseOrderLines!$I$5:$I$504,PurchaseOrderLines!$B$5:$B$504,A5),"")</f>
        <v>848</v>
      </c>
      <c r="L5" s="9" t="n">
        <f aca="false">IFERROR(J5+K5,"")</f>
        <v>5088</v>
      </c>
      <c r="M5" s="9" t="n">
        <f aca="false">IFERROR(SUMIFS(Payments!$E$5:$E$504,Payments!$D$5:$D$504,A5,Payments!$C$5:$C$504,"Out"),"")</f>
        <v>5088</v>
      </c>
      <c r="N5" s="9" t="n">
        <f aca="false">IFERROR(L5-M5,"")</f>
        <v>0</v>
      </c>
    </row>
    <row r="6" customFormat="false" ht="15" hidden="false" customHeight="false" outlineLevel="0" collapsed="false">
      <c r="A6" s="10" t="s">
        <v>195</v>
      </c>
      <c r="B6" s="12" t="n">
        <v>46078</v>
      </c>
      <c r="C6" s="10" t="s">
        <v>83</v>
      </c>
      <c r="D6" s="14" t="str">
        <f aca="false">IFERROR(IF(C6="","",INDEX(Suppliers!$B$5:$B$504,MATCH(C6,Suppliers!$A$5:$A$504,0))),"")</f>
        <v>Global Packaging Supplies</v>
      </c>
      <c r="E6" s="10" t="s">
        <v>27</v>
      </c>
      <c r="F6" s="12" t="n">
        <v>46093</v>
      </c>
      <c r="G6" s="12" t="n">
        <v>46091</v>
      </c>
      <c r="H6" s="10" t="s">
        <v>196</v>
      </c>
      <c r="I6" s="10"/>
      <c r="J6" s="9" t="n">
        <f aca="false">IFERROR(SUMIFS(PurchaseOrderLines!$H$5:$H$504,PurchaseOrderLines!$B$5:$B$504,A6),"")</f>
        <v>900</v>
      </c>
      <c r="K6" s="9" t="n">
        <f aca="false">IFERROR(SUMIFS(PurchaseOrderLines!$I$5:$I$504,PurchaseOrderLines!$B$5:$B$504,A6),"")</f>
        <v>180</v>
      </c>
      <c r="L6" s="9" t="n">
        <f aca="false">IFERROR(J6+K6,"")</f>
        <v>1080</v>
      </c>
      <c r="M6" s="9" t="n">
        <f aca="false">IFERROR(SUMIFS(Payments!$E$5:$E$504,Payments!$D$5:$D$504,A6,Payments!$C$5:$C$504,"Out"),"")</f>
        <v>1080</v>
      </c>
      <c r="N6" s="9" t="n">
        <f aca="false">IFERROR(L6-M6,"")</f>
        <v>0</v>
      </c>
    </row>
    <row r="7" customFormat="false" ht="15" hidden="false" customHeight="false" outlineLevel="0" collapsed="false">
      <c r="A7" s="10" t="s">
        <v>197</v>
      </c>
      <c r="B7" s="12" t="n">
        <v>46101</v>
      </c>
      <c r="C7" s="10" t="s">
        <v>90</v>
      </c>
      <c r="D7" s="14" t="str">
        <f aca="false">IFERROR(IF(C7="","",INDEX(Suppliers!$B$5:$B$504,MATCH(C7,Suppliers!$A$5:$A$504,0))),"")</f>
        <v>Eastwood Raw Materials</v>
      </c>
      <c r="E7" s="10" t="s">
        <v>6</v>
      </c>
      <c r="F7" s="12" t="n">
        <v>46108</v>
      </c>
      <c r="G7" s="12" t="n">
        <v>46109</v>
      </c>
      <c r="H7" s="10"/>
      <c r="I7" s="10" t="s">
        <v>198</v>
      </c>
      <c r="J7" s="9" t="n">
        <f aca="false">IFERROR(SUMIFS(PurchaseOrderLines!$H$5:$H$504,PurchaseOrderLines!$B$5:$B$504,A7),"")</f>
        <v>2270</v>
      </c>
      <c r="K7" s="9" t="n">
        <f aca="false">IFERROR(SUMIFS(PurchaseOrderLines!$I$5:$I$504,PurchaseOrderLines!$B$5:$B$504,A7),"")</f>
        <v>454</v>
      </c>
      <c r="L7" s="9" t="n">
        <f aca="false">IFERROR(J7+K7,"")</f>
        <v>2724</v>
      </c>
      <c r="M7" s="9" t="n">
        <f aca="false">IFERROR(SUMIFS(Payments!$E$5:$E$504,Payments!$D$5:$D$504,A7,Payments!$C$5:$C$504,"Out"),"")</f>
        <v>0</v>
      </c>
      <c r="N7" s="9" t="n">
        <f aca="false">IFERROR(L7-M7,"")</f>
        <v>2724</v>
      </c>
    </row>
    <row r="8" customFormat="false" ht="15" hidden="false" customHeight="false" outlineLevel="0" collapsed="false">
      <c r="A8" s="10" t="s">
        <v>199</v>
      </c>
      <c r="B8" s="12" t="n">
        <v>46111</v>
      </c>
      <c r="C8" s="10" t="s">
        <v>76</v>
      </c>
      <c r="D8" s="14" t="str">
        <f aca="false">IFERROR(IF(C8="","",INDEX(Suppliers!$B$5:$B$504,MATCH(C8,Suppliers!$A$5:$A$504,0))),"")</f>
        <v>Precision Components Ltd</v>
      </c>
      <c r="E8" s="10" t="s">
        <v>30</v>
      </c>
      <c r="F8" s="12" t="n">
        <v>46125</v>
      </c>
      <c r="G8" s="12"/>
      <c r="H8" s="10"/>
      <c r="I8" s="10"/>
      <c r="J8" s="9" t="n">
        <f aca="false">IFERROR(SUMIFS(PurchaseOrderLines!$H$5:$H$504,PurchaseOrderLines!$B$5:$B$504,A8),"")</f>
        <v>1440</v>
      </c>
      <c r="K8" s="9" t="n">
        <f aca="false">IFERROR(SUMIFS(PurchaseOrderLines!$I$5:$I$504,PurchaseOrderLines!$B$5:$B$504,A8),"")</f>
        <v>288</v>
      </c>
      <c r="L8" s="9" t="n">
        <f aca="false">IFERROR(J8+K8,"")</f>
        <v>1728</v>
      </c>
      <c r="M8" s="9" t="n">
        <f aca="false">IFERROR(SUMIFS(Payments!$E$5:$E$504,Payments!$D$5:$D$504,A8,Payments!$C$5:$C$504,"Out"),"")</f>
        <v>0</v>
      </c>
      <c r="N8" s="9" t="n">
        <f aca="false">IFERROR(L8-M8,"")</f>
        <v>1728</v>
      </c>
    </row>
    <row r="9" customFormat="false" ht="15" hidden="false" customHeight="false" outlineLevel="0" collapsed="false">
      <c r="A9" s="10"/>
      <c r="B9" s="12"/>
      <c r="C9" s="10"/>
      <c r="D9" s="14" t="str">
        <f aca="false">IFERROR(IF(C9="","",INDEX(Suppliers!$B$5:$B$504,MATCH(C9,Suppliers!$A$5:$A$504,0))),"")</f>
        <v/>
      </c>
      <c r="E9" s="10" t="s">
        <v>24</v>
      </c>
      <c r="F9" s="12"/>
      <c r="G9" s="12"/>
      <c r="H9" s="10"/>
      <c r="I9" s="10"/>
      <c r="J9" s="9" t="n">
        <f aca="false">IFERROR(SUMIFS(PurchaseOrderLines!$H$5:$H$504,PurchaseOrderLines!$B$5:$B$504,A9),"")</f>
        <v>0</v>
      </c>
      <c r="K9" s="9" t="n">
        <f aca="false">IFERROR(SUMIFS(PurchaseOrderLines!$I$5:$I$504,PurchaseOrderLines!$B$5:$B$504,A9),"")</f>
        <v>0</v>
      </c>
      <c r="L9" s="9" t="n">
        <f aca="false">IFERROR(J9+K9,"")</f>
        <v>0</v>
      </c>
      <c r="M9" s="9" t="n">
        <f aca="false">IFERROR(SUMIFS(Payments!$E$5:$E$504,Payments!$D$5:$D$504,A9,Payments!$C$5:$C$504,"Out"),"")</f>
        <v>0</v>
      </c>
      <c r="N9" s="9" t="n">
        <f aca="false">IFERROR(L9-M9,"")</f>
        <v>0</v>
      </c>
    </row>
    <row r="10" customFormat="false" ht="15" hidden="false" customHeight="false" outlineLevel="0" collapsed="false">
      <c r="A10" s="10"/>
      <c r="B10" s="12"/>
      <c r="C10" s="10"/>
      <c r="D10" s="14" t="str">
        <f aca="false">IFERROR(IF(C10="","",INDEX(Suppliers!$B$5:$B$504,MATCH(C10,Suppliers!$A$5:$A$504,0))),"")</f>
        <v/>
      </c>
      <c r="E10" s="10" t="s">
        <v>24</v>
      </c>
      <c r="F10" s="12"/>
      <c r="G10" s="12"/>
      <c r="H10" s="10"/>
      <c r="I10" s="10"/>
      <c r="J10" s="9" t="n">
        <f aca="false">IFERROR(SUMIFS(PurchaseOrderLines!$H$5:$H$504,PurchaseOrderLines!$B$5:$B$504,A10),"")</f>
        <v>0</v>
      </c>
      <c r="K10" s="9" t="n">
        <f aca="false">IFERROR(SUMIFS(PurchaseOrderLines!$I$5:$I$504,PurchaseOrderLines!$B$5:$B$504,A10),"")</f>
        <v>0</v>
      </c>
      <c r="L10" s="9" t="n">
        <f aca="false">IFERROR(J10+K10,"")</f>
        <v>0</v>
      </c>
      <c r="M10" s="9" t="n">
        <f aca="false">IFERROR(SUMIFS(Payments!$E$5:$E$504,Payments!$D$5:$D$504,A10,Payments!$C$5:$C$504,"Out"),"")</f>
        <v>0</v>
      </c>
      <c r="N10" s="9" t="n">
        <f aca="false">IFERROR(L10-M10,"")</f>
        <v>0</v>
      </c>
    </row>
    <row r="11" customFormat="false" ht="15" hidden="false" customHeight="false" outlineLevel="0" collapsed="false">
      <c r="A11" s="10"/>
      <c r="B11" s="12"/>
      <c r="C11" s="10"/>
      <c r="D11" s="14" t="str">
        <f aca="false">IFERROR(IF(C11="","",INDEX(Suppliers!$B$5:$B$504,MATCH(C11,Suppliers!$A$5:$A$504,0))),"")</f>
        <v/>
      </c>
      <c r="E11" s="10" t="s">
        <v>24</v>
      </c>
      <c r="F11" s="12"/>
      <c r="G11" s="12"/>
      <c r="H11" s="10"/>
      <c r="I11" s="10"/>
      <c r="J11" s="9" t="n">
        <f aca="false">IFERROR(SUMIFS(PurchaseOrderLines!$H$5:$H$504,PurchaseOrderLines!$B$5:$B$504,A11),"")</f>
        <v>0</v>
      </c>
      <c r="K11" s="9" t="n">
        <f aca="false">IFERROR(SUMIFS(PurchaseOrderLines!$I$5:$I$504,PurchaseOrderLines!$B$5:$B$504,A11),"")</f>
        <v>0</v>
      </c>
      <c r="L11" s="9" t="n">
        <f aca="false">IFERROR(J11+K11,"")</f>
        <v>0</v>
      </c>
      <c r="M11" s="9" t="n">
        <f aca="false">IFERROR(SUMIFS(Payments!$E$5:$E$504,Payments!$D$5:$D$504,A11,Payments!$C$5:$C$504,"Out"),"")</f>
        <v>0</v>
      </c>
      <c r="N11" s="9" t="n">
        <f aca="false">IFERROR(L11-M11,"")</f>
        <v>0</v>
      </c>
    </row>
    <row r="12" customFormat="false" ht="15" hidden="false" customHeight="false" outlineLevel="0" collapsed="false">
      <c r="A12" s="10"/>
      <c r="B12" s="12"/>
      <c r="C12" s="10"/>
      <c r="D12" s="14" t="str">
        <f aca="false">IFERROR(IF(C12="","",INDEX(Suppliers!$B$5:$B$504,MATCH(C12,Suppliers!$A$5:$A$504,0))),"")</f>
        <v/>
      </c>
      <c r="E12" s="10" t="s">
        <v>24</v>
      </c>
      <c r="F12" s="12"/>
      <c r="G12" s="12"/>
      <c r="H12" s="10"/>
      <c r="I12" s="10"/>
      <c r="J12" s="9" t="n">
        <f aca="false">IFERROR(SUMIFS(PurchaseOrderLines!$H$5:$H$504,PurchaseOrderLines!$B$5:$B$504,A12),"")</f>
        <v>0</v>
      </c>
      <c r="K12" s="9" t="n">
        <f aca="false">IFERROR(SUMIFS(PurchaseOrderLines!$I$5:$I$504,PurchaseOrderLines!$B$5:$B$504,A12),"")</f>
        <v>0</v>
      </c>
      <c r="L12" s="9" t="n">
        <f aca="false">IFERROR(J12+K12,"")</f>
        <v>0</v>
      </c>
      <c r="M12" s="9" t="n">
        <f aca="false">IFERROR(SUMIFS(Payments!$E$5:$E$504,Payments!$D$5:$D$504,A12,Payments!$C$5:$C$504,"Out"),"")</f>
        <v>0</v>
      </c>
      <c r="N12" s="9" t="n">
        <f aca="false">IFERROR(L12-M12,"")</f>
        <v>0</v>
      </c>
    </row>
    <row r="13" customFormat="false" ht="15" hidden="false" customHeight="false" outlineLevel="0" collapsed="false">
      <c r="A13" s="10"/>
      <c r="B13" s="12"/>
      <c r="C13" s="10"/>
      <c r="D13" s="14" t="str">
        <f aca="false">IFERROR(IF(C13="","",INDEX(Suppliers!$B$5:$B$504,MATCH(C13,Suppliers!$A$5:$A$504,0))),"")</f>
        <v/>
      </c>
      <c r="E13" s="10" t="s">
        <v>24</v>
      </c>
      <c r="F13" s="12"/>
      <c r="G13" s="12"/>
      <c r="H13" s="10"/>
      <c r="I13" s="10"/>
      <c r="J13" s="9" t="n">
        <f aca="false">IFERROR(SUMIFS(PurchaseOrderLines!$H$5:$H$504,PurchaseOrderLines!$B$5:$B$504,A13),"")</f>
        <v>0</v>
      </c>
      <c r="K13" s="9" t="n">
        <f aca="false">IFERROR(SUMIFS(PurchaseOrderLines!$I$5:$I$504,PurchaseOrderLines!$B$5:$B$504,A13),"")</f>
        <v>0</v>
      </c>
      <c r="L13" s="9" t="n">
        <f aca="false">IFERROR(J13+K13,"")</f>
        <v>0</v>
      </c>
      <c r="M13" s="9" t="n">
        <f aca="false">IFERROR(SUMIFS(Payments!$E$5:$E$504,Payments!$D$5:$D$504,A13,Payments!$C$5:$C$504,"Out"),"")</f>
        <v>0</v>
      </c>
      <c r="N13" s="9" t="n">
        <f aca="false">IFERROR(L13-M13,"")</f>
        <v>0</v>
      </c>
    </row>
    <row r="14" customFormat="false" ht="15" hidden="false" customHeight="false" outlineLevel="0" collapsed="false">
      <c r="A14" s="10"/>
      <c r="B14" s="12"/>
      <c r="C14" s="10"/>
      <c r="D14" s="14" t="str">
        <f aca="false">IFERROR(IF(C14="","",INDEX(Suppliers!$B$5:$B$504,MATCH(C14,Suppliers!$A$5:$A$504,0))),"")</f>
        <v/>
      </c>
      <c r="E14" s="10" t="s">
        <v>24</v>
      </c>
      <c r="F14" s="12"/>
      <c r="G14" s="12"/>
      <c r="H14" s="10"/>
      <c r="I14" s="10"/>
      <c r="J14" s="9" t="n">
        <f aca="false">IFERROR(SUMIFS(PurchaseOrderLines!$H$5:$H$504,PurchaseOrderLines!$B$5:$B$504,A14),"")</f>
        <v>0</v>
      </c>
      <c r="K14" s="9" t="n">
        <f aca="false">IFERROR(SUMIFS(PurchaseOrderLines!$I$5:$I$504,PurchaseOrderLines!$B$5:$B$504,A14),"")</f>
        <v>0</v>
      </c>
      <c r="L14" s="9" t="n">
        <f aca="false">IFERROR(J14+K14,"")</f>
        <v>0</v>
      </c>
      <c r="M14" s="9" t="n">
        <f aca="false">IFERROR(SUMIFS(Payments!$E$5:$E$504,Payments!$D$5:$D$504,A14,Payments!$C$5:$C$504,"Out"),"")</f>
        <v>0</v>
      </c>
      <c r="N14" s="9" t="n">
        <f aca="false">IFERROR(L14-M14,"")</f>
        <v>0</v>
      </c>
    </row>
    <row r="15" customFormat="false" ht="15" hidden="false" customHeight="false" outlineLevel="0" collapsed="false">
      <c r="A15" s="10"/>
      <c r="B15" s="12"/>
      <c r="C15" s="10"/>
      <c r="D15" s="14" t="str">
        <f aca="false">IFERROR(IF(C15="","",INDEX(Suppliers!$B$5:$B$504,MATCH(C15,Suppliers!$A$5:$A$504,0))),"")</f>
        <v/>
      </c>
      <c r="E15" s="10" t="s">
        <v>24</v>
      </c>
      <c r="F15" s="12"/>
      <c r="G15" s="12"/>
      <c r="H15" s="10"/>
      <c r="I15" s="10"/>
      <c r="J15" s="9" t="n">
        <f aca="false">IFERROR(SUMIFS(PurchaseOrderLines!$H$5:$H$504,PurchaseOrderLines!$B$5:$B$504,A15),"")</f>
        <v>0</v>
      </c>
      <c r="K15" s="9" t="n">
        <f aca="false">IFERROR(SUMIFS(PurchaseOrderLines!$I$5:$I$504,PurchaseOrderLines!$B$5:$B$504,A15),"")</f>
        <v>0</v>
      </c>
      <c r="L15" s="9" t="n">
        <f aca="false">IFERROR(J15+K15,"")</f>
        <v>0</v>
      </c>
      <c r="M15" s="9" t="n">
        <f aca="false">IFERROR(SUMIFS(Payments!$E$5:$E$504,Payments!$D$5:$D$504,A15,Payments!$C$5:$C$504,"Out"),"")</f>
        <v>0</v>
      </c>
      <c r="N15" s="9" t="n">
        <f aca="false">IFERROR(L15-M15,"")</f>
        <v>0</v>
      </c>
    </row>
    <row r="16" customFormat="false" ht="15" hidden="false" customHeight="false" outlineLevel="0" collapsed="false">
      <c r="A16" s="10"/>
      <c r="B16" s="12"/>
      <c r="C16" s="10"/>
      <c r="D16" s="14" t="str">
        <f aca="false">IFERROR(IF(C16="","",INDEX(Suppliers!$B$5:$B$504,MATCH(C16,Suppliers!$A$5:$A$504,0))),"")</f>
        <v/>
      </c>
      <c r="E16" s="10" t="s">
        <v>24</v>
      </c>
      <c r="F16" s="12"/>
      <c r="G16" s="12"/>
      <c r="H16" s="10"/>
      <c r="I16" s="10"/>
      <c r="J16" s="9" t="n">
        <f aca="false">IFERROR(SUMIFS(PurchaseOrderLines!$H$5:$H$504,PurchaseOrderLines!$B$5:$B$504,A16),"")</f>
        <v>0</v>
      </c>
      <c r="K16" s="9" t="n">
        <f aca="false">IFERROR(SUMIFS(PurchaseOrderLines!$I$5:$I$504,PurchaseOrderLines!$B$5:$B$504,A16),"")</f>
        <v>0</v>
      </c>
      <c r="L16" s="9" t="n">
        <f aca="false">IFERROR(J16+K16,"")</f>
        <v>0</v>
      </c>
      <c r="M16" s="9" t="n">
        <f aca="false">IFERROR(SUMIFS(Payments!$E$5:$E$504,Payments!$D$5:$D$504,A16,Payments!$C$5:$C$504,"Out"),"")</f>
        <v>0</v>
      </c>
      <c r="N16" s="9" t="n">
        <f aca="false">IFERROR(L16-M16,"")</f>
        <v>0</v>
      </c>
    </row>
    <row r="17" customFormat="false" ht="15" hidden="false" customHeight="false" outlineLevel="0" collapsed="false">
      <c r="A17" s="10"/>
      <c r="B17" s="12"/>
      <c r="C17" s="10"/>
      <c r="D17" s="14" t="str">
        <f aca="false">IFERROR(IF(C17="","",INDEX(Suppliers!$B$5:$B$504,MATCH(C17,Suppliers!$A$5:$A$504,0))),"")</f>
        <v/>
      </c>
      <c r="E17" s="10" t="s">
        <v>24</v>
      </c>
      <c r="F17" s="12"/>
      <c r="G17" s="12"/>
      <c r="H17" s="10"/>
      <c r="I17" s="10"/>
      <c r="J17" s="9" t="n">
        <f aca="false">IFERROR(SUMIFS(PurchaseOrderLines!$H$5:$H$504,PurchaseOrderLines!$B$5:$B$504,A17),"")</f>
        <v>0</v>
      </c>
      <c r="K17" s="9" t="n">
        <f aca="false">IFERROR(SUMIFS(PurchaseOrderLines!$I$5:$I$504,PurchaseOrderLines!$B$5:$B$504,A17),"")</f>
        <v>0</v>
      </c>
      <c r="L17" s="9" t="n">
        <f aca="false">IFERROR(J17+K17,"")</f>
        <v>0</v>
      </c>
      <c r="M17" s="9" t="n">
        <f aca="false">IFERROR(SUMIFS(Payments!$E$5:$E$504,Payments!$D$5:$D$504,A17,Payments!$C$5:$C$504,"Out"),"")</f>
        <v>0</v>
      </c>
      <c r="N17" s="9" t="n">
        <f aca="false">IFERROR(L17-M17,"")</f>
        <v>0</v>
      </c>
    </row>
    <row r="18" customFormat="false" ht="15" hidden="false" customHeight="false" outlineLevel="0" collapsed="false">
      <c r="A18" s="10"/>
      <c r="B18" s="12"/>
      <c r="C18" s="10"/>
      <c r="D18" s="14" t="str">
        <f aca="false">IFERROR(IF(C18="","",INDEX(Suppliers!$B$5:$B$504,MATCH(C18,Suppliers!$A$5:$A$504,0))),"")</f>
        <v/>
      </c>
      <c r="E18" s="10" t="s">
        <v>24</v>
      </c>
      <c r="F18" s="12"/>
      <c r="G18" s="12"/>
      <c r="H18" s="10"/>
      <c r="I18" s="10"/>
      <c r="J18" s="9" t="n">
        <f aca="false">IFERROR(SUMIFS(PurchaseOrderLines!$H$5:$H$504,PurchaseOrderLines!$B$5:$B$504,A18),"")</f>
        <v>0</v>
      </c>
      <c r="K18" s="9" t="n">
        <f aca="false">IFERROR(SUMIFS(PurchaseOrderLines!$I$5:$I$504,PurchaseOrderLines!$B$5:$B$504,A18),"")</f>
        <v>0</v>
      </c>
      <c r="L18" s="9" t="n">
        <f aca="false">IFERROR(J18+K18,"")</f>
        <v>0</v>
      </c>
      <c r="M18" s="9" t="n">
        <f aca="false">IFERROR(SUMIFS(Payments!$E$5:$E$504,Payments!$D$5:$D$504,A18,Payments!$C$5:$C$504,"Out"),"")</f>
        <v>0</v>
      </c>
      <c r="N18" s="9" t="n">
        <f aca="false">IFERROR(L18-M18,"")</f>
        <v>0</v>
      </c>
    </row>
    <row r="19" customFormat="false" ht="15" hidden="false" customHeight="false" outlineLevel="0" collapsed="false">
      <c r="A19" s="10"/>
      <c r="B19" s="12"/>
      <c r="C19" s="10"/>
      <c r="D19" s="14" t="str">
        <f aca="false">IFERROR(IF(C19="","",INDEX(Suppliers!$B$5:$B$504,MATCH(C19,Suppliers!$A$5:$A$504,0))),"")</f>
        <v/>
      </c>
      <c r="E19" s="10" t="s">
        <v>24</v>
      </c>
      <c r="F19" s="12"/>
      <c r="G19" s="12"/>
      <c r="H19" s="10"/>
      <c r="I19" s="10"/>
      <c r="J19" s="9" t="n">
        <f aca="false">IFERROR(SUMIFS(PurchaseOrderLines!$H$5:$H$504,PurchaseOrderLines!$B$5:$B$504,A19),"")</f>
        <v>0</v>
      </c>
      <c r="K19" s="9" t="n">
        <f aca="false">IFERROR(SUMIFS(PurchaseOrderLines!$I$5:$I$504,PurchaseOrderLines!$B$5:$B$504,A19),"")</f>
        <v>0</v>
      </c>
      <c r="L19" s="9" t="n">
        <f aca="false">IFERROR(J19+K19,"")</f>
        <v>0</v>
      </c>
      <c r="M19" s="9" t="n">
        <f aca="false">IFERROR(SUMIFS(Payments!$E$5:$E$504,Payments!$D$5:$D$504,A19,Payments!$C$5:$C$504,"Out"),"")</f>
        <v>0</v>
      </c>
      <c r="N19" s="9" t="n">
        <f aca="false">IFERROR(L19-M19,"")</f>
        <v>0</v>
      </c>
    </row>
    <row r="20" customFormat="false" ht="15" hidden="false" customHeight="false" outlineLevel="0" collapsed="false">
      <c r="A20" s="10"/>
      <c r="B20" s="12"/>
      <c r="C20" s="10"/>
      <c r="D20" s="14" t="str">
        <f aca="false">IFERROR(IF(C20="","",INDEX(Suppliers!$B$5:$B$504,MATCH(C20,Suppliers!$A$5:$A$504,0))),"")</f>
        <v/>
      </c>
      <c r="E20" s="10" t="s">
        <v>24</v>
      </c>
      <c r="F20" s="12"/>
      <c r="G20" s="12"/>
      <c r="H20" s="10"/>
      <c r="I20" s="10"/>
      <c r="J20" s="9" t="n">
        <f aca="false">IFERROR(SUMIFS(PurchaseOrderLines!$H$5:$H$504,PurchaseOrderLines!$B$5:$B$504,A20),"")</f>
        <v>0</v>
      </c>
      <c r="K20" s="9" t="n">
        <f aca="false">IFERROR(SUMIFS(PurchaseOrderLines!$I$5:$I$504,PurchaseOrderLines!$B$5:$B$504,A20),"")</f>
        <v>0</v>
      </c>
      <c r="L20" s="9" t="n">
        <f aca="false">IFERROR(J20+K20,"")</f>
        <v>0</v>
      </c>
      <c r="M20" s="9" t="n">
        <f aca="false">IFERROR(SUMIFS(Payments!$E$5:$E$504,Payments!$D$5:$D$504,A20,Payments!$C$5:$C$504,"Out"),"")</f>
        <v>0</v>
      </c>
      <c r="N20" s="9" t="n">
        <f aca="false">IFERROR(L20-M20,"")</f>
        <v>0</v>
      </c>
    </row>
    <row r="21" customFormat="false" ht="15" hidden="false" customHeight="false" outlineLevel="0" collapsed="false">
      <c r="A21" s="10"/>
      <c r="B21" s="12"/>
      <c r="C21" s="10"/>
      <c r="D21" s="14" t="str">
        <f aca="false">IFERROR(IF(C21="","",INDEX(Suppliers!$B$5:$B$504,MATCH(C21,Suppliers!$A$5:$A$504,0))),"")</f>
        <v/>
      </c>
      <c r="E21" s="10" t="s">
        <v>24</v>
      </c>
      <c r="F21" s="12"/>
      <c r="G21" s="12"/>
      <c r="H21" s="10"/>
      <c r="I21" s="10"/>
      <c r="J21" s="9" t="n">
        <f aca="false">IFERROR(SUMIFS(PurchaseOrderLines!$H$5:$H$504,PurchaseOrderLines!$B$5:$B$504,A21),"")</f>
        <v>0</v>
      </c>
      <c r="K21" s="9" t="n">
        <f aca="false">IFERROR(SUMIFS(PurchaseOrderLines!$I$5:$I$504,PurchaseOrderLines!$B$5:$B$504,A21),"")</f>
        <v>0</v>
      </c>
      <c r="L21" s="9" t="n">
        <f aca="false">IFERROR(J21+K21,"")</f>
        <v>0</v>
      </c>
      <c r="M21" s="9" t="n">
        <f aca="false">IFERROR(SUMIFS(Payments!$E$5:$E$504,Payments!$D$5:$D$504,A21,Payments!$C$5:$C$504,"Out"),"")</f>
        <v>0</v>
      </c>
      <c r="N21" s="9" t="n">
        <f aca="false">IFERROR(L21-M21,"")</f>
        <v>0</v>
      </c>
    </row>
    <row r="22" customFormat="false" ht="15" hidden="false" customHeight="false" outlineLevel="0" collapsed="false">
      <c r="A22" s="10"/>
      <c r="B22" s="12"/>
      <c r="C22" s="10"/>
      <c r="D22" s="14" t="str">
        <f aca="false">IFERROR(IF(C22="","",INDEX(Suppliers!$B$5:$B$504,MATCH(C22,Suppliers!$A$5:$A$504,0))),"")</f>
        <v/>
      </c>
      <c r="E22" s="10" t="s">
        <v>24</v>
      </c>
      <c r="F22" s="12"/>
      <c r="G22" s="12"/>
      <c r="H22" s="10"/>
      <c r="I22" s="10"/>
      <c r="J22" s="9" t="n">
        <f aca="false">IFERROR(SUMIFS(PurchaseOrderLines!$H$5:$H$504,PurchaseOrderLines!$B$5:$B$504,A22),"")</f>
        <v>0</v>
      </c>
      <c r="K22" s="9" t="n">
        <f aca="false">IFERROR(SUMIFS(PurchaseOrderLines!$I$5:$I$504,PurchaseOrderLines!$B$5:$B$504,A22),"")</f>
        <v>0</v>
      </c>
      <c r="L22" s="9" t="n">
        <f aca="false">IFERROR(J22+K22,"")</f>
        <v>0</v>
      </c>
      <c r="M22" s="9" t="n">
        <f aca="false">IFERROR(SUMIFS(Payments!$E$5:$E$504,Payments!$D$5:$D$504,A22,Payments!$C$5:$C$504,"Out"),"")</f>
        <v>0</v>
      </c>
      <c r="N22" s="9" t="n">
        <f aca="false">IFERROR(L22-M22,"")</f>
        <v>0</v>
      </c>
    </row>
    <row r="23" customFormat="false" ht="15" hidden="false" customHeight="false" outlineLevel="0" collapsed="false">
      <c r="A23" s="10"/>
      <c r="B23" s="12"/>
      <c r="C23" s="10"/>
      <c r="D23" s="14" t="str">
        <f aca="false">IFERROR(IF(C23="","",INDEX(Suppliers!$B$5:$B$504,MATCH(C23,Suppliers!$A$5:$A$504,0))),"")</f>
        <v/>
      </c>
      <c r="E23" s="10" t="s">
        <v>24</v>
      </c>
      <c r="F23" s="12"/>
      <c r="G23" s="12"/>
      <c r="H23" s="10"/>
      <c r="I23" s="10"/>
      <c r="J23" s="9" t="n">
        <f aca="false">IFERROR(SUMIFS(PurchaseOrderLines!$H$5:$H$504,PurchaseOrderLines!$B$5:$B$504,A23),"")</f>
        <v>0</v>
      </c>
      <c r="K23" s="9" t="n">
        <f aca="false">IFERROR(SUMIFS(PurchaseOrderLines!$I$5:$I$504,PurchaseOrderLines!$B$5:$B$504,A23),"")</f>
        <v>0</v>
      </c>
      <c r="L23" s="9" t="n">
        <f aca="false">IFERROR(J23+K23,"")</f>
        <v>0</v>
      </c>
      <c r="M23" s="9" t="n">
        <f aca="false">IFERROR(SUMIFS(Payments!$E$5:$E$504,Payments!$D$5:$D$504,A23,Payments!$C$5:$C$504,"Out"),"")</f>
        <v>0</v>
      </c>
      <c r="N23" s="9" t="n">
        <f aca="false">IFERROR(L23-M23,"")</f>
        <v>0</v>
      </c>
    </row>
    <row r="24" customFormat="false" ht="15" hidden="false" customHeight="false" outlineLevel="0" collapsed="false">
      <c r="A24" s="10"/>
      <c r="B24" s="12"/>
      <c r="C24" s="10"/>
      <c r="D24" s="14" t="str">
        <f aca="false">IFERROR(IF(C24="","",INDEX(Suppliers!$B$5:$B$504,MATCH(C24,Suppliers!$A$5:$A$504,0))),"")</f>
        <v/>
      </c>
      <c r="E24" s="10" t="s">
        <v>24</v>
      </c>
      <c r="F24" s="12"/>
      <c r="G24" s="12"/>
      <c r="H24" s="10"/>
      <c r="I24" s="10"/>
      <c r="J24" s="9" t="n">
        <f aca="false">IFERROR(SUMIFS(PurchaseOrderLines!$H$5:$H$504,PurchaseOrderLines!$B$5:$B$504,A24),"")</f>
        <v>0</v>
      </c>
      <c r="K24" s="9" t="n">
        <f aca="false">IFERROR(SUMIFS(PurchaseOrderLines!$I$5:$I$504,PurchaseOrderLines!$B$5:$B$504,A24),"")</f>
        <v>0</v>
      </c>
      <c r="L24" s="9" t="n">
        <f aca="false">IFERROR(J24+K24,"")</f>
        <v>0</v>
      </c>
      <c r="M24" s="9" t="n">
        <f aca="false">IFERROR(SUMIFS(Payments!$E$5:$E$504,Payments!$D$5:$D$504,A24,Payments!$C$5:$C$504,"Out"),"")</f>
        <v>0</v>
      </c>
      <c r="N24" s="9" t="n">
        <f aca="false">IFERROR(L24-M24,"")</f>
        <v>0</v>
      </c>
    </row>
    <row r="25" customFormat="false" ht="15" hidden="false" customHeight="false" outlineLevel="0" collapsed="false">
      <c r="A25" s="10"/>
      <c r="B25" s="12"/>
      <c r="C25" s="10"/>
      <c r="D25" s="14" t="str">
        <f aca="false">IFERROR(IF(C25="","",INDEX(Suppliers!$B$5:$B$504,MATCH(C25,Suppliers!$A$5:$A$504,0))),"")</f>
        <v/>
      </c>
      <c r="E25" s="10" t="s">
        <v>24</v>
      </c>
      <c r="F25" s="12"/>
      <c r="G25" s="12"/>
      <c r="H25" s="10"/>
      <c r="I25" s="10"/>
      <c r="J25" s="9" t="n">
        <f aca="false">IFERROR(SUMIFS(PurchaseOrderLines!$H$5:$H$504,PurchaseOrderLines!$B$5:$B$504,A25),"")</f>
        <v>0</v>
      </c>
      <c r="K25" s="9" t="n">
        <f aca="false">IFERROR(SUMIFS(PurchaseOrderLines!$I$5:$I$504,PurchaseOrderLines!$B$5:$B$504,A25),"")</f>
        <v>0</v>
      </c>
      <c r="L25" s="9" t="n">
        <f aca="false">IFERROR(J25+K25,"")</f>
        <v>0</v>
      </c>
      <c r="M25" s="9" t="n">
        <f aca="false">IFERROR(SUMIFS(Payments!$E$5:$E$504,Payments!$D$5:$D$504,A25,Payments!$C$5:$C$504,"Out"),"")</f>
        <v>0</v>
      </c>
      <c r="N25" s="9" t="n">
        <f aca="false">IFERROR(L25-M25,"")</f>
        <v>0</v>
      </c>
    </row>
    <row r="26" customFormat="false" ht="15" hidden="false" customHeight="false" outlineLevel="0" collapsed="false">
      <c r="A26" s="10"/>
      <c r="B26" s="12"/>
      <c r="C26" s="10"/>
      <c r="D26" s="14" t="str">
        <f aca="false">IFERROR(IF(C26="","",INDEX(Suppliers!$B$5:$B$504,MATCH(C26,Suppliers!$A$5:$A$504,0))),"")</f>
        <v/>
      </c>
      <c r="E26" s="10" t="s">
        <v>24</v>
      </c>
      <c r="F26" s="12"/>
      <c r="G26" s="12"/>
      <c r="H26" s="10"/>
      <c r="I26" s="10"/>
      <c r="J26" s="9" t="n">
        <f aca="false">IFERROR(SUMIFS(PurchaseOrderLines!$H$5:$H$504,PurchaseOrderLines!$B$5:$B$504,A26),"")</f>
        <v>0</v>
      </c>
      <c r="K26" s="9" t="n">
        <f aca="false">IFERROR(SUMIFS(PurchaseOrderLines!$I$5:$I$504,PurchaseOrderLines!$B$5:$B$504,A26),"")</f>
        <v>0</v>
      </c>
      <c r="L26" s="9" t="n">
        <f aca="false">IFERROR(J26+K26,"")</f>
        <v>0</v>
      </c>
      <c r="M26" s="9" t="n">
        <f aca="false">IFERROR(SUMIFS(Payments!$E$5:$E$504,Payments!$D$5:$D$504,A26,Payments!$C$5:$C$504,"Out"),"")</f>
        <v>0</v>
      </c>
      <c r="N26" s="9" t="n">
        <f aca="false">IFERROR(L26-M26,"")</f>
        <v>0</v>
      </c>
    </row>
    <row r="27" customFormat="false" ht="15" hidden="false" customHeight="false" outlineLevel="0" collapsed="false">
      <c r="A27" s="10"/>
      <c r="B27" s="12"/>
      <c r="C27" s="10"/>
      <c r="D27" s="14" t="str">
        <f aca="false">IFERROR(IF(C27="","",INDEX(Suppliers!$B$5:$B$504,MATCH(C27,Suppliers!$A$5:$A$504,0))),"")</f>
        <v/>
      </c>
      <c r="E27" s="10" t="s">
        <v>24</v>
      </c>
      <c r="F27" s="12"/>
      <c r="G27" s="12"/>
      <c r="H27" s="10"/>
      <c r="I27" s="10"/>
      <c r="J27" s="9" t="n">
        <f aca="false">IFERROR(SUMIFS(PurchaseOrderLines!$H$5:$H$504,PurchaseOrderLines!$B$5:$B$504,A27),"")</f>
        <v>0</v>
      </c>
      <c r="K27" s="9" t="n">
        <f aca="false">IFERROR(SUMIFS(PurchaseOrderLines!$I$5:$I$504,PurchaseOrderLines!$B$5:$B$504,A27),"")</f>
        <v>0</v>
      </c>
      <c r="L27" s="9" t="n">
        <f aca="false">IFERROR(J27+K27,"")</f>
        <v>0</v>
      </c>
      <c r="M27" s="9" t="n">
        <f aca="false">IFERROR(SUMIFS(Payments!$E$5:$E$504,Payments!$D$5:$D$504,A27,Payments!$C$5:$C$504,"Out"),"")</f>
        <v>0</v>
      </c>
      <c r="N27" s="9" t="n">
        <f aca="false">IFERROR(L27-M27,"")</f>
        <v>0</v>
      </c>
    </row>
    <row r="28" customFormat="false" ht="15" hidden="false" customHeight="false" outlineLevel="0" collapsed="false">
      <c r="A28" s="10"/>
      <c r="B28" s="12"/>
      <c r="C28" s="10"/>
      <c r="D28" s="14" t="str">
        <f aca="false">IFERROR(IF(C28="","",INDEX(Suppliers!$B$5:$B$504,MATCH(C28,Suppliers!$A$5:$A$504,0))),"")</f>
        <v/>
      </c>
      <c r="E28" s="10" t="s">
        <v>24</v>
      </c>
      <c r="F28" s="12"/>
      <c r="G28" s="12"/>
      <c r="H28" s="10"/>
      <c r="I28" s="10"/>
      <c r="J28" s="9" t="n">
        <f aca="false">IFERROR(SUMIFS(PurchaseOrderLines!$H$5:$H$504,PurchaseOrderLines!$B$5:$B$504,A28),"")</f>
        <v>0</v>
      </c>
      <c r="K28" s="9" t="n">
        <f aca="false">IFERROR(SUMIFS(PurchaseOrderLines!$I$5:$I$504,PurchaseOrderLines!$B$5:$B$504,A28),"")</f>
        <v>0</v>
      </c>
      <c r="L28" s="9" t="n">
        <f aca="false">IFERROR(J28+K28,"")</f>
        <v>0</v>
      </c>
      <c r="M28" s="9" t="n">
        <f aca="false">IFERROR(SUMIFS(Payments!$E$5:$E$504,Payments!$D$5:$D$504,A28,Payments!$C$5:$C$504,"Out"),"")</f>
        <v>0</v>
      </c>
      <c r="N28" s="9" t="n">
        <f aca="false">IFERROR(L28-M28,"")</f>
        <v>0</v>
      </c>
    </row>
    <row r="29" customFormat="false" ht="15" hidden="false" customHeight="false" outlineLevel="0" collapsed="false">
      <c r="A29" s="10"/>
      <c r="B29" s="12"/>
      <c r="C29" s="10"/>
      <c r="D29" s="14" t="str">
        <f aca="false">IFERROR(IF(C29="","",INDEX(Suppliers!$B$5:$B$504,MATCH(C29,Suppliers!$A$5:$A$504,0))),"")</f>
        <v/>
      </c>
      <c r="E29" s="10" t="s">
        <v>24</v>
      </c>
      <c r="F29" s="12"/>
      <c r="G29" s="12"/>
      <c r="H29" s="10"/>
      <c r="I29" s="10"/>
      <c r="J29" s="9" t="n">
        <f aca="false">IFERROR(SUMIFS(PurchaseOrderLines!$H$5:$H$504,PurchaseOrderLines!$B$5:$B$504,A29),"")</f>
        <v>0</v>
      </c>
      <c r="K29" s="9" t="n">
        <f aca="false">IFERROR(SUMIFS(PurchaseOrderLines!$I$5:$I$504,PurchaseOrderLines!$B$5:$B$504,A29),"")</f>
        <v>0</v>
      </c>
      <c r="L29" s="9" t="n">
        <f aca="false">IFERROR(J29+K29,"")</f>
        <v>0</v>
      </c>
      <c r="M29" s="9" t="n">
        <f aca="false">IFERROR(SUMIFS(Payments!$E$5:$E$504,Payments!$D$5:$D$504,A29,Payments!$C$5:$C$504,"Out"),"")</f>
        <v>0</v>
      </c>
      <c r="N29" s="9" t="n">
        <f aca="false">IFERROR(L29-M29,"")</f>
        <v>0</v>
      </c>
    </row>
    <row r="30" customFormat="false" ht="15" hidden="false" customHeight="false" outlineLevel="0" collapsed="false">
      <c r="A30" s="10"/>
      <c r="B30" s="12"/>
      <c r="C30" s="10"/>
      <c r="D30" s="14" t="str">
        <f aca="false">IFERROR(IF(C30="","",INDEX(Suppliers!$B$5:$B$504,MATCH(C30,Suppliers!$A$5:$A$504,0))),"")</f>
        <v/>
      </c>
      <c r="E30" s="10" t="s">
        <v>24</v>
      </c>
      <c r="F30" s="12"/>
      <c r="G30" s="12"/>
      <c r="H30" s="10"/>
      <c r="I30" s="10"/>
      <c r="J30" s="9" t="n">
        <f aca="false">IFERROR(SUMIFS(PurchaseOrderLines!$H$5:$H$504,PurchaseOrderLines!$B$5:$B$504,A30),"")</f>
        <v>0</v>
      </c>
      <c r="K30" s="9" t="n">
        <f aca="false">IFERROR(SUMIFS(PurchaseOrderLines!$I$5:$I$504,PurchaseOrderLines!$B$5:$B$504,A30),"")</f>
        <v>0</v>
      </c>
      <c r="L30" s="9" t="n">
        <f aca="false">IFERROR(J30+K30,"")</f>
        <v>0</v>
      </c>
      <c r="M30" s="9" t="n">
        <f aca="false">IFERROR(SUMIFS(Payments!$E$5:$E$504,Payments!$D$5:$D$504,A30,Payments!$C$5:$C$504,"Out"),"")</f>
        <v>0</v>
      </c>
      <c r="N30" s="9" t="n">
        <f aca="false">IFERROR(L30-M30,"")</f>
        <v>0</v>
      </c>
    </row>
    <row r="31" customFormat="false" ht="15" hidden="false" customHeight="false" outlineLevel="0" collapsed="false">
      <c r="A31" s="10"/>
      <c r="B31" s="12"/>
      <c r="C31" s="10"/>
      <c r="D31" s="14" t="str">
        <f aca="false">IFERROR(IF(C31="","",INDEX(Suppliers!$B$5:$B$504,MATCH(C31,Suppliers!$A$5:$A$504,0))),"")</f>
        <v/>
      </c>
      <c r="E31" s="10" t="s">
        <v>24</v>
      </c>
      <c r="F31" s="12"/>
      <c r="G31" s="12"/>
      <c r="H31" s="10"/>
      <c r="I31" s="10"/>
      <c r="J31" s="9" t="n">
        <f aca="false">IFERROR(SUMIFS(PurchaseOrderLines!$H$5:$H$504,PurchaseOrderLines!$B$5:$B$504,A31),"")</f>
        <v>0</v>
      </c>
      <c r="K31" s="9" t="n">
        <f aca="false">IFERROR(SUMIFS(PurchaseOrderLines!$I$5:$I$504,PurchaseOrderLines!$B$5:$B$504,A31),"")</f>
        <v>0</v>
      </c>
      <c r="L31" s="9" t="n">
        <f aca="false">IFERROR(J31+K31,"")</f>
        <v>0</v>
      </c>
      <c r="M31" s="9" t="n">
        <f aca="false">IFERROR(SUMIFS(Payments!$E$5:$E$504,Payments!$D$5:$D$504,A31,Payments!$C$5:$C$504,"Out"),"")</f>
        <v>0</v>
      </c>
      <c r="N31" s="9" t="n">
        <f aca="false">IFERROR(L31-M31,"")</f>
        <v>0</v>
      </c>
    </row>
    <row r="32" customFormat="false" ht="15" hidden="false" customHeight="false" outlineLevel="0" collapsed="false">
      <c r="A32" s="10"/>
      <c r="B32" s="12"/>
      <c r="C32" s="10"/>
      <c r="D32" s="14" t="str">
        <f aca="false">IFERROR(IF(C32="","",INDEX(Suppliers!$B$5:$B$504,MATCH(C32,Suppliers!$A$5:$A$504,0))),"")</f>
        <v/>
      </c>
      <c r="E32" s="10" t="s">
        <v>24</v>
      </c>
      <c r="F32" s="12"/>
      <c r="G32" s="12"/>
      <c r="H32" s="10"/>
      <c r="I32" s="10"/>
      <c r="J32" s="9" t="n">
        <f aca="false">IFERROR(SUMIFS(PurchaseOrderLines!$H$5:$H$504,PurchaseOrderLines!$B$5:$B$504,A32),"")</f>
        <v>0</v>
      </c>
      <c r="K32" s="9" t="n">
        <f aca="false">IFERROR(SUMIFS(PurchaseOrderLines!$I$5:$I$504,PurchaseOrderLines!$B$5:$B$504,A32),"")</f>
        <v>0</v>
      </c>
      <c r="L32" s="9" t="n">
        <f aca="false">IFERROR(J32+K32,"")</f>
        <v>0</v>
      </c>
      <c r="M32" s="9" t="n">
        <f aca="false">IFERROR(SUMIFS(Payments!$E$5:$E$504,Payments!$D$5:$D$504,A32,Payments!$C$5:$C$504,"Out"),"")</f>
        <v>0</v>
      </c>
      <c r="N32" s="9" t="n">
        <f aca="false">IFERROR(L32-M32,"")</f>
        <v>0</v>
      </c>
    </row>
    <row r="33" customFormat="false" ht="15" hidden="false" customHeight="false" outlineLevel="0" collapsed="false">
      <c r="A33" s="10"/>
      <c r="B33" s="12"/>
      <c r="C33" s="10"/>
      <c r="D33" s="14" t="str">
        <f aca="false">IFERROR(IF(C33="","",INDEX(Suppliers!$B$5:$B$504,MATCH(C33,Suppliers!$A$5:$A$504,0))),"")</f>
        <v/>
      </c>
      <c r="E33" s="10" t="s">
        <v>24</v>
      </c>
      <c r="F33" s="12"/>
      <c r="G33" s="12"/>
      <c r="H33" s="10"/>
      <c r="I33" s="10"/>
      <c r="J33" s="9" t="n">
        <f aca="false">IFERROR(SUMIFS(PurchaseOrderLines!$H$5:$H$504,PurchaseOrderLines!$B$5:$B$504,A33),"")</f>
        <v>0</v>
      </c>
      <c r="K33" s="9" t="n">
        <f aca="false">IFERROR(SUMIFS(PurchaseOrderLines!$I$5:$I$504,PurchaseOrderLines!$B$5:$B$504,A33),"")</f>
        <v>0</v>
      </c>
      <c r="L33" s="9" t="n">
        <f aca="false">IFERROR(J33+K33,"")</f>
        <v>0</v>
      </c>
      <c r="M33" s="9" t="n">
        <f aca="false">IFERROR(SUMIFS(Payments!$E$5:$E$504,Payments!$D$5:$D$504,A33,Payments!$C$5:$C$504,"Out"),"")</f>
        <v>0</v>
      </c>
      <c r="N33" s="9" t="n">
        <f aca="false">IFERROR(L33-M33,"")</f>
        <v>0</v>
      </c>
    </row>
    <row r="34" customFormat="false" ht="15" hidden="false" customHeight="false" outlineLevel="0" collapsed="false">
      <c r="A34" s="10"/>
      <c r="B34" s="12"/>
      <c r="C34" s="10"/>
      <c r="D34" s="14" t="str">
        <f aca="false">IFERROR(IF(C34="","",INDEX(Suppliers!$B$5:$B$504,MATCH(C34,Suppliers!$A$5:$A$504,0))),"")</f>
        <v/>
      </c>
      <c r="E34" s="10" t="s">
        <v>24</v>
      </c>
      <c r="F34" s="12"/>
      <c r="G34" s="12"/>
      <c r="H34" s="10"/>
      <c r="I34" s="10"/>
      <c r="J34" s="9" t="n">
        <f aca="false">IFERROR(SUMIFS(PurchaseOrderLines!$H$5:$H$504,PurchaseOrderLines!$B$5:$B$504,A34),"")</f>
        <v>0</v>
      </c>
      <c r="K34" s="9" t="n">
        <f aca="false">IFERROR(SUMIFS(PurchaseOrderLines!$I$5:$I$504,PurchaseOrderLines!$B$5:$B$504,A34),"")</f>
        <v>0</v>
      </c>
      <c r="L34" s="9" t="n">
        <f aca="false">IFERROR(J34+K34,"")</f>
        <v>0</v>
      </c>
      <c r="M34" s="9" t="n">
        <f aca="false">IFERROR(SUMIFS(Payments!$E$5:$E$504,Payments!$D$5:$D$504,A34,Payments!$C$5:$C$504,"Out"),"")</f>
        <v>0</v>
      </c>
      <c r="N34" s="9" t="n">
        <f aca="false">IFERROR(L34-M34,"")</f>
        <v>0</v>
      </c>
    </row>
    <row r="35" customFormat="false" ht="15" hidden="false" customHeight="false" outlineLevel="0" collapsed="false">
      <c r="A35" s="10"/>
      <c r="B35" s="12"/>
      <c r="C35" s="10"/>
      <c r="D35" s="14" t="str">
        <f aca="false">IFERROR(IF(C35="","",INDEX(Suppliers!$B$5:$B$504,MATCH(C35,Suppliers!$A$5:$A$504,0))),"")</f>
        <v/>
      </c>
      <c r="E35" s="10" t="s">
        <v>24</v>
      </c>
      <c r="F35" s="12"/>
      <c r="G35" s="12"/>
      <c r="H35" s="10"/>
      <c r="I35" s="10"/>
      <c r="J35" s="9" t="n">
        <f aca="false">IFERROR(SUMIFS(PurchaseOrderLines!$H$5:$H$504,PurchaseOrderLines!$B$5:$B$504,A35),"")</f>
        <v>0</v>
      </c>
      <c r="K35" s="9" t="n">
        <f aca="false">IFERROR(SUMIFS(PurchaseOrderLines!$I$5:$I$504,PurchaseOrderLines!$B$5:$B$504,A35),"")</f>
        <v>0</v>
      </c>
      <c r="L35" s="9" t="n">
        <f aca="false">IFERROR(J35+K35,"")</f>
        <v>0</v>
      </c>
      <c r="M35" s="9" t="n">
        <f aca="false">IFERROR(SUMIFS(Payments!$E$5:$E$504,Payments!$D$5:$D$504,A35,Payments!$C$5:$C$504,"Out"),"")</f>
        <v>0</v>
      </c>
      <c r="N35" s="9" t="n">
        <f aca="false">IFERROR(L35-M35,"")</f>
        <v>0</v>
      </c>
    </row>
    <row r="36" customFormat="false" ht="15" hidden="false" customHeight="false" outlineLevel="0" collapsed="false">
      <c r="A36" s="10"/>
      <c r="B36" s="12"/>
      <c r="C36" s="10"/>
      <c r="D36" s="14" t="str">
        <f aca="false">IFERROR(IF(C36="","",INDEX(Suppliers!$B$5:$B$504,MATCH(C36,Suppliers!$A$5:$A$504,0))),"")</f>
        <v/>
      </c>
      <c r="E36" s="10" t="s">
        <v>24</v>
      </c>
      <c r="F36" s="12"/>
      <c r="G36" s="12"/>
      <c r="H36" s="10"/>
      <c r="I36" s="10"/>
      <c r="J36" s="9" t="n">
        <f aca="false">IFERROR(SUMIFS(PurchaseOrderLines!$H$5:$H$504,PurchaseOrderLines!$B$5:$B$504,A36),"")</f>
        <v>0</v>
      </c>
      <c r="K36" s="9" t="n">
        <f aca="false">IFERROR(SUMIFS(PurchaseOrderLines!$I$5:$I$504,PurchaseOrderLines!$B$5:$B$504,A36),"")</f>
        <v>0</v>
      </c>
      <c r="L36" s="9" t="n">
        <f aca="false">IFERROR(J36+K36,"")</f>
        <v>0</v>
      </c>
      <c r="M36" s="9" t="n">
        <f aca="false">IFERROR(SUMIFS(Payments!$E$5:$E$504,Payments!$D$5:$D$504,A36,Payments!$C$5:$C$504,"Out"),"")</f>
        <v>0</v>
      </c>
      <c r="N36" s="9" t="n">
        <f aca="false">IFERROR(L36-M36,"")</f>
        <v>0</v>
      </c>
    </row>
    <row r="37" customFormat="false" ht="15" hidden="false" customHeight="false" outlineLevel="0" collapsed="false">
      <c r="A37" s="10"/>
      <c r="B37" s="12"/>
      <c r="C37" s="10"/>
      <c r="D37" s="14" t="str">
        <f aca="false">IFERROR(IF(C37="","",INDEX(Suppliers!$B$5:$B$504,MATCH(C37,Suppliers!$A$5:$A$504,0))),"")</f>
        <v/>
      </c>
      <c r="E37" s="10" t="s">
        <v>24</v>
      </c>
      <c r="F37" s="12"/>
      <c r="G37" s="12"/>
      <c r="H37" s="10"/>
      <c r="I37" s="10"/>
      <c r="J37" s="9" t="n">
        <f aca="false">IFERROR(SUMIFS(PurchaseOrderLines!$H$5:$H$504,PurchaseOrderLines!$B$5:$B$504,A37),"")</f>
        <v>0</v>
      </c>
      <c r="K37" s="9" t="n">
        <f aca="false">IFERROR(SUMIFS(PurchaseOrderLines!$I$5:$I$504,PurchaseOrderLines!$B$5:$B$504,A37),"")</f>
        <v>0</v>
      </c>
      <c r="L37" s="9" t="n">
        <f aca="false">IFERROR(J37+K37,"")</f>
        <v>0</v>
      </c>
      <c r="M37" s="9" t="n">
        <f aca="false">IFERROR(SUMIFS(Payments!$E$5:$E$504,Payments!$D$5:$D$504,A37,Payments!$C$5:$C$504,"Out"),"")</f>
        <v>0</v>
      </c>
      <c r="N37" s="9" t="n">
        <f aca="false">IFERROR(L37-M37,"")</f>
        <v>0</v>
      </c>
    </row>
    <row r="38" customFormat="false" ht="15" hidden="false" customHeight="false" outlineLevel="0" collapsed="false">
      <c r="A38" s="10"/>
      <c r="B38" s="12"/>
      <c r="C38" s="10"/>
      <c r="D38" s="14" t="str">
        <f aca="false">IFERROR(IF(C38="","",INDEX(Suppliers!$B$5:$B$504,MATCH(C38,Suppliers!$A$5:$A$504,0))),"")</f>
        <v/>
      </c>
      <c r="E38" s="10" t="s">
        <v>24</v>
      </c>
      <c r="F38" s="12"/>
      <c r="G38" s="12"/>
      <c r="H38" s="10"/>
      <c r="I38" s="10"/>
      <c r="J38" s="9" t="n">
        <f aca="false">IFERROR(SUMIFS(PurchaseOrderLines!$H$5:$H$504,PurchaseOrderLines!$B$5:$B$504,A38),"")</f>
        <v>0</v>
      </c>
      <c r="K38" s="9" t="n">
        <f aca="false">IFERROR(SUMIFS(PurchaseOrderLines!$I$5:$I$504,PurchaseOrderLines!$B$5:$B$504,A38),"")</f>
        <v>0</v>
      </c>
      <c r="L38" s="9" t="n">
        <f aca="false">IFERROR(J38+K38,"")</f>
        <v>0</v>
      </c>
      <c r="M38" s="9" t="n">
        <f aca="false">IFERROR(SUMIFS(Payments!$E$5:$E$504,Payments!$D$5:$D$504,A38,Payments!$C$5:$C$504,"Out"),"")</f>
        <v>0</v>
      </c>
      <c r="N38" s="9" t="n">
        <f aca="false">IFERROR(L38-M38,"")</f>
        <v>0</v>
      </c>
    </row>
    <row r="39" customFormat="false" ht="15" hidden="false" customHeight="false" outlineLevel="0" collapsed="false">
      <c r="A39" s="10"/>
      <c r="B39" s="12"/>
      <c r="C39" s="10"/>
      <c r="D39" s="14" t="str">
        <f aca="false">IFERROR(IF(C39="","",INDEX(Suppliers!$B$5:$B$504,MATCH(C39,Suppliers!$A$5:$A$504,0))),"")</f>
        <v/>
      </c>
      <c r="E39" s="10" t="s">
        <v>24</v>
      </c>
      <c r="F39" s="12"/>
      <c r="G39" s="12"/>
      <c r="H39" s="10"/>
      <c r="I39" s="10"/>
      <c r="J39" s="9" t="n">
        <f aca="false">IFERROR(SUMIFS(PurchaseOrderLines!$H$5:$H$504,PurchaseOrderLines!$B$5:$B$504,A39),"")</f>
        <v>0</v>
      </c>
      <c r="K39" s="9" t="n">
        <f aca="false">IFERROR(SUMIFS(PurchaseOrderLines!$I$5:$I$504,PurchaseOrderLines!$B$5:$B$504,A39),"")</f>
        <v>0</v>
      </c>
      <c r="L39" s="9" t="n">
        <f aca="false">IFERROR(J39+K39,"")</f>
        <v>0</v>
      </c>
      <c r="M39" s="9" t="n">
        <f aca="false">IFERROR(SUMIFS(Payments!$E$5:$E$504,Payments!$D$5:$D$504,A39,Payments!$C$5:$C$504,"Out"),"")</f>
        <v>0</v>
      </c>
      <c r="N39" s="9" t="n">
        <f aca="false">IFERROR(L39-M39,"")</f>
        <v>0</v>
      </c>
    </row>
    <row r="40" customFormat="false" ht="15" hidden="false" customHeight="false" outlineLevel="0" collapsed="false">
      <c r="A40" s="10"/>
      <c r="B40" s="12"/>
      <c r="C40" s="10"/>
      <c r="D40" s="14" t="str">
        <f aca="false">IFERROR(IF(C40="","",INDEX(Suppliers!$B$5:$B$504,MATCH(C40,Suppliers!$A$5:$A$504,0))),"")</f>
        <v/>
      </c>
      <c r="E40" s="10" t="s">
        <v>24</v>
      </c>
      <c r="F40" s="12"/>
      <c r="G40" s="12"/>
      <c r="H40" s="10"/>
      <c r="I40" s="10"/>
      <c r="J40" s="9" t="n">
        <f aca="false">IFERROR(SUMIFS(PurchaseOrderLines!$H$5:$H$504,PurchaseOrderLines!$B$5:$B$504,A40),"")</f>
        <v>0</v>
      </c>
      <c r="K40" s="9" t="n">
        <f aca="false">IFERROR(SUMIFS(PurchaseOrderLines!$I$5:$I$504,PurchaseOrderLines!$B$5:$B$504,A40),"")</f>
        <v>0</v>
      </c>
      <c r="L40" s="9" t="n">
        <f aca="false">IFERROR(J40+K40,"")</f>
        <v>0</v>
      </c>
      <c r="M40" s="9" t="n">
        <f aca="false">IFERROR(SUMIFS(Payments!$E$5:$E$504,Payments!$D$5:$D$504,A40,Payments!$C$5:$C$504,"Out"),"")</f>
        <v>0</v>
      </c>
      <c r="N40" s="9" t="n">
        <f aca="false">IFERROR(L40-M40,"")</f>
        <v>0</v>
      </c>
    </row>
    <row r="41" customFormat="false" ht="15" hidden="false" customHeight="false" outlineLevel="0" collapsed="false">
      <c r="A41" s="10"/>
      <c r="B41" s="12"/>
      <c r="C41" s="10"/>
      <c r="D41" s="14" t="str">
        <f aca="false">IFERROR(IF(C41="","",INDEX(Suppliers!$B$5:$B$504,MATCH(C41,Suppliers!$A$5:$A$504,0))),"")</f>
        <v/>
      </c>
      <c r="E41" s="10" t="s">
        <v>24</v>
      </c>
      <c r="F41" s="12"/>
      <c r="G41" s="12"/>
      <c r="H41" s="10"/>
      <c r="I41" s="10"/>
      <c r="J41" s="9" t="n">
        <f aca="false">IFERROR(SUMIFS(PurchaseOrderLines!$H$5:$H$504,PurchaseOrderLines!$B$5:$B$504,A41),"")</f>
        <v>0</v>
      </c>
      <c r="K41" s="9" t="n">
        <f aca="false">IFERROR(SUMIFS(PurchaseOrderLines!$I$5:$I$504,PurchaseOrderLines!$B$5:$B$504,A41),"")</f>
        <v>0</v>
      </c>
      <c r="L41" s="9" t="n">
        <f aca="false">IFERROR(J41+K41,"")</f>
        <v>0</v>
      </c>
      <c r="M41" s="9" t="n">
        <f aca="false">IFERROR(SUMIFS(Payments!$E$5:$E$504,Payments!$D$5:$D$504,A41,Payments!$C$5:$C$504,"Out"),"")</f>
        <v>0</v>
      </c>
      <c r="N41" s="9" t="n">
        <f aca="false">IFERROR(L41-M41,"")</f>
        <v>0</v>
      </c>
    </row>
    <row r="42" customFormat="false" ht="15" hidden="false" customHeight="false" outlineLevel="0" collapsed="false">
      <c r="A42" s="10"/>
      <c r="B42" s="12"/>
      <c r="C42" s="10"/>
      <c r="D42" s="14" t="str">
        <f aca="false">IFERROR(IF(C42="","",INDEX(Suppliers!$B$5:$B$504,MATCH(C42,Suppliers!$A$5:$A$504,0))),"")</f>
        <v/>
      </c>
      <c r="E42" s="10" t="s">
        <v>24</v>
      </c>
      <c r="F42" s="12"/>
      <c r="G42" s="12"/>
      <c r="H42" s="10"/>
      <c r="I42" s="10"/>
      <c r="J42" s="9" t="n">
        <f aca="false">IFERROR(SUMIFS(PurchaseOrderLines!$H$5:$H$504,PurchaseOrderLines!$B$5:$B$504,A42),"")</f>
        <v>0</v>
      </c>
      <c r="K42" s="9" t="n">
        <f aca="false">IFERROR(SUMIFS(PurchaseOrderLines!$I$5:$I$504,PurchaseOrderLines!$B$5:$B$504,A42),"")</f>
        <v>0</v>
      </c>
      <c r="L42" s="9" t="n">
        <f aca="false">IFERROR(J42+K42,"")</f>
        <v>0</v>
      </c>
      <c r="M42" s="9" t="n">
        <f aca="false">IFERROR(SUMIFS(Payments!$E$5:$E$504,Payments!$D$5:$D$504,A42,Payments!$C$5:$C$504,"Out"),"")</f>
        <v>0</v>
      </c>
      <c r="N42" s="9" t="n">
        <f aca="false">IFERROR(L42-M42,"")</f>
        <v>0</v>
      </c>
    </row>
    <row r="43" customFormat="false" ht="15" hidden="false" customHeight="false" outlineLevel="0" collapsed="false">
      <c r="A43" s="10"/>
      <c r="B43" s="12"/>
      <c r="C43" s="10"/>
      <c r="D43" s="14" t="str">
        <f aca="false">IFERROR(IF(C43="","",INDEX(Suppliers!$B$5:$B$504,MATCH(C43,Suppliers!$A$5:$A$504,0))),"")</f>
        <v/>
      </c>
      <c r="E43" s="10" t="s">
        <v>24</v>
      </c>
      <c r="F43" s="12"/>
      <c r="G43" s="12"/>
      <c r="H43" s="10"/>
      <c r="I43" s="10"/>
      <c r="J43" s="9" t="n">
        <f aca="false">IFERROR(SUMIFS(PurchaseOrderLines!$H$5:$H$504,PurchaseOrderLines!$B$5:$B$504,A43),"")</f>
        <v>0</v>
      </c>
      <c r="K43" s="9" t="n">
        <f aca="false">IFERROR(SUMIFS(PurchaseOrderLines!$I$5:$I$504,PurchaseOrderLines!$B$5:$B$504,A43),"")</f>
        <v>0</v>
      </c>
      <c r="L43" s="9" t="n">
        <f aca="false">IFERROR(J43+K43,"")</f>
        <v>0</v>
      </c>
      <c r="M43" s="9" t="n">
        <f aca="false">IFERROR(SUMIFS(Payments!$E$5:$E$504,Payments!$D$5:$D$504,A43,Payments!$C$5:$C$504,"Out"),"")</f>
        <v>0</v>
      </c>
      <c r="N43" s="9" t="n">
        <f aca="false">IFERROR(L43-M43,"")</f>
        <v>0</v>
      </c>
    </row>
    <row r="44" customFormat="false" ht="15" hidden="false" customHeight="false" outlineLevel="0" collapsed="false">
      <c r="A44" s="10"/>
      <c r="B44" s="12"/>
      <c r="C44" s="10"/>
      <c r="D44" s="14" t="str">
        <f aca="false">IFERROR(IF(C44="","",INDEX(Suppliers!$B$5:$B$504,MATCH(C44,Suppliers!$A$5:$A$504,0))),"")</f>
        <v/>
      </c>
      <c r="E44" s="10" t="s">
        <v>24</v>
      </c>
      <c r="F44" s="12"/>
      <c r="G44" s="12"/>
      <c r="H44" s="10"/>
      <c r="I44" s="10"/>
      <c r="J44" s="9" t="n">
        <f aca="false">IFERROR(SUMIFS(PurchaseOrderLines!$H$5:$H$504,PurchaseOrderLines!$B$5:$B$504,A44),"")</f>
        <v>0</v>
      </c>
      <c r="K44" s="9" t="n">
        <f aca="false">IFERROR(SUMIFS(PurchaseOrderLines!$I$5:$I$504,PurchaseOrderLines!$B$5:$B$504,A44),"")</f>
        <v>0</v>
      </c>
      <c r="L44" s="9" t="n">
        <f aca="false">IFERROR(J44+K44,"")</f>
        <v>0</v>
      </c>
      <c r="M44" s="9" t="n">
        <f aca="false">IFERROR(SUMIFS(Payments!$E$5:$E$504,Payments!$D$5:$D$504,A44,Payments!$C$5:$C$504,"Out"),"")</f>
        <v>0</v>
      </c>
      <c r="N44" s="9" t="n">
        <f aca="false">IFERROR(L44-M44,"")</f>
        <v>0</v>
      </c>
    </row>
    <row r="45" customFormat="false" ht="15" hidden="false" customHeight="false" outlineLevel="0" collapsed="false">
      <c r="A45" s="10"/>
      <c r="B45" s="12"/>
      <c r="C45" s="10"/>
      <c r="D45" s="14" t="str">
        <f aca="false">IFERROR(IF(C45="","",INDEX(Suppliers!$B$5:$B$504,MATCH(C45,Suppliers!$A$5:$A$504,0))),"")</f>
        <v/>
      </c>
      <c r="E45" s="10" t="s">
        <v>24</v>
      </c>
      <c r="F45" s="12"/>
      <c r="G45" s="12"/>
      <c r="H45" s="10"/>
      <c r="I45" s="10"/>
      <c r="J45" s="9" t="n">
        <f aca="false">IFERROR(SUMIFS(PurchaseOrderLines!$H$5:$H$504,PurchaseOrderLines!$B$5:$B$504,A45),"")</f>
        <v>0</v>
      </c>
      <c r="K45" s="9" t="n">
        <f aca="false">IFERROR(SUMIFS(PurchaseOrderLines!$I$5:$I$504,PurchaseOrderLines!$B$5:$B$504,A45),"")</f>
        <v>0</v>
      </c>
      <c r="L45" s="9" t="n">
        <f aca="false">IFERROR(J45+K45,"")</f>
        <v>0</v>
      </c>
      <c r="M45" s="9" t="n">
        <f aca="false">IFERROR(SUMIFS(Payments!$E$5:$E$504,Payments!$D$5:$D$504,A45,Payments!$C$5:$C$504,"Out"),"")</f>
        <v>0</v>
      </c>
      <c r="N45" s="9" t="n">
        <f aca="false">IFERROR(L45-M45,"")</f>
        <v>0</v>
      </c>
    </row>
    <row r="46" customFormat="false" ht="15" hidden="false" customHeight="false" outlineLevel="0" collapsed="false">
      <c r="A46" s="10"/>
      <c r="B46" s="12"/>
      <c r="C46" s="10"/>
      <c r="D46" s="14" t="str">
        <f aca="false">IFERROR(IF(C46="","",INDEX(Suppliers!$B$5:$B$504,MATCH(C46,Suppliers!$A$5:$A$504,0))),"")</f>
        <v/>
      </c>
      <c r="E46" s="10" t="s">
        <v>24</v>
      </c>
      <c r="F46" s="12"/>
      <c r="G46" s="12"/>
      <c r="H46" s="10"/>
      <c r="I46" s="10"/>
      <c r="J46" s="9" t="n">
        <f aca="false">IFERROR(SUMIFS(PurchaseOrderLines!$H$5:$H$504,PurchaseOrderLines!$B$5:$B$504,A46),"")</f>
        <v>0</v>
      </c>
      <c r="K46" s="9" t="n">
        <f aca="false">IFERROR(SUMIFS(PurchaseOrderLines!$I$5:$I$504,PurchaseOrderLines!$B$5:$B$504,A46),"")</f>
        <v>0</v>
      </c>
      <c r="L46" s="9" t="n">
        <f aca="false">IFERROR(J46+K46,"")</f>
        <v>0</v>
      </c>
      <c r="M46" s="9" t="n">
        <f aca="false">IFERROR(SUMIFS(Payments!$E$5:$E$504,Payments!$D$5:$D$504,A46,Payments!$C$5:$C$504,"Out"),"")</f>
        <v>0</v>
      </c>
      <c r="N46" s="9" t="n">
        <f aca="false">IFERROR(L46-M46,"")</f>
        <v>0</v>
      </c>
    </row>
    <row r="47" customFormat="false" ht="15" hidden="false" customHeight="false" outlineLevel="0" collapsed="false">
      <c r="A47" s="10"/>
      <c r="B47" s="12"/>
      <c r="C47" s="10"/>
      <c r="D47" s="14" t="str">
        <f aca="false">IFERROR(IF(C47="","",INDEX(Suppliers!$B$5:$B$504,MATCH(C47,Suppliers!$A$5:$A$504,0))),"")</f>
        <v/>
      </c>
      <c r="E47" s="10" t="s">
        <v>24</v>
      </c>
      <c r="F47" s="12"/>
      <c r="G47" s="12"/>
      <c r="H47" s="10"/>
      <c r="I47" s="10"/>
      <c r="J47" s="9" t="n">
        <f aca="false">IFERROR(SUMIFS(PurchaseOrderLines!$H$5:$H$504,PurchaseOrderLines!$B$5:$B$504,A47),"")</f>
        <v>0</v>
      </c>
      <c r="K47" s="9" t="n">
        <f aca="false">IFERROR(SUMIFS(PurchaseOrderLines!$I$5:$I$504,PurchaseOrderLines!$B$5:$B$504,A47),"")</f>
        <v>0</v>
      </c>
      <c r="L47" s="9" t="n">
        <f aca="false">IFERROR(J47+K47,"")</f>
        <v>0</v>
      </c>
      <c r="M47" s="9" t="n">
        <f aca="false">IFERROR(SUMIFS(Payments!$E$5:$E$504,Payments!$D$5:$D$504,A47,Payments!$C$5:$C$504,"Out"),"")</f>
        <v>0</v>
      </c>
      <c r="N47" s="9" t="n">
        <f aca="false">IFERROR(L47-M47,"")</f>
        <v>0</v>
      </c>
    </row>
    <row r="48" customFormat="false" ht="15" hidden="false" customHeight="false" outlineLevel="0" collapsed="false">
      <c r="A48" s="10"/>
      <c r="B48" s="12"/>
      <c r="C48" s="10"/>
      <c r="D48" s="14" t="str">
        <f aca="false">IFERROR(IF(C48="","",INDEX(Suppliers!$B$5:$B$504,MATCH(C48,Suppliers!$A$5:$A$504,0))),"")</f>
        <v/>
      </c>
      <c r="E48" s="10" t="s">
        <v>24</v>
      </c>
      <c r="F48" s="12"/>
      <c r="G48" s="12"/>
      <c r="H48" s="10"/>
      <c r="I48" s="10"/>
      <c r="J48" s="9" t="n">
        <f aca="false">IFERROR(SUMIFS(PurchaseOrderLines!$H$5:$H$504,PurchaseOrderLines!$B$5:$B$504,A48),"")</f>
        <v>0</v>
      </c>
      <c r="K48" s="9" t="n">
        <f aca="false">IFERROR(SUMIFS(PurchaseOrderLines!$I$5:$I$504,PurchaseOrderLines!$B$5:$B$504,A48),"")</f>
        <v>0</v>
      </c>
      <c r="L48" s="9" t="n">
        <f aca="false">IFERROR(J48+K48,"")</f>
        <v>0</v>
      </c>
      <c r="M48" s="9" t="n">
        <f aca="false">IFERROR(SUMIFS(Payments!$E$5:$E$504,Payments!$D$5:$D$504,A48,Payments!$C$5:$C$504,"Out"),"")</f>
        <v>0</v>
      </c>
      <c r="N48" s="9" t="n">
        <f aca="false">IFERROR(L48-M48,"")</f>
        <v>0</v>
      </c>
    </row>
    <row r="49" customFormat="false" ht="15" hidden="false" customHeight="false" outlineLevel="0" collapsed="false">
      <c r="A49" s="10"/>
      <c r="B49" s="12"/>
      <c r="C49" s="10"/>
      <c r="D49" s="14" t="str">
        <f aca="false">IFERROR(IF(C49="","",INDEX(Suppliers!$B$5:$B$504,MATCH(C49,Suppliers!$A$5:$A$504,0))),"")</f>
        <v/>
      </c>
      <c r="E49" s="10" t="s">
        <v>24</v>
      </c>
      <c r="F49" s="12"/>
      <c r="G49" s="12"/>
      <c r="H49" s="10"/>
      <c r="I49" s="10"/>
      <c r="J49" s="9" t="n">
        <f aca="false">IFERROR(SUMIFS(PurchaseOrderLines!$H$5:$H$504,PurchaseOrderLines!$B$5:$B$504,A49),"")</f>
        <v>0</v>
      </c>
      <c r="K49" s="9" t="n">
        <f aca="false">IFERROR(SUMIFS(PurchaseOrderLines!$I$5:$I$504,PurchaseOrderLines!$B$5:$B$504,A49),"")</f>
        <v>0</v>
      </c>
      <c r="L49" s="9" t="n">
        <f aca="false">IFERROR(J49+K49,"")</f>
        <v>0</v>
      </c>
      <c r="M49" s="9" t="n">
        <f aca="false">IFERROR(SUMIFS(Payments!$E$5:$E$504,Payments!$D$5:$D$504,A49,Payments!$C$5:$C$504,"Out"),"")</f>
        <v>0</v>
      </c>
      <c r="N49" s="9" t="n">
        <f aca="false">IFERROR(L49-M49,"")</f>
        <v>0</v>
      </c>
    </row>
    <row r="50" customFormat="false" ht="15" hidden="false" customHeight="false" outlineLevel="0" collapsed="false">
      <c r="A50" s="10"/>
      <c r="B50" s="12"/>
      <c r="C50" s="10"/>
      <c r="D50" s="14" t="str">
        <f aca="false">IFERROR(IF(C50="","",INDEX(Suppliers!$B$5:$B$504,MATCH(C50,Suppliers!$A$5:$A$504,0))),"")</f>
        <v/>
      </c>
      <c r="E50" s="10" t="s">
        <v>24</v>
      </c>
      <c r="F50" s="12"/>
      <c r="G50" s="12"/>
      <c r="H50" s="10"/>
      <c r="I50" s="10"/>
      <c r="J50" s="9" t="n">
        <f aca="false">IFERROR(SUMIFS(PurchaseOrderLines!$H$5:$H$504,PurchaseOrderLines!$B$5:$B$504,A50),"")</f>
        <v>0</v>
      </c>
      <c r="K50" s="9" t="n">
        <f aca="false">IFERROR(SUMIFS(PurchaseOrderLines!$I$5:$I$504,PurchaseOrderLines!$B$5:$B$504,A50),"")</f>
        <v>0</v>
      </c>
      <c r="L50" s="9" t="n">
        <f aca="false">IFERROR(J50+K50,"")</f>
        <v>0</v>
      </c>
      <c r="M50" s="9" t="n">
        <f aca="false">IFERROR(SUMIFS(Payments!$E$5:$E$504,Payments!$D$5:$D$504,A50,Payments!$C$5:$C$504,"Out"),"")</f>
        <v>0</v>
      </c>
      <c r="N50" s="9" t="n">
        <f aca="false">IFERROR(L50-M50,"")</f>
        <v>0</v>
      </c>
    </row>
    <row r="51" customFormat="false" ht="15" hidden="false" customHeight="false" outlineLevel="0" collapsed="false">
      <c r="A51" s="10"/>
      <c r="B51" s="12"/>
      <c r="C51" s="10"/>
      <c r="D51" s="14" t="str">
        <f aca="false">IFERROR(IF(C51="","",INDEX(Suppliers!$B$5:$B$504,MATCH(C51,Suppliers!$A$5:$A$504,0))),"")</f>
        <v/>
      </c>
      <c r="E51" s="10" t="s">
        <v>24</v>
      </c>
      <c r="F51" s="12"/>
      <c r="G51" s="12"/>
      <c r="H51" s="10"/>
      <c r="I51" s="10"/>
      <c r="J51" s="9" t="n">
        <f aca="false">IFERROR(SUMIFS(PurchaseOrderLines!$H$5:$H$504,PurchaseOrderLines!$B$5:$B$504,A51),"")</f>
        <v>0</v>
      </c>
      <c r="K51" s="9" t="n">
        <f aca="false">IFERROR(SUMIFS(PurchaseOrderLines!$I$5:$I$504,PurchaseOrderLines!$B$5:$B$504,A51),"")</f>
        <v>0</v>
      </c>
      <c r="L51" s="9" t="n">
        <f aca="false">IFERROR(J51+K51,"")</f>
        <v>0</v>
      </c>
      <c r="M51" s="9" t="n">
        <f aca="false">IFERROR(SUMIFS(Payments!$E$5:$E$504,Payments!$D$5:$D$504,A51,Payments!$C$5:$C$504,"Out"),"")</f>
        <v>0</v>
      </c>
      <c r="N51" s="9" t="n">
        <f aca="false">IFERROR(L51-M51,"")</f>
        <v>0</v>
      </c>
    </row>
    <row r="52" customFormat="false" ht="15" hidden="false" customHeight="false" outlineLevel="0" collapsed="false">
      <c r="A52" s="10"/>
      <c r="B52" s="12"/>
      <c r="C52" s="10"/>
      <c r="D52" s="14" t="str">
        <f aca="false">IFERROR(IF(C52="","",INDEX(Suppliers!$B$5:$B$504,MATCH(C52,Suppliers!$A$5:$A$504,0))),"")</f>
        <v/>
      </c>
      <c r="E52" s="10" t="s">
        <v>24</v>
      </c>
      <c r="F52" s="12"/>
      <c r="G52" s="12"/>
      <c r="H52" s="10"/>
      <c r="I52" s="10"/>
      <c r="J52" s="9" t="n">
        <f aca="false">IFERROR(SUMIFS(PurchaseOrderLines!$H$5:$H$504,PurchaseOrderLines!$B$5:$B$504,A52),"")</f>
        <v>0</v>
      </c>
      <c r="K52" s="9" t="n">
        <f aca="false">IFERROR(SUMIFS(PurchaseOrderLines!$I$5:$I$504,PurchaseOrderLines!$B$5:$B$504,A52),"")</f>
        <v>0</v>
      </c>
      <c r="L52" s="9" t="n">
        <f aca="false">IFERROR(J52+K52,"")</f>
        <v>0</v>
      </c>
      <c r="M52" s="9" t="n">
        <f aca="false">IFERROR(SUMIFS(Payments!$E$5:$E$504,Payments!$D$5:$D$504,A52,Payments!$C$5:$C$504,"Out"),"")</f>
        <v>0</v>
      </c>
      <c r="N52" s="9" t="n">
        <f aca="false">IFERROR(L52-M52,"")</f>
        <v>0</v>
      </c>
    </row>
    <row r="53" customFormat="false" ht="15" hidden="false" customHeight="false" outlineLevel="0" collapsed="false">
      <c r="A53" s="10"/>
      <c r="B53" s="12"/>
      <c r="C53" s="10"/>
      <c r="D53" s="14" t="str">
        <f aca="false">IFERROR(IF(C53="","",INDEX(Suppliers!$B$5:$B$504,MATCH(C53,Suppliers!$A$5:$A$504,0))),"")</f>
        <v/>
      </c>
      <c r="E53" s="10" t="s">
        <v>24</v>
      </c>
      <c r="F53" s="12"/>
      <c r="G53" s="12"/>
      <c r="H53" s="10"/>
      <c r="I53" s="10"/>
      <c r="J53" s="9" t="n">
        <f aca="false">IFERROR(SUMIFS(PurchaseOrderLines!$H$5:$H$504,PurchaseOrderLines!$B$5:$B$504,A53),"")</f>
        <v>0</v>
      </c>
      <c r="K53" s="9" t="n">
        <f aca="false">IFERROR(SUMIFS(PurchaseOrderLines!$I$5:$I$504,PurchaseOrderLines!$B$5:$B$504,A53),"")</f>
        <v>0</v>
      </c>
      <c r="L53" s="9" t="n">
        <f aca="false">IFERROR(J53+K53,"")</f>
        <v>0</v>
      </c>
      <c r="M53" s="9" t="n">
        <f aca="false">IFERROR(SUMIFS(Payments!$E$5:$E$504,Payments!$D$5:$D$504,A53,Payments!$C$5:$C$504,"Out"),"")</f>
        <v>0</v>
      </c>
      <c r="N53" s="9" t="n">
        <f aca="false">IFERROR(L53-M53,"")</f>
        <v>0</v>
      </c>
    </row>
    <row r="54" customFormat="false" ht="15" hidden="false" customHeight="false" outlineLevel="0" collapsed="false">
      <c r="A54" s="10"/>
      <c r="B54" s="12"/>
      <c r="C54" s="10"/>
      <c r="D54" s="14" t="str">
        <f aca="false">IFERROR(IF(C54="","",INDEX(Suppliers!$B$5:$B$504,MATCH(C54,Suppliers!$A$5:$A$504,0))),"")</f>
        <v/>
      </c>
      <c r="E54" s="10" t="s">
        <v>24</v>
      </c>
      <c r="F54" s="12"/>
      <c r="G54" s="12"/>
      <c r="H54" s="10"/>
      <c r="I54" s="10"/>
      <c r="J54" s="9" t="n">
        <f aca="false">IFERROR(SUMIFS(PurchaseOrderLines!$H$5:$H$504,PurchaseOrderLines!$B$5:$B$504,A54),"")</f>
        <v>0</v>
      </c>
      <c r="K54" s="9" t="n">
        <f aca="false">IFERROR(SUMIFS(PurchaseOrderLines!$I$5:$I$504,PurchaseOrderLines!$B$5:$B$504,A54),"")</f>
        <v>0</v>
      </c>
      <c r="L54" s="9" t="n">
        <f aca="false">IFERROR(J54+K54,"")</f>
        <v>0</v>
      </c>
      <c r="M54" s="9" t="n">
        <f aca="false">IFERROR(SUMIFS(Payments!$E$5:$E$504,Payments!$D$5:$D$504,A54,Payments!$C$5:$C$504,"Out"),"")</f>
        <v>0</v>
      </c>
      <c r="N54" s="9" t="n">
        <f aca="false">IFERROR(L54-M54,"")</f>
        <v>0</v>
      </c>
    </row>
    <row r="55" customFormat="false" ht="15" hidden="false" customHeight="false" outlineLevel="0" collapsed="false">
      <c r="A55" s="10"/>
      <c r="B55" s="12"/>
      <c r="C55" s="10"/>
      <c r="D55" s="14" t="str">
        <f aca="false">IFERROR(IF(C55="","",INDEX(Suppliers!$B$5:$B$504,MATCH(C55,Suppliers!$A$5:$A$504,0))),"")</f>
        <v/>
      </c>
      <c r="E55" s="10" t="s">
        <v>24</v>
      </c>
      <c r="F55" s="12"/>
      <c r="G55" s="12"/>
      <c r="H55" s="10"/>
      <c r="I55" s="10"/>
      <c r="J55" s="9" t="n">
        <f aca="false">IFERROR(SUMIFS(PurchaseOrderLines!$H$5:$H$504,PurchaseOrderLines!$B$5:$B$504,A55),"")</f>
        <v>0</v>
      </c>
      <c r="K55" s="9" t="n">
        <f aca="false">IFERROR(SUMIFS(PurchaseOrderLines!$I$5:$I$504,PurchaseOrderLines!$B$5:$B$504,A55),"")</f>
        <v>0</v>
      </c>
      <c r="L55" s="9" t="n">
        <f aca="false">IFERROR(J55+K55,"")</f>
        <v>0</v>
      </c>
      <c r="M55" s="9" t="n">
        <f aca="false">IFERROR(SUMIFS(Payments!$E$5:$E$504,Payments!$D$5:$D$504,A55,Payments!$C$5:$C$504,"Out"),"")</f>
        <v>0</v>
      </c>
      <c r="N55" s="9" t="n">
        <f aca="false">IFERROR(L55-M55,"")</f>
        <v>0</v>
      </c>
    </row>
    <row r="56" customFormat="false" ht="15" hidden="false" customHeight="false" outlineLevel="0" collapsed="false">
      <c r="A56" s="10"/>
      <c r="B56" s="12"/>
      <c r="C56" s="10"/>
      <c r="D56" s="14" t="str">
        <f aca="false">IFERROR(IF(C56="","",INDEX(Suppliers!$B$5:$B$504,MATCH(C56,Suppliers!$A$5:$A$504,0))),"")</f>
        <v/>
      </c>
      <c r="E56" s="10" t="s">
        <v>24</v>
      </c>
      <c r="F56" s="12"/>
      <c r="G56" s="12"/>
      <c r="H56" s="10"/>
      <c r="I56" s="10"/>
      <c r="J56" s="9" t="n">
        <f aca="false">IFERROR(SUMIFS(PurchaseOrderLines!$H$5:$H$504,PurchaseOrderLines!$B$5:$B$504,A56),"")</f>
        <v>0</v>
      </c>
      <c r="K56" s="9" t="n">
        <f aca="false">IFERROR(SUMIFS(PurchaseOrderLines!$I$5:$I$504,PurchaseOrderLines!$B$5:$B$504,A56),"")</f>
        <v>0</v>
      </c>
      <c r="L56" s="9" t="n">
        <f aca="false">IFERROR(J56+K56,"")</f>
        <v>0</v>
      </c>
      <c r="M56" s="9" t="n">
        <f aca="false">IFERROR(SUMIFS(Payments!$E$5:$E$504,Payments!$D$5:$D$504,A56,Payments!$C$5:$C$504,"Out"),"")</f>
        <v>0</v>
      </c>
      <c r="N56" s="9" t="n">
        <f aca="false">IFERROR(L56-M56,"")</f>
        <v>0</v>
      </c>
    </row>
    <row r="57" customFormat="false" ht="15" hidden="false" customHeight="false" outlineLevel="0" collapsed="false">
      <c r="A57" s="10"/>
      <c r="B57" s="12"/>
      <c r="C57" s="10"/>
      <c r="D57" s="14" t="str">
        <f aca="false">IFERROR(IF(C57="","",INDEX(Suppliers!$B$5:$B$504,MATCH(C57,Suppliers!$A$5:$A$504,0))),"")</f>
        <v/>
      </c>
      <c r="E57" s="10" t="s">
        <v>24</v>
      </c>
      <c r="F57" s="12"/>
      <c r="G57" s="12"/>
      <c r="H57" s="10"/>
      <c r="I57" s="10"/>
      <c r="J57" s="9" t="n">
        <f aca="false">IFERROR(SUMIFS(PurchaseOrderLines!$H$5:$H$504,PurchaseOrderLines!$B$5:$B$504,A57),"")</f>
        <v>0</v>
      </c>
      <c r="K57" s="9" t="n">
        <f aca="false">IFERROR(SUMIFS(PurchaseOrderLines!$I$5:$I$504,PurchaseOrderLines!$B$5:$B$504,A57),"")</f>
        <v>0</v>
      </c>
      <c r="L57" s="9" t="n">
        <f aca="false">IFERROR(J57+K57,"")</f>
        <v>0</v>
      </c>
      <c r="M57" s="9" t="n">
        <f aca="false">IFERROR(SUMIFS(Payments!$E$5:$E$504,Payments!$D$5:$D$504,A57,Payments!$C$5:$C$504,"Out"),"")</f>
        <v>0</v>
      </c>
      <c r="N57" s="9" t="n">
        <f aca="false">IFERROR(L57-M57,"")</f>
        <v>0</v>
      </c>
    </row>
    <row r="58" customFormat="false" ht="15" hidden="false" customHeight="false" outlineLevel="0" collapsed="false">
      <c r="A58" s="10"/>
      <c r="B58" s="12"/>
      <c r="C58" s="10"/>
      <c r="D58" s="14" t="str">
        <f aca="false">IFERROR(IF(C58="","",INDEX(Suppliers!$B$5:$B$504,MATCH(C58,Suppliers!$A$5:$A$504,0))),"")</f>
        <v/>
      </c>
      <c r="E58" s="10" t="s">
        <v>24</v>
      </c>
      <c r="F58" s="12"/>
      <c r="G58" s="12"/>
      <c r="H58" s="10"/>
      <c r="I58" s="10"/>
      <c r="J58" s="9" t="n">
        <f aca="false">IFERROR(SUMIFS(PurchaseOrderLines!$H$5:$H$504,PurchaseOrderLines!$B$5:$B$504,A58),"")</f>
        <v>0</v>
      </c>
      <c r="K58" s="9" t="n">
        <f aca="false">IFERROR(SUMIFS(PurchaseOrderLines!$I$5:$I$504,PurchaseOrderLines!$B$5:$B$504,A58),"")</f>
        <v>0</v>
      </c>
      <c r="L58" s="9" t="n">
        <f aca="false">IFERROR(J58+K58,"")</f>
        <v>0</v>
      </c>
      <c r="M58" s="9" t="n">
        <f aca="false">IFERROR(SUMIFS(Payments!$E$5:$E$504,Payments!$D$5:$D$504,A58,Payments!$C$5:$C$504,"Out"),"")</f>
        <v>0</v>
      </c>
      <c r="N58" s="9" t="n">
        <f aca="false">IFERROR(L58-M58,"")</f>
        <v>0</v>
      </c>
    </row>
    <row r="59" customFormat="false" ht="15" hidden="false" customHeight="false" outlineLevel="0" collapsed="false">
      <c r="A59" s="10"/>
      <c r="B59" s="12"/>
      <c r="C59" s="10"/>
      <c r="D59" s="14" t="str">
        <f aca="false">IFERROR(IF(C59="","",INDEX(Suppliers!$B$5:$B$504,MATCH(C59,Suppliers!$A$5:$A$504,0))),"")</f>
        <v/>
      </c>
      <c r="E59" s="10" t="s">
        <v>24</v>
      </c>
      <c r="F59" s="12"/>
      <c r="G59" s="12"/>
      <c r="H59" s="10"/>
      <c r="I59" s="10"/>
      <c r="J59" s="9" t="n">
        <f aca="false">IFERROR(SUMIFS(PurchaseOrderLines!$H$5:$H$504,PurchaseOrderLines!$B$5:$B$504,A59),"")</f>
        <v>0</v>
      </c>
      <c r="K59" s="9" t="n">
        <f aca="false">IFERROR(SUMIFS(PurchaseOrderLines!$I$5:$I$504,PurchaseOrderLines!$B$5:$B$504,A59),"")</f>
        <v>0</v>
      </c>
      <c r="L59" s="9" t="n">
        <f aca="false">IFERROR(J59+K59,"")</f>
        <v>0</v>
      </c>
      <c r="M59" s="9" t="n">
        <f aca="false">IFERROR(SUMIFS(Payments!$E$5:$E$504,Payments!$D$5:$D$504,A59,Payments!$C$5:$C$504,"Out"),"")</f>
        <v>0</v>
      </c>
      <c r="N59" s="9" t="n">
        <f aca="false">IFERROR(L59-M59,"")</f>
        <v>0</v>
      </c>
    </row>
    <row r="60" customFormat="false" ht="15" hidden="false" customHeight="false" outlineLevel="0" collapsed="false">
      <c r="A60" s="10"/>
      <c r="B60" s="12"/>
      <c r="C60" s="10"/>
      <c r="D60" s="14" t="str">
        <f aca="false">IFERROR(IF(C60="","",INDEX(Suppliers!$B$5:$B$504,MATCH(C60,Suppliers!$A$5:$A$504,0))),"")</f>
        <v/>
      </c>
      <c r="E60" s="10" t="s">
        <v>24</v>
      </c>
      <c r="F60" s="12"/>
      <c r="G60" s="12"/>
      <c r="H60" s="10"/>
      <c r="I60" s="10"/>
      <c r="J60" s="9" t="n">
        <f aca="false">IFERROR(SUMIFS(PurchaseOrderLines!$H$5:$H$504,PurchaseOrderLines!$B$5:$B$504,A60),"")</f>
        <v>0</v>
      </c>
      <c r="K60" s="9" t="n">
        <f aca="false">IFERROR(SUMIFS(PurchaseOrderLines!$I$5:$I$504,PurchaseOrderLines!$B$5:$B$504,A60),"")</f>
        <v>0</v>
      </c>
      <c r="L60" s="9" t="n">
        <f aca="false">IFERROR(J60+K60,"")</f>
        <v>0</v>
      </c>
      <c r="M60" s="9" t="n">
        <f aca="false">IFERROR(SUMIFS(Payments!$E$5:$E$504,Payments!$D$5:$D$504,A60,Payments!$C$5:$C$504,"Out"),"")</f>
        <v>0</v>
      </c>
      <c r="N60" s="9" t="n">
        <f aca="false">IFERROR(L60-M60,"")</f>
        <v>0</v>
      </c>
    </row>
    <row r="61" customFormat="false" ht="15" hidden="false" customHeight="false" outlineLevel="0" collapsed="false">
      <c r="A61" s="10"/>
      <c r="B61" s="12"/>
      <c r="C61" s="10"/>
      <c r="D61" s="14" t="str">
        <f aca="false">IFERROR(IF(C61="","",INDEX(Suppliers!$B$5:$B$504,MATCH(C61,Suppliers!$A$5:$A$504,0))),"")</f>
        <v/>
      </c>
      <c r="E61" s="10" t="s">
        <v>24</v>
      </c>
      <c r="F61" s="12"/>
      <c r="G61" s="12"/>
      <c r="H61" s="10"/>
      <c r="I61" s="10"/>
      <c r="J61" s="9" t="n">
        <f aca="false">IFERROR(SUMIFS(PurchaseOrderLines!$H$5:$H$504,PurchaseOrderLines!$B$5:$B$504,A61),"")</f>
        <v>0</v>
      </c>
      <c r="K61" s="9" t="n">
        <f aca="false">IFERROR(SUMIFS(PurchaseOrderLines!$I$5:$I$504,PurchaseOrderLines!$B$5:$B$504,A61),"")</f>
        <v>0</v>
      </c>
      <c r="L61" s="9" t="n">
        <f aca="false">IFERROR(J61+K61,"")</f>
        <v>0</v>
      </c>
      <c r="M61" s="9" t="n">
        <f aca="false">IFERROR(SUMIFS(Payments!$E$5:$E$504,Payments!$D$5:$D$504,A61,Payments!$C$5:$C$504,"Out"),"")</f>
        <v>0</v>
      </c>
      <c r="N61" s="9" t="n">
        <f aca="false">IFERROR(L61-M61,"")</f>
        <v>0</v>
      </c>
    </row>
    <row r="62" customFormat="false" ht="15" hidden="false" customHeight="false" outlineLevel="0" collapsed="false">
      <c r="A62" s="10"/>
      <c r="B62" s="12"/>
      <c r="C62" s="10"/>
      <c r="D62" s="14" t="str">
        <f aca="false">IFERROR(IF(C62="","",INDEX(Suppliers!$B$5:$B$504,MATCH(C62,Suppliers!$A$5:$A$504,0))),"")</f>
        <v/>
      </c>
      <c r="E62" s="10" t="s">
        <v>24</v>
      </c>
      <c r="F62" s="12"/>
      <c r="G62" s="12"/>
      <c r="H62" s="10"/>
      <c r="I62" s="10"/>
      <c r="J62" s="9" t="n">
        <f aca="false">IFERROR(SUMIFS(PurchaseOrderLines!$H$5:$H$504,PurchaseOrderLines!$B$5:$B$504,A62),"")</f>
        <v>0</v>
      </c>
      <c r="K62" s="9" t="n">
        <f aca="false">IFERROR(SUMIFS(PurchaseOrderLines!$I$5:$I$504,PurchaseOrderLines!$B$5:$B$504,A62),"")</f>
        <v>0</v>
      </c>
      <c r="L62" s="9" t="n">
        <f aca="false">IFERROR(J62+K62,"")</f>
        <v>0</v>
      </c>
      <c r="M62" s="9" t="n">
        <f aca="false">IFERROR(SUMIFS(Payments!$E$5:$E$504,Payments!$D$5:$D$504,A62,Payments!$C$5:$C$504,"Out"),"")</f>
        <v>0</v>
      </c>
      <c r="N62" s="9" t="n">
        <f aca="false">IFERROR(L62-M62,"")</f>
        <v>0</v>
      </c>
    </row>
    <row r="63" customFormat="false" ht="15" hidden="false" customHeight="false" outlineLevel="0" collapsed="false">
      <c r="A63" s="10"/>
      <c r="B63" s="12"/>
      <c r="C63" s="10"/>
      <c r="D63" s="14" t="str">
        <f aca="false">IFERROR(IF(C63="","",INDEX(Suppliers!$B$5:$B$504,MATCH(C63,Suppliers!$A$5:$A$504,0))),"")</f>
        <v/>
      </c>
      <c r="E63" s="10" t="s">
        <v>24</v>
      </c>
      <c r="F63" s="12"/>
      <c r="G63" s="12"/>
      <c r="H63" s="10"/>
      <c r="I63" s="10"/>
      <c r="J63" s="9" t="n">
        <f aca="false">IFERROR(SUMIFS(PurchaseOrderLines!$H$5:$H$504,PurchaseOrderLines!$B$5:$B$504,A63),"")</f>
        <v>0</v>
      </c>
      <c r="K63" s="9" t="n">
        <f aca="false">IFERROR(SUMIFS(PurchaseOrderLines!$I$5:$I$504,PurchaseOrderLines!$B$5:$B$504,A63),"")</f>
        <v>0</v>
      </c>
      <c r="L63" s="9" t="n">
        <f aca="false">IFERROR(J63+K63,"")</f>
        <v>0</v>
      </c>
      <c r="M63" s="9" t="n">
        <f aca="false">IFERROR(SUMIFS(Payments!$E$5:$E$504,Payments!$D$5:$D$504,A63,Payments!$C$5:$C$504,"Out"),"")</f>
        <v>0</v>
      </c>
      <c r="N63" s="9" t="n">
        <f aca="false">IFERROR(L63-M63,"")</f>
        <v>0</v>
      </c>
    </row>
    <row r="64" customFormat="false" ht="15" hidden="false" customHeight="false" outlineLevel="0" collapsed="false">
      <c r="A64" s="10"/>
      <c r="B64" s="12"/>
      <c r="C64" s="10"/>
      <c r="D64" s="14" t="str">
        <f aca="false">IFERROR(IF(C64="","",INDEX(Suppliers!$B$5:$B$504,MATCH(C64,Suppliers!$A$5:$A$504,0))),"")</f>
        <v/>
      </c>
      <c r="E64" s="10" t="s">
        <v>24</v>
      </c>
      <c r="F64" s="12"/>
      <c r="G64" s="12"/>
      <c r="H64" s="10"/>
      <c r="I64" s="10"/>
      <c r="J64" s="9" t="n">
        <f aca="false">IFERROR(SUMIFS(PurchaseOrderLines!$H$5:$H$504,PurchaseOrderLines!$B$5:$B$504,A64),"")</f>
        <v>0</v>
      </c>
      <c r="K64" s="9" t="n">
        <f aca="false">IFERROR(SUMIFS(PurchaseOrderLines!$I$5:$I$504,PurchaseOrderLines!$B$5:$B$504,A64),"")</f>
        <v>0</v>
      </c>
      <c r="L64" s="9" t="n">
        <f aca="false">IFERROR(J64+K64,"")</f>
        <v>0</v>
      </c>
      <c r="M64" s="9" t="n">
        <f aca="false">IFERROR(SUMIFS(Payments!$E$5:$E$504,Payments!$D$5:$D$504,A64,Payments!$C$5:$C$504,"Out"),"")</f>
        <v>0</v>
      </c>
      <c r="N64" s="9" t="n">
        <f aca="false">IFERROR(L64-M64,"")</f>
        <v>0</v>
      </c>
    </row>
    <row r="65" customFormat="false" ht="15" hidden="false" customHeight="false" outlineLevel="0" collapsed="false">
      <c r="A65" s="10"/>
      <c r="B65" s="12"/>
      <c r="C65" s="10"/>
      <c r="D65" s="14" t="str">
        <f aca="false">IFERROR(IF(C65="","",INDEX(Suppliers!$B$5:$B$504,MATCH(C65,Suppliers!$A$5:$A$504,0))),"")</f>
        <v/>
      </c>
      <c r="E65" s="10" t="s">
        <v>24</v>
      </c>
      <c r="F65" s="12"/>
      <c r="G65" s="12"/>
      <c r="H65" s="10"/>
      <c r="I65" s="10"/>
      <c r="J65" s="9" t="n">
        <f aca="false">IFERROR(SUMIFS(PurchaseOrderLines!$H$5:$H$504,PurchaseOrderLines!$B$5:$B$504,A65),"")</f>
        <v>0</v>
      </c>
      <c r="K65" s="9" t="n">
        <f aca="false">IFERROR(SUMIFS(PurchaseOrderLines!$I$5:$I$504,PurchaseOrderLines!$B$5:$B$504,A65),"")</f>
        <v>0</v>
      </c>
      <c r="L65" s="9" t="n">
        <f aca="false">IFERROR(J65+K65,"")</f>
        <v>0</v>
      </c>
      <c r="M65" s="9" t="n">
        <f aca="false">IFERROR(SUMIFS(Payments!$E$5:$E$504,Payments!$D$5:$D$504,A65,Payments!$C$5:$C$504,"Out"),"")</f>
        <v>0</v>
      </c>
      <c r="N65" s="9" t="n">
        <f aca="false">IFERROR(L65-M65,"")</f>
        <v>0</v>
      </c>
    </row>
    <row r="66" customFormat="false" ht="15" hidden="false" customHeight="false" outlineLevel="0" collapsed="false">
      <c r="A66" s="10"/>
      <c r="B66" s="12"/>
      <c r="C66" s="10"/>
      <c r="D66" s="14" t="str">
        <f aca="false">IFERROR(IF(C66="","",INDEX(Suppliers!$B$5:$B$504,MATCH(C66,Suppliers!$A$5:$A$504,0))),"")</f>
        <v/>
      </c>
      <c r="E66" s="10" t="s">
        <v>24</v>
      </c>
      <c r="F66" s="12"/>
      <c r="G66" s="12"/>
      <c r="H66" s="10"/>
      <c r="I66" s="10"/>
      <c r="J66" s="9" t="n">
        <f aca="false">IFERROR(SUMIFS(PurchaseOrderLines!$H$5:$H$504,PurchaseOrderLines!$B$5:$B$504,A66),"")</f>
        <v>0</v>
      </c>
      <c r="K66" s="9" t="n">
        <f aca="false">IFERROR(SUMIFS(PurchaseOrderLines!$I$5:$I$504,PurchaseOrderLines!$B$5:$B$504,A66),"")</f>
        <v>0</v>
      </c>
      <c r="L66" s="9" t="n">
        <f aca="false">IFERROR(J66+K66,"")</f>
        <v>0</v>
      </c>
      <c r="M66" s="9" t="n">
        <f aca="false">IFERROR(SUMIFS(Payments!$E$5:$E$504,Payments!$D$5:$D$504,A66,Payments!$C$5:$C$504,"Out"),"")</f>
        <v>0</v>
      </c>
      <c r="N66" s="9" t="n">
        <f aca="false">IFERROR(L66-M66,"")</f>
        <v>0</v>
      </c>
    </row>
    <row r="67" customFormat="false" ht="15" hidden="false" customHeight="false" outlineLevel="0" collapsed="false">
      <c r="A67" s="10"/>
      <c r="B67" s="12"/>
      <c r="C67" s="10"/>
      <c r="D67" s="14" t="str">
        <f aca="false">IFERROR(IF(C67="","",INDEX(Suppliers!$B$5:$B$504,MATCH(C67,Suppliers!$A$5:$A$504,0))),"")</f>
        <v/>
      </c>
      <c r="E67" s="10" t="s">
        <v>24</v>
      </c>
      <c r="F67" s="12"/>
      <c r="G67" s="12"/>
      <c r="H67" s="10"/>
      <c r="I67" s="10"/>
      <c r="J67" s="9" t="n">
        <f aca="false">IFERROR(SUMIFS(PurchaseOrderLines!$H$5:$H$504,PurchaseOrderLines!$B$5:$B$504,A67),"")</f>
        <v>0</v>
      </c>
      <c r="K67" s="9" t="n">
        <f aca="false">IFERROR(SUMIFS(PurchaseOrderLines!$I$5:$I$504,PurchaseOrderLines!$B$5:$B$504,A67),"")</f>
        <v>0</v>
      </c>
      <c r="L67" s="9" t="n">
        <f aca="false">IFERROR(J67+K67,"")</f>
        <v>0</v>
      </c>
      <c r="M67" s="9" t="n">
        <f aca="false">IFERROR(SUMIFS(Payments!$E$5:$E$504,Payments!$D$5:$D$504,A67,Payments!$C$5:$C$504,"Out"),"")</f>
        <v>0</v>
      </c>
      <c r="N67" s="9" t="n">
        <f aca="false">IFERROR(L67-M67,"")</f>
        <v>0</v>
      </c>
    </row>
    <row r="68" customFormat="false" ht="15" hidden="false" customHeight="false" outlineLevel="0" collapsed="false">
      <c r="A68" s="10"/>
      <c r="B68" s="12"/>
      <c r="C68" s="10"/>
      <c r="D68" s="14" t="str">
        <f aca="false">IFERROR(IF(C68="","",INDEX(Suppliers!$B$5:$B$504,MATCH(C68,Suppliers!$A$5:$A$504,0))),"")</f>
        <v/>
      </c>
      <c r="E68" s="10" t="s">
        <v>24</v>
      </c>
      <c r="F68" s="12"/>
      <c r="G68" s="12"/>
      <c r="H68" s="10"/>
      <c r="I68" s="10"/>
      <c r="J68" s="9" t="n">
        <f aca="false">IFERROR(SUMIFS(PurchaseOrderLines!$H$5:$H$504,PurchaseOrderLines!$B$5:$B$504,A68),"")</f>
        <v>0</v>
      </c>
      <c r="K68" s="9" t="n">
        <f aca="false">IFERROR(SUMIFS(PurchaseOrderLines!$I$5:$I$504,PurchaseOrderLines!$B$5:$B$504,A68),"")</f>
        <v>0</v>
      </c>
      <c r="L68" s="9" t="n">
        <f aca="false">IFERROR(J68+K68,"")</f>
        <v>0</v>
      </c>
      <c r="M68" s="9" t="n">
        <f aca="false">IFERROR(SUMIFS(Payments!$E$5:$E$504,Payments!$D$5:$D$504,A68,Payments!$C$5:$C$504,"Out"),"")</f>
        <v>0</v>
      </c>
      <c r="N68" s="9" t="n">
        <f aca="false">IFERROR(L68-M68,"")</f>
        <v>0</v>
      </c>
    </row>
    <row r="69" customFormat="false" ht="15" hidden="false" customHeight="false" outlineLevel="0" collapsed="false">
      <c r="A69" s="10"/>
      <c r="B69" s="12"/>
      <c r="C69" s="10"/>
      <c r="D69" s="14" t="str">
        <f aca="false">IFERROR(IF(C69="","",INDEX(Suppliers!$B$5:$B$504,MATCH(C69,Suppliers!$A$5:$A$504,0))),"")</f>
        <v/>
      </c>
      <c r="E69" s="10" t="s">
        <v>24</v>
      </c>
      <c r="F69" s="12"/>
      <c r="G69" s="12"/>
      <c r="H69" s="10"/>
      <c r="I69" s="10"/>
      <c r="J69" s="9" t="n">
        <f aca="false">IFERROR(SUMIFS(PurchaseOrderLines!$H$5:$H$504,PurchaseOrderLines!$B$5:$B$504,A69),"")</f>
        <v>0</v>
      </c>
      <c r="K69" s="9" t="n">
        <f aca="false">IFERROR(SUMIFS(PurchaseOrderLines!$I$5:$I$504,PurchaseOrderLines!$B$5:$B$504,A69),"")</f>
        <v>0</v>
      </c>
      <c r="L69" s="9" t="n">
        <f aca="false">IFERROR(J69+K69,"")</f>
        <v>0</v>
      </c>
      <c r="M69" s="9" t="n">
        <f aca="false">IFERROR(SUMIFS(Payments!$E$5:$E$504,Payments!$D$5:$D$504,A69,Payments!$C$5:$C$504,"Out"),"")</f>
        <v>0</v>
      </c>
      <c r="N69" s="9" t="n">
        <f aca="false">IFERROR(L69-M69,"")</f>
        <v>0</v>
      </c>
    </row>
    <row r="70" customFormat="false" ht="15" hidden="false" customHeight="false" outlineLevel="0" collapsed="false">
      <c r="A70" s="10"/>
      <c r="B70" s="12"/>
      <c r="C70" s="10"/>
      <c r="D70" s="14" t="str">
        <f aca="false">IFERROR(IF(C70="","",INDEX(Suppliers!$B$5:$B$504,MATCH(C70,Suppliers!$A$5:$A$504,0))),"")</f>
        <v/>
      </c>
      <c r="E70" s="10" t="s">
        <v>24</v>
      </c>
      <c r="F70" s="12"/>
      <c r="G70" s="12"/>
      <c r="H70" s="10"/>
      <c r="I70" s="10"/>
      <c r="J70" s="9" t="n">
        <f aca="false">IFERROR(SUMIFS(PurchaseOrderLines!$H$5:$H$504,PurchaseOrderLines!$B$5:$B$504,A70),"")</f>
        <v>0</v>
      </c>
      <c r="K70" s="9" t="n">
        <f aca="false">IFERROR(SUMIFS(PurchaseOrderLines!$I$5:$I$504,PurchaseOrderLines!$B$5:$B$504,A70),"")</f>
        <v>0</v>
      </c>
      <c r="L70" s="9" t="n">
        <f aca="false">IFERROR(J70+K70,"")</f>
        <v>0</v>
      </c>
      <c r="M70" s="9" t="n">
        <f aca="false">IFERROR(SUMIFS(Payments!$E$5:$E$504,Payments!$D$5:$D$504,A70,Payments!$C$5:$C$504,"Out"),"")</f>
        <v>0</v>
      </c>
      <c r="N70" s="9" t="n">
        <f aca="false">IFERROR(L70-M70,"")</f>
        <v>0</v>
      </c>
    </row>
    <row r="71" customFormat="false" ht="15" hidden="false" customHeight="false" outlineLevel="0" collapsed="false">
      <c r="A71" s="10"/>
      <c r="B71" s="12"/>
      <c r="C71" s="10"/>
      <c r="D71" s="14" t="str">
        <f aca="false">IFERROR(IF(C71="","",INDEX(Suppliers!$B$5:$B$504,MATCH(C71,Suppliers!$A$5:$A$504,0))),"")</f>
        <v/>
      </c>
      <c r="E71" s="10" t="s">
        <v>24</v>
      </c>
      <c r="F71" s="12"/>
      <c r="G71" s="12"/>
      <c r="H71" s="10"/>
      <c r="I71" s="10"/>
      <c r="J71" s="9" t="n">
        <f aca="false">IFERROR(SUMIFS(PurchaseOrderLines!$H$5:$H$504,PurchaseOrderLines!$B$5:$B$504,A71),"")</f>
        <v>0</v>
      </c>
      <c r="K71" s="9" t="n">
        <f aca="false">IFERROR(SUMIFS(PurchaseOrderLines!$I$5:$I$504,PurchaseOrderLines!$B$5:$B$504,A71),"")</f>
        <v>0</v>
      </c>
      <c r="L71" s="9" t="n">
        <f aca="false">IFERROR(J71+K71,"")</f>
        <v>0</v>
      </c>
      <c r="M71" s="9" t="n">
        <f aca="false">IFERROR(SUMIFS(Payments!$E$5:$E$504,Payments!$D$5:$D$504,A71,Payments!$C$5:$C$504,"Out"),"")</f>
        <v>0</v>
      </c>
      <c r="N71" s="9" t="n">
        <f aca="false">IFERROR(L71-M71,"")</f>
        <v>0</v>
      </c>
    </row>
    <row r="72" customFormat="false" ht="15" hidden="false" customHeight="false" outlineLevel="0" collapsed="false">
      <c r="A72" s="10"/>
      <c r="B72" s="12"/>
      <c r="C72" s="10"/>
      <c r="D72" s="14" t="str">
        <f aca="false">IFERROR(IF(C72="","",INDEX(Suppliers!$B$5:$B$504,MATCH(C72,Suppliers!$A$5:$A$504,0))),"")</f>
        <v/>
      </c>
      <c r="E72" s="10" t="s">
        <v>24</v>
      </c>
      <c r="F72" s="12"/>
      <c r="G72" s="12"/>
      <c r="H72" s="10"/>
      <c r="I72" s="10"/>
      <c r="J72" s="9" t="n">
        <f aca="false">IFERROR(SUMIFS(PurchaseOrderLines!$H$5:$H$504,PurchaseOrderLines!$B$5:$B$504,A72),"")</f>
        <v>0</v>
      </c>
      <c r="K72" s="9" t="n">
        <f aca="false">IFERROR(SUMIFS(PurchaseOrderLines!$I$5:$I$504,PurchaseOrderLines!$B$5:$B$504,A72),"")</f>
        <v>0</v>
      </c>
      <c r="L72" s="9" t="n">
        <f aca="false">IFERROR(J72+K72,"")</f>
        <v>0</v>
      </c>
      <c r="M72" s="9" t="n">
        <f aca="false">IFERROR(SUMIFS(Payments!$E$5:$E$504,Payments!$D$5:$D$504,A72,Payments!$C$5:$C$504,"Out"),"")</f>
        <v>0</v>
      </c>
      <c r="N72" s="9" t="n">
        <f aca="false">IFERROR(L72-M72,"")</f>
        <v>0</v>
      </c>
    </row>
    <row r="73" customFormat="false" ht="15" hidden="false" customHeight="false" outlineLevel="0" collapsed="false">
      <c r="A73" s="10"/>
      <c r="B73" s="12"/>
      <c r="C73" s="10"/>
      <c r="D73" s="14" t="str">
        <f aca="false">IFERROR(IF(C73="","",INDEX(Suppliers!$B$5:$B$504,MATCH(C73,Suppliers!$A$5:$A$504,0))),"")</f>
        <v/>
      </c>
      <c r="E73" s="10" t="s">
        <v>24</v>
      </c>
      <c r="F73" s="12"/>
      <c r="G73" s="12"/>
      <c r="H73" s="10"/>
      <c r="I73" s="10"/>
      <c r="J73" s="9" t="n">
        <f aca="false">IFERROR(SUMIFS(PurchaseOrderLines!$H$5:$H$504,PurchaseOrderLines!$B$5:$B$504,A73),"")</f>
        <v>0</v>
      </c>
      <c r="K73" s="9" t="n">
        <f aca="false">IFERROR(SUMIFS(PurchaseOrderLines!$I$5:$I$504,PurchaseOrderLines!$B$5:$B$504,A73),"")</f>
        <v>0</v>
      </c>
      <c r="L73" s="9" t="n">
        <f aca="false">IFERROR(J73+K73,"")</f>
        <v>0</v>
      </c>
      <c r="M73" s="9" t="n">
        <f aca="false">IFERROR(SUMIFS(Payments!$E$5:$E$504,Payments!$D$5:$D$504,A73,Payments!$C$5:$C$504,"Out"),"")</f>
        <v>0</v>
      </c>
      <c r="N73" s="9" t="n">
        <f aca="false">IFERROR(L73-M73,"")</f>
        <v>0</v>
      </c>
    </row>
    <row r="74" customFormat="false" ht="15" hidden="false" customHeight="false" outlineLevel="0" collapsed="false">
      <c r="A74" s="10"/>
      <c r="B74" s="12"/>
      <c r="C74" s="10"/>
      <c r="D74" s="14" t="str">
        <f aca="false">IFERROR(IF(C74="","",INDEX(Suppliers!$B$5:$B$504,MATCH(C74,Suppliers!$A$5:$A$504,0))),"")</f>
        <v/>
      </c>
      <c r="E74" s="10" t="s">
        <v>24</v>
      </c>
      <c r="F74" s="12"/>
      <c r="G74" s="12"/>
      <c r="H74" s="10"/>
      <c r="I74" s="10"/>
      <c r="J74" s="9" t="n">
        <f aca="false">IFERROR(SUMIFS(PurchaseOrderLines!$H$5:$H$504,PurchaseOrderLines!$B$5:$B$504,A74),"")</f>
        <v>0</v>
      </c>
      <c r="K74" s="9" t="n">
        <f aca="false">IFERROR(SUMIFS(PurchaseOrderLines!$I$5:$I$504,PurchaseOrderLines!$B$5:$B$504,A74),"")</f>
        <v>0</v>
      </c>
      <c r="L74" s="9" t="n">
        <f aca="false">IFERROR(J74+K74,"")</f>
        <v>0</v>
      </c>
      <c r="M74" s="9" t="n">
        <f aca="false">IFERROR(SUMIFS(Payments!$E$5:$E$504,Payments!$D$5:$D$504,A74,Payments!$C$5:$C$504,"Out"),"")</f>
        <v>0</v>
      </c>
      <c r="N74" s="9" t="n">
        <f aca="false">IFERROR(L74-M74,"")</f>
        <v>0</v>
      </c>
    </row>
    <row r="75" customFormat="false" ht="15" hidden="false" customHeight="false" outlineLevel="0" collapsed="false">
      <c r="A75" s="10"/>
      <c r="B75" s="12"/>
      <c r="C75" s="10"/>
      <c r="D75" s="14" t="str">
        <f aca="false">IFERROR(IF(C75="","",INDEX(Suppliers!$B$5:$B$504,MATCH(C75,Suppliers!$A$5:$A$504,0))),"")</f>
        <v/>
      </c>
      <c r="E75" s="10" t="s">
        <v>24</v>
      </c>
      <c r="F75" s="12"/>
      <c r="G75" s="12"/>
      <c r="H75" s="10"/>
      <c r="I75" s="10"/>
      <c r="J75" s="9" t="n">
        <f aca="false">IFERROR(SUMIFS(PurchaseOrderLines!$H$5:$H$504,PurchaseOrderLines!$B$5:$B$504,A75),"")</f>
        <v>0</v>
      </c>
      <c r="K75" s="9" t="n">
        <f aca="false">IFERROR(SUMIFS(PurchaseOrderLines!$I$5:$I$504,PurchaseOrderLines!$B$5:$B$504,A75),"")</f>
        <v>0</v>
      </c>
      <c r="L75" s="9" t="n">
        <f aca="false">IFERROR(J75+K75,"")</f>
        <v>0</v>
      </c>
      <c r="M75" s="9" t="n">
        <f aca="false">IFERROR(SUMIFS(Payments!$E$5:$E$504,Payments!$D$5:$D$504,A75,Payments!$C$5:$C$504,"Out"),"")</f>
        <v>0</v>
      </c>
      <c r="N75" s="9" t="n">
        <f aca="false">IFERROR(L75-M75,"")</f>
        <v>0</v>
      </c>
    </row>
    <row r="76" customFormat="false" ht="15" hidden="false" customHeight="false" outlineLevel="0" collapsed="false">
      <c r="A76" s="10"/>
      <c r="B76" s="12"/>
      <c r="C76" s="10"/>
      <c r="D76" s="14" t="str">
        <f aca="false">IFERROR(IF(C76="","",INDEX(Suppliers!$B$5:$B$504,MATCH(C76,Suppliers!$A$5:$A$504,0))),"")</f>
        <v/>
      </c>
      <c r="E76" s="10" t="s">
        <v>24</v>
      </c>
      <c r="F76" s="12"/>
      <c r="G76" s="12"/>
      <c r="H76" s="10"/>
      <c r="I76" s="10"/>
      <c r="J76" s="9" t="n">
        <f aca="false">IFERROR(SUMIFS(PurchaseOrderLines!$H$5:$H$504,PurchaseOrderLines!$B$5:$B$504,A76),"")</f>
        <v>0</v>
      </c>
      <c r="K76" s="9" t="n">
        <f aca="false">IFERROR(SUMIFS(PurchaseOrderLines!$I$5:$I$504,PurchaseOrderLines!$B$5:$B$504,A76),"")</f>
        <v>0</v>
      </c>
      <c r="L76" s="9" t="n">
        <f aca="false">IFERROR(J76+K76,"")</f>
        <v>0</v>
      </c>
      <c r="M76" s="9" t="n">
        <f aca="false">IFERROR(SUMIFS(Payments!$E$5:$E$504,Payments!$D$5:$D$504,A76,Payments!$C$5:$C$504,"Out"),"")</f>
        <v>0</v>
      </c>
      <c r="N76" s="9" t="n">
        <f aca="false">IFERROR(L76-M76,"")</f>
        <v>0</v>
      </c>
    </row>
    <row r="77" customFormat="false" ht="15" hidden="false" customHeight="false" outlineLevel="0" collapsed="false">
      <c r="A77" s="10"/>
      <c r="B77" s="12"/>
      <c r="C77" s="10"/>
      <c r="D77" s="14" t="str">
        <f aca="false">IFERROR(IF(C77="","",INDEX(Suppliers!$B$5:$B$504,MATCH(C77,Suppliers!$A$5:$A$504,0))),"")</f>
        <v/>
      </c>
      <c r="E77" s="10" t="s">
        <v>24</v>
      </c>
      <c r="F77" s="12"/>
      <c r="G77" s="12"/>
      <c r="H77" s="10"/>
      <c r="I77" s="10"/>
      <c r="J77" s="9" t="n">
        <f aca="false">IFERROR(SUMIFS(PurchaseOrderLines!$H$5:$H$504,PurchaseOrderLines!$B$5:$B$504,A77),"")</f>
        <v>0</v>
      </c>
      <c r="K77" s="9" t="n">
        <f aca="false">IFERROR(SUMIFS(PurchaseOrderLines!$I$5:$I$504,PurchaseOrderLines!$B$5:$B$504,A77),"")</f>
        <v>0</v>
      </c>
      <c r="L77" s="9" t="n">
        <f aca="false">IFERROR(J77+K77,"")</f>
        <v>0</v>
      </c>
      <c r="M77" s="9" t="n">
        <f aca="false">IFERROR(SUMIFS(Payments!$E$5:$E$504,Payments!$D$5:$D$504,A77,Payments!$C$5:$C$504,"Out"),"")</f>
        <v>0</v>
      </c>
      <c r="N77" s="9" t="n">
        <f aca="false">IFERROR(L77-M77,"")</f>
        <v>0</v>
      </c>
    </row>
    <row r="78" customFormat="false" ht="15" hidden="false" customHeight="false" outlineLevel="0" collapsed="false">
      <c r="A78" s="10"/>
      <c r="B78" s="12"/>
      <c r="C78" s="10"/>
      <c r="D78" s="14" t="str">
        <f aca="false">IFERROR(IF(C78="","",INDEX(Suppliers!$B$5:$B$504,MATCH(C78,Suppliers!$A$5:$A$504,0))),"")</f>
        <v/>
      </c>
      <c r="E78" s="10" t="s">
        <v>24</v>
      </c>
      <c r="F78" s="12"/>
      <c r="G78" s="12"/>
      <c r="H78" s="10"/>
      <c r="I78" s="10"/>
      <c r="J78" s="9" t="n">
        <f aca="false">IFERROR(SUMIFS(PurchaseOrderLines!$H$5:$H$504,PurchaseOrderLines!$B$5:$B$504,A78),"")</f>
        <v>0</v>
      </c>
      <c r="K78" s="9" t="n">
        <f aca="false">IFERROR(SUMIFS(PurchaseOrderLines!$I$5:$I$504,PurchaseOrderLines!$B$5:$B$504,A78),"")</f>
        <v>0</v>
      </c>
      <c r="L78" s="9" t="n">
        <f aca="false">IFERROR(J78+K78,"")</f>
        <v>0</v>
      </c>
      <c r="M78" s="9" t="n">
        <f aca="false">IFERROR(SUMIFS(Payments!$E$5:$E$504,Payments!$D$5:$D$504,A78,Payments!$C$5:$C$504,"Out"),"")</f>
        <v>0</v>
      </c>
      <c r="N78" s="9" t="n">
        <f aca="false">IFERROR(L78-M78,"")</f>
        <v>0</v>
      </c>
    </row>
    <row r="79" customFormat="false" ht="15" hidden="false" customHeight="false" outlineLevel="0" collapsed="false">
      <c r="A79" s="10"/>
      <c r="B79" s="12"/>
      <c r="C79" s="10"/>
      <c r="D79" s="14" t="str">
        <f aca="false">IFERROR(IF(C79="","",INDEX(Suppliers!$B$5:$B$504,MATCH(C79,Suppliers!$A$5:$A$504,0))),"")</f>
        <v/>
      </c>
      <c r="E79" s="10" t="s">
        <v>24</v>
      </c>
      <c r="F79" s="12"/>
      <c r="G79" s="12"/>
      <c r="H79" s="10"/>
      <c r="I79" s="10"/>
      <c r="J79" s="9" t="n">
        <f aca="false">IFERROR(SUMIFS(PurchaseOrderLines!$H$5:$H$504,PurchaseOrderLines!$B$5:$B$504,A79),"")</f>
        <v>0</v>
      </c>
      <c r="K79" s="9" t="n">
        <f aca="false">IFERROR(SUMIFS(PurchaseOrderLines!$I$5:$I$504,PurchaseOrderLines!$B$5:$B$504,A79),"")</f>
        <v>0</v>
      </c>
      <c r="L79" s="9" t="n">
        <f aca="false">IFERROR(J79+K79,"")</f>
        <v>0</v>
      </c>
      <c r="M79" s="9" t="n">
        <f aca="false">IFERROR(SUMIFS(Payments!$E$5:$E$504,Payments!$D$5:$D$504,A79,Payments!$C$5:$C$504,"Out"),"")</f>
        <v>0</v>
      </c>
      <c r="N79" s="9" t="n">
        <f aca="false">IFERROR(L79-M79,"")</f>
        <v>0</v>
      </c>
    </row>
    <row r="80" customFormat="false" ht="15" hidden="false" customHeight="false" outlineLevel="0" collapsed="false">
      <c r="A80" s="10"/>
      <c r="B80" s="12"/>
      <c r="C80" s="10"/>
      <c r="D80" s="14" t="str">
        <f aca="false">IFERROR(IF(C80="","",INDEX(Suppliers!$B$5:$B$504,MATCH(C80,Suppliers!$A$5:$A$504,0))),"")</f>
        <v/>
      </c>
      <c r="E80" s="10" t="s">
        <v>24</v>
      </c>
      <c r="F80" s="12"/>
      <c r="G80" s="12"/>
      <c r="H80" s="10"/>
      <c r="I80" s="10"/>
      <c r="J80" s="9" t="n">
        <f aca="false">IFERROR(SUMIFS(PurchaseOrderLines!$H$5:$H$504,PurchaseOrderLines!$B$5:$B$504,A80),"")</f>
        <v>0</v>
      </c>
      <c r="K80" s="9" t="n">
        <f aca="false">IFERROR(SUMIFS(PurchaseOrderLines!$I$5:$I$504,PurchaseOrderLines!$B$5:$B$504,A80),"")</f>
        <v>0</v>
      </c>
      <c r="L80" s="9" t="n">
        <f aca="false">IFERROR(J80+K80,"")</f>
        <v>0</v>
      </c>
      <c r="M80" s="9" t="n">
        <f aca="false">IFERROR(SUMIFS(Payments!$E$5:$E$504,Payments!$D$5:$D$504,A80,Payments!$C$5:$C$504,"Out"),"")</f>
        <v>0</v>
      </c>
      <c r="N80" s="9" t="n">
        <f aca="false">IFERROR(L80-M80,"")</f>
        <v>0</v>
      </c>
    </row>
    <row r="81" customFormat="false" ht="15" hidden="false" customHeight="false" outlineLevel="0" collapsed="false">
      <c r="A81" s="10"/>
      <c r="B81" s="12"/>
      <c r="C81" s="10"/>
      <c r="D81" s="14" t="str">
        <f aca="false">IFERROR(IF(C81="","",INDEX(Suppliers!$B$5:$B$504,MATCH(C81,Suppliers!$A$5:$A$504,0))),"")</f>
        <v/>
      </c>
      <c r="E81" s="10" t="s">
        <v>24</v>
      </c>
      <c r="F81" s="12"/>
      <c r="G81" s="12"/>
      <c r="H81" s="10"/>
      <c r="I81" s="10"/>
      <c r="J81" s="9" t="n">
        <f aca="false">IFERROR(SUMIFS(PurchaseOrderLines!$H$5:$H$504,PurchaseOrderLines!$B$5:$B$504,A81),"")</f>
        <v>0</v>
      </c>
      <c r="K81" s="9" t="n">
        <f aca="false">IFERROR(SUMIFS(PurchaseOrderLines!$I$5:$I$504,PurchaseOrderLines!$B$5:$B$504,A81),"")</f>
        <v>0</v>
      </c>
      <c r="L81" s="9" t="n">
        <f aca="false">IFERROR(J81+K81,"")</f>
        <v>0</v>
      </c>
      <c r="M81" s="9" t="n">
        <f aca="false">IFERROR(SUMIFS(Payments!$E$5:$E$504,Payments!$D$5:$D$504,A81,Payments!$C$5:$C$504,"Out"),"")</f>
        <v>0</v>
      </c>
      <c r="N81" s="9" t="n">
        <f aca="false">IFERROR(L81-M81,"")</f>
        <v>0</v>
      </c>
    </row>
    <row r="82" customFormat="false" ht="15" hidden="false" customHeight="false" outlineLevel="0" collapsed="false">
      <c r="A82" s="10"/>
      <c r="B82" s="12"/>
      <c r="C82" s="10"/>
      <c r="D82" s="14" t="str">
        <f aca="false">IFERROR(IF(C82="","",INDEX(Suppliers!$B$5:$B$504,MATCH(C82,Suppliers!$A$5:$A$504,0))),"")</f>
        <v/>
      </c>
      <c r="E82" s="10" t="s">
        <v>24</v>
      </c>
      <c r="F82" s="12"/>
      <c r="G82" s="12"/>
      <c r="H82" s="10"/>
      <c r="I82" s="10"/>
      <c r="J82" s="9" t="n">
        <f aca="false">IFERROR(SUMIFS(PurchaseOrderLines!$H$5:$H$504,PurchaseOrderLines!$B$5:$B$504,A82),"")</f>
        <v>0</v>
      </c>
      <c r="K82" s="9" t="n">
        <f aca="false">IFERROR(SUMIFS(PurchaseOrderLines!$I$5:$I$504,PurchaseOrderLines!$B$5:$B$504,A82),"")</f>
        <v>0</v>
      </c>
      <c r="L82" s="9" t="n">
        <f aca="false">IFERROR(J82+K82,"")</f>
        <v>0</v>
      </c>
      <c r="M82" s="9" t="n">
        <f aca="false">IFERROR(SUMIFS(Payments!$E$5:$E$504,Payments!$D$5:$D$504,A82,Payments!$C$5:$C$504,"Out"),"")</f>
        <v>0</v>
      </c>
      <c r="N82" s="9" t="n">
        <f aca="false">IFERROR(L82-M82,"")</f>
        <v>0</v>
      </c>
    </row>
    <row r="83" customFormat="false" ht="15" hidden="false" customHeight="false" outlineLevel="0" collapsed="false">
      <c r="A83" s="10"/>
      <c r="B83" s="12"/>
      <c r="C83" s="10"/>
      <c r="D83" s="14" t="str">
        <f aca="false">IFERROR(IF(C83="","",INDEX(Suppliers!$B$5:$B$504,MATCH(C83,Suppliers!$A$5:$A$504,0))),"")</f>
        <v/>
      </c>
      <c r="E83" s="10" t="s">
        <v>24</v>
      </c>
      <c r="F83" s="12"/>
      <c r="G83" s="12"/>
      <c r="H83" s="10"/>
      <c r="I83" s="10"/>
      <c r="J83" s="9" t="n">
        <f aca="false">IFERROR(SUMIFS(PurchaseOrderLines!$H$5:$H$504,PurchaseOrderLines!$B$5:$B$504,A83),"")</f>
        <v>0</v>
      </c>
      <c r="K83" s="9" t="n">
        <f aca="false">IFERROR(SUMIFS(PurchaseOrderLines!$I$5:$I$504,PurchaseOrderLines!$B$5:$B$504,A83),"")</f>
        <v>0</v>
      </c>
      <c r="L83" s="9" t="n">
        <f aca="false">IFERROR(J83+K83,"")</f>
        <v>0</v>
      </c>
      <c r="M83" s="9" t="n">
        <f aca="false">IFERROR(SUMIFS(Payments!$E$5:$E$504,Payments!$D$5:$D$504,A83,Payments!$C$5:$C$504,"Out"),"")</f>
        <v>0</v>
      </c>
      <c r="N83" s="9" t="n">
        <f aca="false">IFERROR(L83-M83,"")</f>
        <v>0</v>
      </c>
    </row>
    <row r="84" customFormat="false" ht="15" hidden="false" customHeight="false" outlineLevel="0" collapsed="false">
      <c r="A84" s="10"/>
      <c r="B84" s="12"/>
      <c r="C84" s="10"/>
      <c r="D84" s="14" t="str">
        <f aca="false">IFERROR(IF(C84="","",INDEX(Suppliers!$B$5:$B$504,MATCH(C84,Suppliers!$A$5:$A$504,0))),"")</f>
        <v/>
      </c>
      <c r="E84" s="10" t="s">
        <v>24</v>
      </c>
      <c r="F84" s="12"/>
      <c r="G84" s="12"/>
      <c r="H84" s="10"/>
      <c r="I84" s="10"/>
      <c r="J84" s="9" t="n">
        <f aca="false">IFERROR(SUMIFS(PurchaseOrderLines!$H$5:$H$504,PurchaseOrderLines!$B$5:$B$504,A84),"")</f>
        <v>0</v>
      </c>
      <c r="K84" s="9" t="n">
        <f aca="false">IFERROR(SUMIFS(PurchaseOrderLines!$I$5:$I$504,PurchaseOrderLines!$B$5:$B$504,A84),"")</f>
        <v>0</v>
      </c>
      <c r="L84" s="9" t="n">
        <f aca="false">IFERROR(J84+K84,"")</f>
        <v>0</v>
      </c>
      <c r="M84" s="9" t="n">
        <f aca="false">IFERROR(SUMIFS(Payments!$E$5:$E$504,Payments!$D$5:$D$504,A84,Payments!$C$5:$C$504,"Out"),"")</f>
        <v>0</v>
      </c>
      <c r="N84" s="9" t="n">
        <f aca="false">IFERROR(L84-M84,"")</f>
        <v>0</v>
      </c>
    </row>
    <row r="85" customFormat="false" ht="15" hidden="false" customHeight="false" outlineLevel="0" collapsed="false">
      <c r="A85" s="10"/>
      <c r="B85" s="12"/>
      <c r="C85" s="10"/>
      <c r="D85" s="14" t="str">
        <f aca="false">IFERROR(IF(C85="","",INDEX(Suppliers!$B$5:$B$504,MATCH(C85,Suppliers!$A$5:$A$504,0))),"")</f>
        <v/>
      </c>
      <c r="E85" s="10" t="s">
        <v>24</v>
      </c>
      <c r="F85" s="12"/>
      <c r="G85" s="12"/>
      <c r="H85" s="10"/>
      <c r="I85" s="10"/>
      <c r="J85" s="9" t="n">
        <f aca="false">IFERROR(SUMIFS(PurchaseOrderLines!$H$5:$H$504,PurchaseOrderLines!$B$5:$B$504,A85),"")</f>
        <v>0</v>
      </c>
      <c r="K85" s="9" t="n">
        <f aca="false">IFERROR(SUMIFS(PurchaseOrderLines!$I$5:$I$504,PurchaseOrderLines!$B$5:$B$504,A85),"")</f>
        <v>0</v>
      </c>
      <c r="L85" s="9" t="n">
        <f aca="false">IFERROR(J85+K85,"")</f>
        <v>0</v>
      </c>
      <c r="M85" s="9" t="n">
        <f aca="false">IFERROR(SUMIFS(Payments!$E$5:$E$504,Payments!$D$5:$D$504,A85,Payments!$C$5:$C$504,"Out"),"")</f>
        <v>0</v>
      </c>
      <c r="N85" s="9" t="n">
        <f aca="false">IFERROR(L85-M85,"")</f>
        <v>0</v>
      </c>
    </row>
    <row r="86" customFormat="false" ht="15" hidden="false" customHeight="false" outlineLevel="0" collapsed="false">
      <c r="A86" s="10"/>
      <c r="B86" s="12"/>
      <c r="C86" s="10"/>
      <c r="D86" s="14" t="str">
        <f aca="false">IFERROR(IF(C86="","",INDEX(Suppliers!$B$5:$B$504,MATCH(C86,Suppliers!$A$5:$A$504,0))),"")</f>
        <v/>
      </c>
      <c r="E86" s="10" t="s">
        <v>24</v>
      </c>
      <c r="F86" s="12"/>
      <c r="G86" s="12"/>
      <c r="H86" s="10"/>
      <c r="I86" s="10"/>
      <c r="J86" s="9" t="n">
        <f aca="false">IFERROR(SUMIFS(PurchaseOrderLines!$H$5:$H$504,PurchaseOrderLines!$B$5:$B$504,A86),"")</f>
        <v>0</v>
      </c>
      <c r="K86" s="9" t="n">
        <f aca="false">IFERROR(SUMIFS(PurchaseOrderLines!$I$5:$I$504,PurchaseOrderLines!$B$5:$B$504,A86),"")</f>
        <v>0</v>
      </c>
      <c r="L86" s="9" t="n">
        <f aca="false">IFERROR(J86+K86,"")</f>
        <v>0</v>
      </c>
      <c r="M86" s="9" t="n">
        <f aca="false">IFERROR(SUMIFS(Payments!$E$5:$E$504,Payments!$D$5:$D$504,A86,Payments!$C$5:$C$504,"Out"),"")</f>
        <v>0</v>
      </c>
      <c r="N86" s="9" t="n">
        <f aca="false">IFERROR(L86-M86,"")</f>
        <v>0</v>
      </c>
    </row>
    <row r="87" customFormat="false" ht="15" hidden="false" customHeight="false" outlineLevel="0" collapsed="false">
      <c r="A87" s="10"/>
      <c r="B87" s="12"/>
      <c r="C87" s="10"/>
      <c r="D87" s="14" t="str">
        <f aca="false">IFERROR(IF(C87="","",INDEX(Suppliers!$B$5:$B$504,MATCH(C87,Suppliers!$A$5:$A$504,0))),"")</f>
        <v/>
      </c>
      <c r="E87" s="10" t="s">
        <v>24</v>
      </c>
      <c r="F87" s="12"/>
      <c r="G87" s="12"/>
      <c r="H87" s="10"/>
      <c r="I87" s="10"/>
      <c r="J87" s="9" t="n">
        <f aca="false">IFERROR(SUMIFS(PurchaseOrderLines!$H$5:$H$504,PurchaseOrderLines!$B$5:$B$504,A87),"")</f>
        <v>0</v>
      </c>
      <c r="K87" s="9" t="n">
        <f aca="false">IFERROR(SUMIFS(PurchaseOrderLines!$I$5:$I$504,PurchaseOrderLines!$B$5:$B$504,A87),"")</f>
        <v>0</v>
      </c>
      <c r="L87" s="9" t="n">
        <f aca="false">IFERROR(J87+K87,"")</f>
        <v>0</v>
      </c>
      <c r="M87" s="9" t="n">
        <f aca="false">IFERROR(SUMIFS(Payments!$E$5:$E$504,Payments!$D$5:$D$504,A87,Payments!$C$5:$C$504,"Out"),"")</f>
        <v>0</v>
      </c>
      <c r="N87" s="9" t="n">
        <f aca="false">IFERROR(L87-M87,"")</f>
        <v>0</v>
      </c>
    </row>
    <row r="88" customFormat="false" ht="15" hidden="false" customHeight="false" outlineLevel="0" collapsed="false">
      <c r="A88" s="10"/>
      <c r="B88" s="12"/>
      <c r="C88" s="10"/>
      <c r="D88" s="14" t="str">
        <f aca="false">IFERROR(IF(C88="","",INDEX(Suppliers!$B$5:$B$504,MATCH(C88,Suppliers!$A$5:$A$504,0))),"")</f>
        <v/>
      </c>
      <c r="E88" s="10" t="s">
        <v>24</v>
      </c>
      <c r="F88" s="12"/>
      <c r="G88" s="12"/>
      <c r="H88" s="10"/>
      <c r="I88" s="10"/>
      <c r="J88" s="9" t="n">
        <f aca="false">IFERROR(SUMIFS(PurchaseOrderLines!$H$5:$H$504,PurchaseOrderLines!$B$5:$B$504,A88),"")</f>
        <v>0</v>
      </c>
      <c r="K88" s="9" t="n">
        <f aca="false">IFERROR(SUMIFS(PurchaseOrderLines!$I$5:$I$504,PurchaseOrderLines!$B$5:$B$504,A88),"")</f>
        <v>0</v>
      </c>
      <c r="L88" s="9" t="n">
        <f aca="false">IFERROR(J88+K88,"")</f>
        <v>0</v>
      </c>
      <c r="M88" s="9" t="n">
        <f aca="false">IFERROR(SUMIFS(Payments!$E$5:$E$504,Payments!$D$5:$D$504,A88,Payments!$C$5:$C$504,"Out"),"")</f>
        <v>0</v>
      </c>
      <c r="N88" s="9" t="n">
        <f aca="false">IFERROR(L88-M88,"")</f>
        <v>0</v>
      </c>
    </row>
    <row r="89" customFormat="false" ht="15" hidden="false" customHeight="false" outlineLevel="0" collapsed="false">
      <c r="A89" s="10"/>
      <c r="B89" s="12"/>
      <c r="C89" s="10"/>
      <c r="D89" s="14" t="str">
        <f aca="false">IFERROR(IF(C89="","",INDEX(Suppliers!$B$5:$B$504,MATCH(C89,Suppliers!$A$5:$A$504,0))),"")</f>
        <v/>
      </c>
      <c r="E89" s="10" t="s">
        <v>24</v>
      </c>
      <c r="F89" s="12"/>
      <c r="G89" s="12"/>
      <c r="H89" s="10"/>
      <c r="I89" s="10"/>
      <c r="J89" s="9" t="n">
        <f aca="false">IFERROR(SUMIFS(PurchaseOrderLines!$H$5:$H$504,PurchaseOrderLines!$B$5:$B$504,A89),"")</f>
        <v>0</v>
      </c>
      <c r="K89" s="9" t="n">
        <f aca="false">IFERROR(SUMIFS(PurchaseOrderLines!$I$5:$I$504,PurchaseOrderLines!$B$5:$B$504,A89),"")</f>
        <v>0</v>
      </c>
      <c r="L89" s="9" t="n">
        <f aca="false">IFERROR(J89+K89,"")</f>
        <v>0</v>
      </c>
      <c r="M89" s="9" t="n">
        <f aca="false">IFERROR(SUMIFS(Payments!$E$5:$E$504,Payments!$D$5:$D$504,A89,Payments!$C$5:$C$504,"Out"),"")</f>
        <v>0</v>
      </c>
      <c r="N89" s="9" t="n">
        <f aca="false">IFERROR(L89-M89,"")</f>
        <v>0</v>
      </c>
    </row>
    <row r="90" customFormat="false" ht="15" hidden="false" customHeight="false" outlineLevel="0" collapsed="false">
      <c r="A90" s="10"/>
      <c r="B90" s="12"/>
      <c r="C90" s="10"/>
      <c r="D90" s="14" t="str">
        <f aca="false">IFERROR(IF(C90="","",INDEX(Suppliers!$B$5:$B$504,MATCH(C90,Suppliers!$A$5:$A$504,0))),"")</f>
        <v/>
      </c>
      <c r="E90" s="10" t="s">
        <v>24</v>
      </c>
      <c r="F90" s="12"/>
      <c r="G90" s="12"/>
      <c r="H90" s="10"/>
      <c r="I90" s="10"/>
      <c r="J90" s="9" t="n">
        <f aca="false">IFERROR(SUMIFS(PurchaseOrderLines!$H$5:$H$504,PurchaseOrderLines!$B$5:$B$504,A90),"")</f>
        <v>0</v>
      </c>
      <c r="K90" s="9" t="n">
        <f aca="false">IFERROR(SUMIFS(PurchaseOrderLines!$I$5:$I$504,PurchaseOrderLines!$B$5:$B$504,A90),"")</f>
        <v>0</v>
      </c>
      <c r="L90" s="9" t="n">
        <f aca="false">IFERROR(J90+K90,"")</f>
        <v>0</v>
      </c>
      <c r="M90" s="9" t="n">
        <f aca="false">IFERROR(SUMIFS(Payments!$E$5:$E$504,Payments!$D$5:$D$504,A90,Payments!$C$5:$C$504,"Out"),"")</f>
        <v>0</v>
      </c>
      <c r="N90" s="9" t="n">
        <f aca="false">IFERROR(L90-M90,"")</f>
        <v>0</v>
      </c>
    </row>
    <row r="91" customFormat="false" ht="15" hidden="false" customHeight="false" outlineLevel="0" collapsed="false">
      <c r="A91" s="10"/>
      <c r="B91" s="12"/>
      <c r="C91" s="10"/>
      <c r="D91" s="14" t="str">
        <f aca="false">IFERROR(IF(C91="","",INDEX(Suppliers!$B$5:$B$504,MATCH(C91,Suppliers!$A$5:$A$504,0))),"")</f>
        <v/>
      </c>
      <c r="E91" s="10" t="s">
        <v>24</v>
      </c>
      <c r="F91" s="12"/>
      <c r="G91" s="12"/>
      <c r="H91" s="10"/>
      <c r="I91" s="10"/>
      <c r="J91" s="9" t="n">
        <f aca="false">IFERROR(SUMIFS(PurchaseOrderLines!$H$5:$H$504,PurchaseOrderLines!$B$5:$B$504,A91),"")</f>
        <v>0</v>
      </c>
      <c r="K91" s="9" t="n">
        <f aca="false">IFERROR(SUMIFS(PurchaseOrderLines!$I$5:$I$504,PurchaseOrderLines!$B$5:$B$504,A91),"")</f>
        <v>0</v>
      </c>
      <c r="L91" s="9" t="n">
        <f aca="false">IFERROR(J91+K91,"")</f>
        <v>0</v>
      </c>
      <c r="M91" s="9" t="n">
        <f aca="false">IFERROR(SUMIFS(Payments!$E$5:$E$504,Payments!$D$5:$D$504,A91,Payments!$C$5:$C$504,"Out"),"")</f>
        <v>0</v>
      </c>
      <c r="N91" s="9" t="n">
        <f aca="false">IFERROR(L91-M91,"")</f>
        <v>0</v>
      </c>
    </row>
    <row r="92" customFormat="false" ht="15" hidden="false" customHeight="false" outlineLevel="0" collapsed="false">
      <c r="A92" s="10"/>
      <c r="B92" s="12"/>
      <c r="C92" s="10"/>
      <c r="D92" s="14" t="str">
        <f aca="false">IFERROR(IF(C92="","",INDEX(Suppliers!$B$5:$B$504,MATCH(C92,Suppliers!$A$5:$A$504,0))),"")</f>
        <v/>
      </c>
      <c r="E92" s="10" t="s">
        <v>24</v>
      </c>
      <c r="F92" s="12"/>
      <c r="G92" s="12"/>
      <c r="H92" s="10"/>
      <c r="I92" s="10"/>
      <c r="J92" s="9" t="n">
        <f aca="false">IFERROR(SUMIFS(PurchaseOrderLines!$H$5:$H$504,PurchaseOrderLines!$B$5:$B$504,A92),"")</f>
        <v>0</v>
      </c>
      <c r="K92" s="9" t="n">
        <f aca="false">IFERROR(SUMIFS(PurchaseOrderLines!$I$5:$I$504,PurchaseOrderLines!$B$5:$B$504,A92),"")</f>
        <v>0</v>
      </c>
      <c r="L92" s="9" t="n">
        <f aca="false">IFERROR(J92+K92,"")</f>
        <v>0</v>
      </c>
      <c r="M92" s="9" t="n">
        <f aca="false">IFERROR(SUMIFS(Payments!$E$5:$E$504,Payments!$D$5:$D$504,A92,Payments!$C$5:$C$504,"Out"),"")</f>
        <v>0</v>
      </c>
      <c r="N92" s="9" t="n">
        <f aca="false">IFERROR(L92-M92,"")</f>
        <v>0</v>
      </c>
    </row>
    <row r="93" customFormat="false" ht="15" hidden="false" customHeight="false" outlineLevel="0" collapsed="false">
      <c r="A93" s="10"/>
      <c r="B93" s="12"/>
      <c r="C93" s="10"/>
      <c r="D93" s="14" t="str">
        <f aca="false">IFERROR(IF(C93="","",INDEX(Suppliers!$B$5:$B$504,MATCH(C93,Suppliers!$A$5:$A$504,0))),"")</f>
        <v/>
      </c>
      <c r="E93" s="10" t="s">
        <v>24</v>
      </c>
      <c r="F93" s="12"/>
      <c r="G93" s="12"/>
      <c r="H93" s="10"/>
      <c r="I93" s="10"/>
      <c r="J93" s="9" t="n">
        <f aca="false">IFERROR(SUMIFS(PurchaseOrderLines!$H$5:$H$504,PurchaseOrderLines!$B$5:$B$504,A93),"")</f>
        <v>0</v>
      </c>
      <c r="K93" s="9" t="n">
        <f aca="false">IFERROR(SUMIFS(PurchaseOrderLines!$I$5:$I$504,PurchaseOrderLines!$B$5:$B$504,A93),"")</f>
        <v>0</v>
      </c>
      <c r="L93" s="9" t="n">
        <f aca="false">IFERROR(J93+K93,"")</f>
        <v>0</v>
      </c>
      <c r="M93" s="9" t="n">
        <f aca="false">IFERROR(SUMIFS(Payments!$E$5:$E$504,Payments!$D$5:$D$504,A93,Payments!$C$5:$C$504,"Out"),"")</f>
        <v>0</v>
      </c>
      <c r="N93" s="9" t="n">
        <f aca="false">IFERROR(L93-M93,"")</f>
        <v>0</v>
      </c>
    </row>
    <row r="94" customFormat="false" ht="15" hidden="false" customHeight="false" outlineLevel="0" collapsed="false">
      <c r="A94" s="10"/>
      <c r="B94" s="12"/>
      <c r="C94" s="10"/>
      <c r="D94" s="14" t="str">
        <f aca="false">IFERROR(IF(C94="","",INDEX(Suppliers!$B$5:$B$504,MATCH(C94,Suppliers!$A$5:$A$504,0))),"")</f>
        <v/>
      </c>
      <c r="E94" s="10" t="s">
        <v>24</v>
      </c>
      <c r="F94" s="12"/>
      <c r="G94" s="12"/>
      <c r="H94" s="10"/>
      <c r="I94" s="10"/>
      <c r="J94" s="9" t="n">
        <f aca="false">IFERROR(SUMIFS(PurchaseOrderLines!$H$5:$H$504,PurchaseOrderLines!$B$5:$B$504,A94),"")</f>
        <v>0</v>
      </c>
      <c r="K94" s="9" t="n">
        <f aca="false">IFERROR(SUMIFS(PurchaseOrderLines!$I$5:$I$504,PurchaseOrderLines!$B$5:$B$504,A94),"")</f>
        <v>0</v>
      </c>
      <c r="L94" s="9" t="n">
        <f aca="false">IFERROR(J94+K94,"")</f>
        <v>0</v>
      </c>
      <c r="M94" s="9" t="n">
        <f aca="false">IFERROR(SUMIFS(Payments!$E$5:$E$504,Payments!$D$5:$D$504,A94,Payments!$C$5:$C$504,"Out"),"")</f>
        <v>0</v>
      </c>
      <c r="N94" s="9" t="n">
        <f aca="false">IFERROR(L94-M94,"")</f>
        <v>0</v>
      </c>
    </row>
    <row r="95" customFormat="false" ht="15" hidden="false" customHeight="false" outlineLevel="0" collapsed="false">
      <c r="A95" s="10"/>
      <c r="B95" s="12"/>
      <c r="C95" s="10"/>
      <c r="D95" s="14" t="str">
        <f aca="false">IFERROR(IF(C95="","",INDEX(Suppliers!$B$5:$B$504,MATCH(C95,Suppliers!$A$5:$A$504,0))),"")</f>
        <v/>
      </c>
      <c r="E95" s="10" t="s">
        <v>24</v>
      </c>
      <c r="F95" s="12"/>
      <c r="G95" s="12"/>
      <c r="H95" s="10"/>
      <c r="I95" s="10"/>
      <c r="J95" s="9" t="n">
        <f aca="false">IFERROR(SUMIFS(PurchaseOrderLines!$H$5:$H$504,PurchaseOrderLines!$B$5:$B$504,A95),"")</f>
        <v>0</v>
      </c>
      <c r="K95" s="9" t="n">
        <f aca="false">IFERROR(SUMIFS(PurchaseOrderLines!$I$5:$I$504,PurchaseOrderLines!$B$5:$B$504,A95),"")</f>
        <v>0</v>
      </c>
      <c r="L95" s="9" t="n">
        <f aca="false">IFERROR(J95+K95,"")</f>
        <v>0</v>
      </c>
      <c r="M95" s="9" t="n">
        <f aca="false">IFERROR(SUMIFS(Payments!$E$5:$E$504,Payments!$D$5:$D$504,A95,Payments!$C$5:$C$504,"Out"),"")</f>
        <v>0</v>
      </c>
      <c r="N95" s="9" t="n">
        <f aca="false">IFERROR(L95-M95,"")</f>
        <v>0</v>
      </c>
    </row>
    <row r="96" customFormat="false" ht="15" hidden="false" customHeight="false" outlineLevel="0" collapsed="false">
      <c r="A96" s="10"/>
      <c r="B96" s="12"/>
      <c r="C96" s="10"/>
      <c r="D96" s="14" t="str">
        <f aca="false">IFERROR(IF(C96="","",INDEX(Suppliers!$B$5:$B$504,MATCH(C96,Suppliers!$A$5:$A$504,0))),"")</f>
        <v/>
      </c>
      <c r="E96" s="10" t="s">
        <v>24</v>
      </c>
      <c r="F96" s="12"/>
      <c r="G96" s="12"/>
      <c r="H96" s="10"/>
      <c r="I96" s="10"/>
      <c r="J96" s="9" t="n">
        <f aca="false">IFERROR(SUMIFS(PurchaseOrderLines!$H$5:$H$504,PurchaseOrderLines!$B$5:$B$504,A96),"")</f>
        <v>0</v>
      </c>
      <c r="K96" s="9" t="n">
        <f aca="false">IFERROR(SUMIFS(PurchaseOrderLines!$I$5:$I$504,PurchaseOrderLines!$B$5:$B$504,A96),"")</f>
        <v>0</v>
      </c>
      <c r="L96" s="9" t="n">
        <f aca="false">IFERROR(J96+K96,"")</f>
        <v>0</v>
      </c>
      <c r="M96" s="9" t="n">
        <f aca="false">IFERROR(SUMIFS(Payments!$E$5:$E$504,Payments!$D$5:$D$504,A96,Payments!$C$5:$C$504,"Out"),"")</f>
        <v>0</v>
      </c>
      <c r="N96" s="9" t="n">
        <f aca="false">IFERROR(L96-M96,"")</f>
        <v>0</v>
      </c>
    </row>
    <row r="97" customFormat="false" ht="15" hidden="false" customHeight="false" outlineLevel="0" collapsed="false">
      <c r="A97" s="10"/>
      <c r="B97" s="12"/>
      <c r="C97" s="10"/>
      <c r="D97" s="14" t="str">
        <f aca="false">IFERROR(IF(C97="","",INDEX(Suppliers!$B$5:$B$504,MATCH(C97,Suppliers!$A$5:$A$504,0))),"")</f>
        <v/>
      </c>
      <c r="E97" s="10" t="s">
        <v>24</v>
      </c>
      <c r="F97" s="12"/>
      <c r="G97" s="12"/>
      <c r="H97" s="10"/>
      <c r="I97" s="10"/>
      <c r="J97" s="9" t="n">
        <f aca="false">IFERROR(SUMIFS(PurchaseOrderLines!$H$5:$H$504,PurchaseOrderLines!$B$5:$B$504,A97),"")</f>
        <v>0</v>
      </c>
      <c r="K97" s="9" t="n">
        <f aca="false">IFERROR(SUMIFS(PurchaseOrderLines!$I$5:$I$504,PurchaseOrderLines!$B$5:$B$504,A97),"")</f>
        <v>0</v>
      </c>
      <c r="L97" s="9" t="n">
        <f aca="false">IFERROR(J97+K97,"")</f>
        <v>0</v>
      </c>
      <c r="M97" s="9" t="n">
        <f aca="false">IFERROR(SUMIFS(Payments!$E$5:$E$504,Payments!$D$5:$D$504,A97,Payments!$C$5:$C$504,"Out"),"")</f>
        <v>0</v>
      </c>
      <c r="N97" s="9" t="n">
        <f aca="false">IFERROR(L97-M97,"")</f>
        <v>0</v>
      </c>
    </row>
    <row r="98" customFormat="false" ht="15" hidden="false" customHeight="false" outlineLevel="0" collapsed="false">
      <c r="A98" s="10"/>
      <c r="B98" s="12"/>
      <c r="C98" s="10"/>
      <c r="D98" s="14" t="str">
        <f aca="false">IFERROR(IF(C98="","",INDEX(Suppliers!$B$5:$B$504,MATCH(C98,Suppliers!$A$5:$A$504,0))),"")</f>
        <v/>
      </c>
      <c r="E98" s="10" t="s">
        <v>24</v>
      </c>
      <c r="F98" s="12"/>
      <c r="G98" s="12"/>
      <c r="H98" s="10"/>
      <c r="I98" s="10"/>
      <c r="J98" s="9" t="n">
        <f aca="false">IFERROR(SUMIFS(PurchaseOrderLines!$H$5:$H$504,PurchaseOrderLines!$B$5:$B$504,A98),"")</f>
        <v>0</v>
      </c>
      <c r="K98" s="9" t="n">
        <f aca="false">IFERROR(SUMIFS(PurchaseOrderLines!$I$5:$I$504,PurchaseOrderLines!$B$5:$B$504,A98),"")</f>
        <v>0</v>
      </c>
      <c r="L98" s="9" t="n">
        <f aca="false">IFERROR(J98+K98,"")</f>
        <v>0</v>
      </c>
      <c r="M98" s="9" t="n">
        <f aca="false">IFERROR(SUMIFS(Payments!$E$5:$E$504,Payments!$D$5:$D$504,A98,Payments!$C$5:$C$504,"Out"),"")</f>
        <v>0</v>
      </c>
      <c r="N98" s="9" t="n">
        <f aca="false">IFERROR(L98-M98,"")</f>
        <v>0</v>
      </c>
    </row>
    <row r="99" customFormat="false" ht="15" hidden="false" customHeight="false" outlineLevel="0" collapsed="false">
      <c r="A99" s="10"/>
      <c r="B99" s="12"/>
      <c r="C99" s="10"/>
      <c r="D99" s="14" t="str">
        <f aca="false">IFERROR(IF(C99="","",INDEX(Suppliers!$B$5:$B$504,MATCH(C99,Suppliers!$A$5:$A$504,0))),"")</f>
        <v/>
      </c>
      <c r="E99" s="10" t="s">
        <v>24</v>
      </c>
      <c r="F99" s="12"/>
      <c r="G99" s="12"/>
      <c r="H99" s="10"/>
      <c r="I99" s="10"/>
      <c r="J99" s="9" t="n">
        <f aca="false">IFERROR(SUMIFS(PurchaseOrderLines!$H$5:$H$504,PurchaseOrderLines!$B$5:$B$504,A99),"")</f>
        <v>0</v>
      </c>
      <c r="K99" s="9" t="n">
        <f aca="false">IFERROR(SUMIFS(PurchaseOrderLines!$I$5:$I$504,PurchaseOrderLines!$B$5:$B$504,A99),"")</f>
        <v>0</v>
      </c>
      <c r="L99" s="9" t="n">
        <f aca="false">IFERROR(J99+K99,"")</f>
        <v>0</v>
      </c>
      <c r="M99" s="9" t="n">
        <f aca="false">IFERROR(SUMIFS(Payments!$E$5:$E$504,Payments!$D$5:$D$504,A99,Payments!$C$5:$C$504,"Out"),"")</f>
        <v>0</v>
      </c>
      <c r="N99" s="9" t="n">
        <f aca="false">IFERROR(L99-M99,"")</f>
        <v>0</v>
      </c>
    </row>
    <row r="100" customFormat="false" ht="15" hidden="false" customHeight="false" outlineLevel="0" collapsed="false">
      <c r="A100" s="10"/>
      <c r="B100" s="12"/>
      <c r="C100" s="10"/>
      <c r="D100" s="14" t="str">
        <f aca="false">IFERROR(IF(C100="","",INDEX(Suppliers!$B$5:$B$504,MATCH(C100,Suppliers!$A$5:$A$504,0))),"")</f>
        <v/>
      </c>
      <c r="E100" s="10" t="s">
        <v>24</v>
      </c>
      <c r="F100" s="12"/>
      <c r="G100" s="12"/>
      <c r="H100" s="10"/>
      <c r="I100" s="10"/>
      <c r="J100" s="9" t="n">
        <f aca="false">IFERROR(SUMIFS(PurchaseOrderLines!$H$5:$H$504,PurchaseOrderLines!$B$5:$B$504,A100),"")</f>
        <v>0</v>
      </c>
      <c r="K100" s="9" t="n">
        <f aca="false">IFERROR(SUMIFS(PurchaseOrderLines!$I$5:$I$504,PurchaseOrderLines!$B$5:$B$504,A100),"")</f>
        <v>0</v>
      </c>
      <c r="L100" s="9" t="n">
        <f aca="false">IFERROR(J100+K100,"")</f>
        <v>0</v>
      </c>
      <c r="M100" s="9" t="n">
        <f aca="false">IFERROR(SUMIFS(Payments!$E$5:$E$504,Payments!$D$5:$D$504,A100,Payments!$C$5:$C$504,"Out"),"")</f>
        <v>0</v>
      </c>
      <c r="N100" s="9" t="n">
        <f aca="false">IFERROR(L100-M100,"")</f>
        <v>0</v>
      </c>
    </row>
    <row r="101" customFormat="false" ht="15" hidden="false" customHeight="false" outlineLevel="0" collapsed="false">
      <c r="A101" s="10"/>
      <c r="B101" s="12"/>
      <c r="C101" s="10"/>
      <c r="D101" s="14" t="str">
        <f aca="false">IFERROR(IF(C101="","",INDEX(Suppliers!$B$5:$B$504,MATCH(C101,Suppliers!$A$5:$A$504,0))),"")</f>
        <v/>
      </c>
      <c r="E101" s="10" t="s">
        <v>24</v>
      </c>
      <c r="F101" s="12"/>
      <c r="G101" s="12"/>
      <c r="H101" s="10"/>
      <c r="I101" s="10"/>
      <c r="J101" s="9" t="n">
        <f aca="false">IFERROR(SUMIFS(PurchaseOrderLines!$H$5:$H$504,PurchaseOrderLines!$B$5:$B$504,A101),"")</f>
        <v>0</v>
      </c>
      <c r="K101" s="9" t="n">
        <f aca="false">IFERROR(SUMIFS(PurchaseOrderLines!$I$5:$I$504,PurchaseOrderLines!$B$5:$B$504,A101),"")</f>
        <v>0</v>
      </c>
      <c r="L101" s="9" t="n">
        <f aca="false">IFERROR(J101+K101,"")</f>
        <v>0</v>
      </c>
      <c r="M101" s="9" t="n">
        <f aca="false">IFERROR(SUMIFS(Payments!$E$5:$E$504,Payments!$D$5:$D$504,A101,Payments!$C$5:$C$504,"Out"),"")</f>
        <v>0</v>
      </c>
      <c r="N101" s="9" t="n">
        <f aca="false">IFERROR(L101-M101,"")</f>
        <v>0</v>
      </c>
    </row>
    <row r="102" customFormat="false" ht="15" hidden="false" customHeight="false" outlineLevel="0" collapsed="false">
      <c r="A102" s="10"/>
      <c r="B102" s="12"/>
      <c r="C102" s="10"/>
      <c r="D102" s="14" t="str">
        <f aca="false">IFERROR(IF(C102="","",INDEX(Suppliers!$B$5:$B$504,MATCH(C102,Suppliers!$A$5:$A$504,0))),"")</f>
        <v/>
      </c>
      <c r="E102" s="10" t="s">
        <v>24</v>
      </c>
      <c r="F102" s="12"/>
      <c r="G102" s="12"/>
      <c r="H102" s="10"/>
      <c r="I102" s="10"/>
      <c r="J102" s="9" t="n">
        <f aca="false">IFERROR(SUMIFS(PurchaseOrderLines!$H$5:$H$504,PurchaseOrderLines!$B$5:$B$504,A102),"")</f>
        <v>0</v>
      </c>
      <c r="K102" s="9" t="n">
        <f aca="false">IFERROR(SUMIFS(PurchaseOrderLines!$I$5:$I$504,PurchaseOrderLines!$B$5:$B$504,A102),"")</f>
        <v>0</v>
      </c>
      <c r="L102" s="9" t="n">
        <f aca="false">IFERROR(J102+K102,"")</f>
        <v>0</v>
      </c>
      <c r="M102" s="9" t="n">
        <f aca="false">IFERROR(SUMIFS(Payments!$E$5:$E$504,Payments!$D$5:$D$504,A102,Payments!$C$5:$C$504,"Out"),"")</f>
        <v>0</v>
      </c>
      <c r="N102" s="9" t="n">
        <f aca="false">IFERROR(L102-M102,"")</f>
        <v>0</v>
      </c>
    </row>
    <row r="103" customFormat="false" ht="15" hidden="false" customHeight="false" outlineLevel="0" collapsed="false">
      <c r="A103" s="10"/>
      <c r="B103" s="12"/>
      <c r="C103" s="10"/>
      <c r="D103" s="14" t="str">
        <f aca="false">IFERROR(IF(C103="","",INDEX(Suppliers!$B$5:$B$504,MATCH(C103,Suppliers!$A$5:$A$504,0))),"")</f>
        <v/>
      </c>
      <c r="E103" s="10" t="s">
        <v>24</v>
      </c>
      <c r="F103" s="12"/>
      <c r="G103" s="12"/>
      <c r="H103" s="10"/>
      <c r="I103" s="10"/>
      <c r="J103" s="9" t="n">
        <f aca="false">IFERROR(SUMIFS(PurchaseOrderLines!$H$5:$H$504,PurchaseOrderLines!$B$5:$B$504,A103),"")</f>
        <v>0</v>
      </c>
      <c r="K103" s="9" t="n">
        <f aca="false">IFERROR(SUMIFS(PurchaseOrderLines!$I$5:$I$504,PurchaseOrderLines!$B$5:$B$504,A103),"")</f>
        <v>0</v>
      </c>
      <c r="L103" s="9" t="n">
        <f aca="false">IFERROR(J103+K103,"")</f>
        <v>0</v>
      </c>
      <c r="M103" s="9" t="n">
        <f aca="false">IFERROR(SUMIFS(Payments!$E$5:$E$504,Payments!$D$5:$D$504,A103,Payments!$C$5:$C$504,"Out"),"")</f>
        <v>0</v>
      </c>
      <c r="N103" s="9" t="n">
        <f aca="false">IFERROR(L103-M103,"")</f>
        <v>0</v>
      </c>
    </row>
    <row r="104" customFormat="false" ht="15" hidden="false" customHeight="false" outlineLevel="0" collapsed="false">
      <c r="A104" s="10"/>
      <c r="B104" s="12"/>
      <c r="C104" s="10"/>
      <c r="D104" s="14" t="str">
        <f aca="false">IFERROR(IF(C104="","",INDEX(Suppliers!$B$5:$B$504,MATCH(C104,Suppliers!$A$5:$A$504,0))),"")</f>
        <v/>
      </c>
      <c r="E104" s="10" t="s">
        <v>24</v>
      </c>
      <c r="F104" s="12"/>
      <c r="G104" s="12"/>
      <c r="H104" s="10"/>
      <c r="I104" s="10"/>
      <c r="J104" s="9" t="n">
        <f aca="false">IFERROR(SUMIFS(PurchaseOrderLines!$H$5:$H$504,PurchaseOrderLines!$B$5:$B$504,A104),"")</f>
        <v>0</v>
      </c>
      <c r="K104" s="9" t="n">
        <f aca="false">IFERROR(SUMIFS(PurchaseOrderLines!$I$5:$I$504,PurchaseOrderLines!$B$5:$B$504,A104),"")</f>
        <v>0</v>
      </c>
      <c r="L104" s="9" t="n">
        <f aca="false">IFERROR(J104+K104,"")</f>
        <v>0</v>
      </c>
      <c r="M104" s="9" t="n">
        <f aca="false">IFERROR(SUMIFS(Payments!$E$5:$E$504,Payments!$D$5:$D$504,A104,Payments!$C$5:$C$504,"Out"),"")</f>
        <v>0</v>
      </c>
      <c r="N104" s="9" t="n">
        <f aca="false">IFERROR(L104-M104,"")</f>
        <v>0</v>
      </c>
    </row>
    <row r="105" customFormat="false" ht="15" hidden="false" customHeight="false" outlineLevel="0" collapsed="false">
      <c r="A105" s="10"/>
      <c r="B105" s="12"/>
      <c r="C105" s="10"/>
      <c r="D105" s="14" t="str">
        <f aca="false">IFERROR(IF(C105="","",INDEX(Suppliers!$B$5:$B$504,MATCH(C105,Suppliers!$A$5:$A$504,0))),"")</f>
        <v/>
      </c>
      <c r="E105" s="10" t="s">
        <v>24</v>
      </c>
      <c r="F105" s="12"/>
      <c r="G105" s="12"/>
      <c r="H105" s="10"/>
      <c r="I105" s="10"/>
      <c r="J105" s="9" t="n">
        <f aca="false">IFERROR(SUMIFS(PurchaseOrderLines!$H$5:$H$504,PurchaseOrderLines!$B$5:$B$504,A105),"")</f>
        <v>0</v>
      </c>
      <c r="K105" s="9" t="n">
        <f aca="false">IFERROR(SUMIFS(PurchaseOrderLines!$I$5:$I$504,PurchaseOrderLines!$B$5:$B$504,A105),"")</f>
        <v>0</v>
      </c>
      <c r="L105" s="9" t="n">
        <f aca="false">IFERROR(J105+K105,"")</f>
        <v>0</v>
      </c>
      <c r="M105" s="9" t="n">
        <f aca="false">IFERROR(SUMIFS(Payments!$E$5:$E$504,Payments!$D$5:$D$504,A105,Payments!$C$5:$C$504,"Out"),"")</f>
        <v>0</v>
      </c>
      <c r="N105" s="9" t="n">
        <f aca="false">IFERROR(L105-M105,"")</f>
        <v>0</v>
      </c>
    </row>
    <row r="106" customFormat="false" ht="15" hidden="false" customHeight="false" outlineLevel="0" collapsed="false">
      <c r="A106" s="10"/>
      <c r="B106" s="12"/>
      <c r="C106" s="10"/>
      <c r="D106" s="14" t="str">
        <f aca="false">IFERROR(IF(C106="","",INDEX(Suppliers!$B$5:$B$504,MATCH(C106,Suppliers!$A$5:$A$504,0))),"")</f>
        <v/>
      </c>
      <c r="E106" s="10" t="s">
        <v>24</v>
      </c>
      <c r="F106" s="12"/>
      <c r="G106" s="12"/>
      <c r="H106" s="10"/>
      <c r="I106" s="10"/>
      <c r="J106" s="9" t="n">
        <f aca="false">IFERROR(SUMIFS(PurchaseOrderLines!$H$5:$H$504,PurchaseOrderLines!$B$5:$B$504,A106),"")</f>
        <v>0</v>
      </c>
      <c r="K106" s="9" t="n">
        <f aca="false">IFERROR(SUMIFS(PurchaseOrderLines!$I$5:$I$504,PurchaseOrderLines!$B$5:$B$504,A106),"")</f>
        <v>0</v>
      </c>
      <c r="L106" s="9" t="n">
        <f aca="false">IFERROR(J106+K106,"")</f>
        <v>0</v>
      </c>
      <c r="M106" s="9" t="n">
        <f aca="false">IFERROR(SUMIFS(Payments!$E$5:$E$504,Payments!$D$5:$D$504,A106,Payments!$C$5:$C$504,"Out"),"")</f>
        <v>0</v>
      </c>
      <c r="N106" s="9" t="n">
        <f aca="false">IFERROR(L106-M106,"")</f>
        <v>0</v>
      </c>
    </row>
    <row r="107" customFormat="false" ht="15" hidden="false" customHeight="false" outlineLevel="0" collapsed="false">
      <c r="A107" s="10"/>
      <c r="B107" s="12"/>
      <c r="C107" s="10"/>
      <c r="D107" s="14" t="str">
        <f aca="false">IFERROR(IF(C107="","",INDEX(Suppliers!$B$5:$B$504,MATCH(C107,Suppliers!$A$5:$A$504,0))),"")</f>
        <v/>
      </c>
      <c r="E107" s="10" t="s">
        <v>24</v>
      </c>
      <c r="F107" s="12"/>
      <c r="G107" s="12"/>
      <c r="H107" s="10"/>
      <c r="I107" s="10"/>
      <c r="J107" s="9" t="n">
        <f aca="false">IFERROR(SUMIFS(PurchaseOrderLines!$H$5:$H$504,PurchaseOrderLines!$B$5:$B$504,A107),"")</f>
        <v>0</v>
      </c>
      <c r="K107" s="9" t="n">
        <f aca="false">IFERROR(SUMIFS(PurchaseOrderLines!$I$5:$I$504,PurchaseOrderLines!$B$5:$B$504,A107),"")</f>
        <v>0</v>
      </c>
      <c r="L107" s="9" t="n">
        <f aca="false">IFERROR(J107+K107,"")</f>
        <v>0</v>
      </c>
      <c r="M107" s="9" t="n">
        <f aca="false">IFERROR(SUMIFS(Payments!$E$5:$E$504,Payments!$D$5:$D$504,A107,Payments!$C$5:$C$504,"Out"),"")</f>
        <v>0</v>
      </c>
      <c r="N107" s="9" t="n">
        <f aca="false">IFERROR(L107-M107,"")</f>
        <v>0</v>
      </c>
    </row>
    <row r="108" customFormat="false" ht="15" hidden="false" customHeight="false" outlineLevel="0" collapsed="false">
      <c r="A108" s="10"/>
      <c r="B108" s="12"/>
      <c r="C108" s="10"/>
      <c r="D108" s="14" t="str">
        <f aca="false">IFERROR(IF(C108="","",INDEX(Suppliers!$B$5:$B$504,MATCH(C108,Suppliers!$A$5:$A$504,0))),"")</f>
        <v/>
      </c>
      <c r="E108" s="10" t="s">
        <v>24</v>
      </c>
      <c r="F108" s="12"/>
      <c r="G108" s="12"/>
      <c r="H108" s="10"/>
      <c r="I108" s="10"/>
      <c r="J108" s="9" t="n">
        <f aca="false">IFERROR(SUMIFS(PurchaseOrderLines!$H$5:$H$504,PurchaseOrderLines!$B$5:$B$504,A108),"")</f>
        <v>0</v>
      </c>
      <c r="K108" s="9" t="n">
        <f aca="false">IFERROR(SUMIFS(PurchaseOrderLines!$I$5:$I$504,PurchaseOrderLines!$B$5:$B$504,A108),"")</f>
        <v>0</v>
      </c>
      <c r="L108" s="9" t="n">
        <f aca="false">IFERROR(J108+K108,"")</f>
        <v>0</v>
      </c>
      <c r="M108" s="9" t="n">
        <f aca="false">IFERROR(SUMIFS(Payments!$E$5:$E$504,Payments!$D$5:$D$504,A108,Payments!$C$5:$C$504,"Out"),"")</f>
        <v>0</v>
      </c>
      <c r="N108" s="9" t="n">
        <f aca="false">IFERROR(L108-M108,"")</f>
        <v>0</v>
      </c>
    </row>
    <row r="109" customFormat="false" ht="15" hidden="false" customHeight="false" outlineLevel="0" collapsed="false">
      <c r="A109" s="10"/>
      <c r="B109" s="12"/>
      <c r="C109" s="10"/>
      <c r="D109" s="14" t="str">
        <f aca="false">IFERROR(IF(C109="","",INDEX(Suppliers!$B$5:$B$504,MATCH(C109,Suppliers!$A$5:$A$504,0))),"")</f>
        <v/>
      </c>
      <c r="E109" s="10" t="s">
        <v>24</v>
      </c>
      <c r="F109" s="12"/>
      <c r="G109" s="12"/>
      <c r="H109" s="10"/>
      <c r="I109" s="10"/>
      <c r="J109" s="9" t="n">
        <f aca="false">IFERROR(SUMIFS(PurchaseOrderLines!$H$5:$H$504,PurchaseOrderLines!$B$5:$B$504,A109),"")</f>
        <v>0</v>
      </c>
      <c r="K109" s="9" t="n">
        <f aca="false">IFERROR(SUMIFS(PurchaseOrderLines!$I$5:$I$504,PurchaseOrderLines!$B$5:$B$504,A109),"")</f>
        <v>0</v>
      </c>
      <c r="L109" s="9" t="n">
        <f aca="false">IFERROR(J109+K109,"")</f>
        <v>0</v>
      </c>
      <c r="M109" s="9" t="n">
        <f aca="false">IFERROR(SUMIFS(Payments!$E$5:$E$504,Payments!$D$5:$D$504,A109,Payments!$C$5:$C$504,"Out"),"")</f>
        <v>0</v>
      </c>
      <c r="N109" s="9" t="n">
        <f aca="false">IFERROR(L109-M109,"")</f>
        <v>0</v>
      </c>
    </row>
    <row r="110" customFormat="false" ht="15" hidden="false" customHeight="false" outlineLevel="0" collapsed="false">
      <c r="A110" s="10"/>
      <c r="B110" s="12"/>
      <c r="C110" s="10"/>
      <c r="D110" s="14" t="str">
        <f aca="false">IFERROR(IF(C110="","",INDEX(Suppliers!$B$5:$B$504,MATCH(C110,Suppliers!$A$5:$A$504,0))),"")</f>
        <v/>
      </c>
      <c r="E110" s="10" t="s">
        <v>24</v>
      </c>
      <c r="F110" s="12"/>
      <c r="G110" s="12"/>
      <c r="H110" s="10"/>
      <c r="I110" s="10"/>
      <c r="J110" s="9" t="n">
        <f aca="false">IFERROR(SUMIFS(PurchaseOrderLines!$H$5:$H$504,PurchaseOrderLines!$B$5:$B$504,A110),"")</f>
        <v>0</v>
      </c>
      <c r="K110" s="9" t="n">
        <f aca="false">IFERROR(SUMIFS(PurchaseOrderLines!$I$5:$I$504,PurchaseOrderLines!$B$5:$B$504,A110),"")</f>
        <v>0</v>
      </c>
      <c r="L110" s="9" t="n">
        <f aca="false">IFERROR(J110+K110,"")</f>
        <v>0</v>
      </c>
      <c r="M110" s="9" t="n">
        <f aca="false">IFERROR(SUMIFS(Payments!$E$5:$E$504,Payments!$D$5:$D$504,A110,Payments!$C$5:$C$504,"Out"),"")</f>
        <v>0</v>
      </c>
      <c r="N110" s="9" t="n">
        <f aca="false">IFERROR(L110-M110,"")</f>
        <v>0</v>
      </c>
    </row>
    <row r="111" customFormat="false" ht="15" hidden="false" customHeight="false" outlineLevel="0" collapsed="false">
      <c r="A111" s="10"/>
      <c r="B111" s="12"/>
      <c r="C111" s="10"/>
      <c r="D111" s="14" t="str">
        <f aca="false">IFERROR(IF(C111="","",INDEX(Suppliers!$B$5:$B$504,MATCH(C111,Suppliers!$A$5:$A$504,0))),"")</f>
        <v/>
      </c>
      <c r="E111" s="10" t="s">
        <v>24</v>
      </c>
      <c r="F111" s="12"/>
      <c r="G111" s="12"/>
      <c r="H111" s="10"/>
      <c r="I111" s="10"/>
      <c r="J111" s="9" t="n">
        <f aca="false">IFERROR(SUMIFS(PurchaseOrderLines!$H$5:$H$504,PurchaseOrderLines!$B$5:$B$504,A111),"")</f>
        <v>0</v>
      </c>
      <c r="K111" s="9" t="n">
        <f aca="false">IFERROR(SUMIFS(PurchaseOrderLines!$I$5:$I$504,PurchaseOrderLines!$B$5:$B$504,A111),"")</f>
        <v>0</v>
      </c>
      <c r="L111" s="9" t="n">
        <f aca="false">IFERROR(J111+K111,"")</f>
        <v>0</v>
      </c>
      <c r="M111" s="9" t="n">
        <f aca="false">IFERROR(SUMIFS(Payments!$E$5:$E$504,Payments!$D$5:$D$504,A111,Payments!$C$5:$C$504,"Out"),"")</f>
        <v>0</v>
      </c>
      <c r="N111" s="9" t="n">
        <f aca="false">IFERROR(L111-M111,"")</f>
        <v>0</v>
      </c>
    </row>
    <row r="112" customFormat="false" ht="15" hidden="false" customHeight="false" outlineLevel="0" collapsed="false">
      <c r="A112" s="10"/>
      <c r="B112" s="12"/>
      <c r="C112" s="10"/>
      <c r="D112" s="14" t="str">
        <f aca="false">IFERROR(IF(C112="","",INDEX(Suppliers!$B$5:$B$504,MATCH(C112,Suppliers!$A$5:$A$504,0))),"")</f>
        <v/>
      </c>
      <c r="E112" s="10" t="s">
        <v>24</v>
      </c>
      <c r="F112" s="12"/>
      <c r="G112" s="12"/>
      <c r="H112" s="10"/>
      <c r="I112" s="10"/>
      <c r="J112" s="9" t="n">
        <f aca="false">IFERROR(SUMIFS(PurchaseOrderLines!$H$5:$H$504,PurchaseOrderLines!$B$5:$B$504,A112),"")</f>
        <v>0</v>
      </c>
      <c r="K112" s="9" t="n">
        <f aca="false">IFERROR(SUMIFS(PurchaseOrderLines!$I$5:$I$504,PurchaseOrderLines!$B$5:$B$504,A112),"")</f>
        <v>0</v>
      </c>
      <c r="L112" s="9" t="n">
        <f aca="false">IFERROR(J112+K112,"")</f>
        <v>0</v>
      </c>
      <c r="M112" s="9" t="n">
        <f aca="false">IFERROR(SUMIFS(Payments!$E$5:$E$504,Payments!$D$5:$D$504,A112,Payments!$C$5:$C$504,"Out"),"")</f>
        <v>0</v>
      </c>
      <c r="N112" s="9" t="n">
        <f aca="false">IFERROR(L112-M112,"")</f>
        <v>0</v>
      </c>
    </row>
    <row r="113" customFormat="false" ht="15" hidden="false" customHeight="false" outlineLevel="0" collapsed="false">
      <c r="A113" s="10"/>
      <c r="B113" s="12"/>
      <c r="C113" s="10"/>
      <c r="D113" s="14" t="str">
        <f aca="false">IFERROR(IF(C113="","",INDEX(Suppliers!$B$5:$B$504,MATCH(C113,Suppliers!$A$5:$A$504,0))),"")</f>
        <v/>
      </c>
      <c r="E113" s="10" t="s">
        <v>24</v>
      </c>
      <c r="F113" s="12"/>
      <c r="G113" s="12"/>
      <c r="H113" s="10"/>
      <c r="I113" s="10"/>
      <c r="J113" s="9" t="n">
        <f aca="false">IFERROR(SUMIFS(PurchaseOrderLines!$H$5:$H$504,PurchaseOrderLines!$B$5:$B$504,A113),"")</f>
        <v>0</v>
      </c>
      <c r="K113" s="9" t="n">
        <f aca="false">IFERROR(SUMIFS(PurchaseOrderLines!$I$5:$I$504,PurchaseOrderLines!$B$5:$B$504,A113),"")</f>
        <v>0</v>
      </c>
      <c r="L113" s="9" t="n">
        <f aca="false">IFERROR(J113+K113,"")</f>
        <v>0</v>
      </c>
      <c r="M113" s="9" t="n">
        <f aca="false">IFERROR(SUMIFS(Payments!$E$5:$E$504,Payments!$D$5:$D$504,A113,Payments!$C$5:$C$504,"Out"),"")</f>
        <v>0</v>
      </c>
      <c r="N113" s="9" t="n">
        <f aca="false">IFERROR(L113-M113,"")</f>
        <v>0</v>
      </c>
    </row>
    <row r="114" customFormat="false" ht="15" hidden="false" customHeight="false" outlineLevel="0" collapsed="false">
      <c r="A114" s="10"/>
      <c r="B114" s="12"/>
      <c r="C114" s="10"/>
      <c r="D114" s="14" t="str">
        <f aca="false">IFERROR(IF(C114="","",INDEX(Suppliers!$B$5:$B$504,MATCH(C114,Suppliers!$A$5:$A$504,0))),"")</f>
        <v/>
      </c>
      <c r="E114" s="10" t="s">
        <v>24</v>
      </c>
      <c r="F114" s="12"/>
      <c r="G114" s="12"/>
      <c r="H114" s="10"/>
      <c r="I114" s="10"/>
      <c r="J114" s="9" t="n">
        <f aca="false">IFERROR(SUMIFS(PurchaseOrderLines!$H$5:$H$504,PurchaseOrderLines!$B$5:$B$504,A114),"")</f>
        <v>0</v>
      </c>
      <c r="K114" s="9" t="n">
        <f aca="false">IFERROR(SUMIFS(PurchaseOrderLines!$I$5:$I$504,PurchaseOrderLines!$B$5:$B$504,A114),"")</f>
        <v>0</v>
      </c>
      <c r="L114" s="9" t="n">
        <f aca="false">IFERROR(J114+K114,"")</f>
        <v>0</v>
      </c>
      <c r="M114" s="9" t="n">
        <f aca="false">IFERROR(SUMIFS(Payments!$E$5:$E$504,Payments!$D$5:$D$504,A114,Payments!$C$5:$C$504,"Out"),"")</f>
        <v>0</v>
      </c>
      <c r="N114" s="9" t="n">
        <f aca="false">IFERROR(L114-M114,"")</f>
        <v>0</v>
      </c>
    </row>
    <row r="115" customFormat="false" ht="15" hidden="false" customHeight="false" outlineLevel="0" collapsed="false">
      <c r="A115" s="10"/>
      <c r="B115" s="12"/>
      <c r="C115" s="10"/>
      <c r="D115" s="14" t="str">
        <f aca="false">IFERROR(IF(C115="","",INDEX(Suppliers!$B$5:$B$504,MATCH(C115,Suppliers!$A$5:$A$504,0))),"")</f>
        <v/>
      </c>
      <c r="E115" s="10" t="s">
        <v>24</v>
      </c>
      <c r="F115" s="12"/>
      <c r="G115" s="12"/>
      <c r="H115" s="10"/>
      <c r="I115" s="10"/>
      <c r="J115" s="9" t="n">
        <f aca="false">IFERROR(SUMIFS(PurchaseOrderLines!$H$5:$H$504,PurchaseOrderLines!$B$5:$B$504,A115),"")</f>
        <v>0</v>
      </c>
      <c r="K115" s="9" t="n">
        <f aca="false">IFERROR(SUMIFS(PurchaseOrderLines!$I$5:$I$504,PurchaseOrderLines!$B$5:$B$504,A115),"")</f>
        <v>0</v>
      </c>
      <c r="L115" s="9" t="n">
        <f aca="false">IFERROR(J115+K115,"")</f>
        <v>0</v>
      </c>
      <c r="M115" s="9" t="n">
        <f aca="false">IFERROR(SUMIFS(Payments!$E$5:$E$504,Payments!$D$5:$D$504,A115,Payments!$C$5:$C$504,"Out"),"")</f>
        <v>0</v>
      </c>
      <c r="N115" s="9" t="n">
        <f aca="false">IFERROR(L115-M115,"")</f>
        <v>0</v>
      </c>
    </row>
    <row r="116" customFormat="false" ht="15" hidden="false" customHeight="false" outlineLevel="0" collapsed="false">
      <c r="A116" s="10"/>
      <c r="B116" s="12"/>
      <c r="C116" s="10"/>
      <c r="D116" s="14" t="str">
        <f aca="false">IFERROR(IF(C116="","",INDEX(Suppliers!$B$5:$B$504,MATCH(C116,Suppliers!$A$5:$A$504,0))),"")</f>
        <v/>
      </c>
      <c r="E116" s="10" t="s">
        <v>24</v>
      </c>
      <c r="F116" s="12"/>
      <c r="G116" s="12"/>
      <c r="H116" s="10"/>
      <c r="I116" s="10"/>
      <c r="J116" s="9" t="n">
        <f aca="false">IFERROR(SUMIFS(PurchaseOrderLines!$H$5:$H$504,PurchaseOrderLines!$B$5:$B$504,A116),"")</f>
        <v>0</v>
      </c>
      <c r="K116" s="9" t="n">
        <f aca="false">IFERROR(SUMIFS(PurchaseOrderLines!$I$5:$I$504,PurchaseOrderLines!$B$5:$B$504,A116),"")</f>
        <v>0</v>
      </c>
      <c r="L116" s="9" t="n">
        <f aca="false">IFERROR(J116+K116,"")</f>
        <v>0</v>
      </c>
      <c r="M116" s="9" t="n">
        <f aca="false">IFERROR(SUMIFS(Payments!$E$5:$E$504,Payments!$D$5:$D$504,A116,Payments!$C$5:$C$504,"Out"),"")</f>
        <v>0</v>
      </c>
      <c r="N116" s="9" t="n">
        <f aca="false">IFERROR(L116-M116,"")</f>
        <v>0</v>
      </c>
    </row>
    <row r="117" customFormat="false" ht="15" hidden="false" customHeight="false" outlineLevel="0" collapsed="false">
      <c r="A117" s="10"/>
      <c r="B117" s="12"/>
      <c r="C117" s="10"/>
      <c r="D117" s="14" t="str">
        <f aca="false">IFERROR(IF(C117="","",INDEX(Suppliers!$B$5:$B$504,MATCH(C117,Suppliers!$A$5:$A$504,0))),"")</f>
        <v/>
      </c>
      <c r="E117" s="10" t="s">
        <v>24</v>
      </c>
      <c r="F117" s="12"/>
      <c r="G117" s="12"/>
      <c r="H117" s="10"/>
      <c r="I117" s="10"/>
      <c r="J117" s="9" t="n">
        <f aca="false">IFERROR(SUMIFS(PurchaseOrderLines!$H$5:$H$504,PurchaseOrderLines!$B$5:$B$504,A117),"")</f>
        <v>0</v>
      </c>
      <c r="K117" s="9" t="n">
        <f aca="false">IFERROR(SUMIFS(PurchaseOrderLines!$I$5:$I$504,PurchaseOrderLines!$B$5:$B$504,A117),"")</f>
        <v>0</v>
      </c>
      <c r="L117" s="9" t="n">
        <f aca="false">IFERROR(J117+K117,"")</f>
        <v>0</v>
      </c>
      <c r="M117" s="9" t="n">
        <f aca="false">IFERROR(SUMIFS(Payments!$E$5:$E$504,Payments!$D$5:$D$504,A117,Payments!$C$5:$C$504,"Out"),"")</f>
        <v>0</v>
      </c>
      <c r="N117" s="9" t="n">
        <f aca="false">IFERROR(L117-M117,"")</f>
        <v>0</v>
      </c>
    </row>
    <row r="118" customFormat="false" ht="15" hidden="false" customHeight="false" outlineLevel="0" collapsed="false">
      <c r="A118" s="10"/>
      <c r="B118" s="12"/>
      <c r="C118" s="10"/>
      <c r="D118" s="14" t="str">
        <f aca="false">IFERROR(IF(C118="","",INDEX(Suppliers!$B$5:$B$504,MATCH(C118,Suppliers!$A$5:$A$504,0))),"")</f>
        <v/>
      </c>
      <c r="E118" s="10" t="s">
        <v>24</v>
      </c>
      <c r="F118" s="12"/>
      <c r="G118" s="12"/>
      <c r="H118" s="10"/>
      <c r="I118" s="10"/>
      <c r="J118" s="9" t="n">
        <f aca="false">IFERROR(SUMIFS(PurchaseOrderLines!$H$5:$H$504,PurchaseOrderLines!$B$5:$B$504,A118),"")</f>
        <v>0</v>
      </c>
      <c r="K118" s="9" t="n">
        <f aca="false">IFERROR(SUMIFS(PurchaseOrderLines!$I$5:$I$504,PurchaseOrderLines!$B$5:$B$504,A118),"")</f>
        <v>0</v>
      </c>
      <c r="L118" s="9" t="n">
        <f aca="false">IFERROR(J118+K118,"")</f>
        <v>0</v>
      </c>
      <c r="M118" s="9" t="n">
        <f aca="false">IFERROR(SUMIFS(Payments!$E$5:$E$504,Payments!$D$5:$D$504,A118,Payments!$C$5:$C$504,"Out"),"")</f>
        <v>0</v>
      </c>
      <c r="N118" s="9" t="n">
        <f aca="false">IFERROR(L118-M118,"")</f>
        <v>0</v>
      </c>
    </row>
    <row r="119" customFormat="false" ht="15" hidden="false" customHeight="false" outlineLevel="0" collapsed="false">
      <c r="A119" s="10"/>
      <c r="B119" s="12"/>
      <c r="C119" s="10"/>
      <c r="D119" s="14" t="str">
        <f aca="false">IFERROR(IF(C119="","",INDEX(Suppliers!$B$5:$B$504,MATCH(C119,Suppliers!$A$5:$A$504,0))),"")</f>
        <v/>
      </c>
      <c r="E119" s="10" t="s">
        <v>24</v>
      </c>
      <c r="F119" s="12"/>
      <c r="G119" s="12"/>
      <c r="H119" s="10"/>
      <c r="I119" s="10"/>
      <c r="J119" s="9" t="n">
        <f aca="false">IFERROR(SUMIFS(PurchaseOrderLines!$H$5:$H$504,PurchaseOrderLines!$B$5:$B$504,A119),"")</f>
        <v>0</v>
      </c>
      <c r="K119" s="9" t="n">
        <f aca="false">IFERROR(SUMIFS(PurchaseOrderLines!$I$5:$I$504,PurchaseOrderLines!$B$5:$B$504,A119),"")</f>
        <v>0</v>
      </c>
      <c r="L119" s="9" t="n">
        <f aca="false">IFERROR(J119+K119,"")</f>
        <v>0</v>
      </c>
      <c r="M119" s="9" t="n">
        <f aca="false">IFERROR(SUMIFS(Payments!$E$5:$E$504,Payments!$D$5:$D$504,A119,Payments!$C$5:$C$504,"Out"),"")</f>
        <v>0</v>
      </c>
      <c r="N119" s="9" t="n">
        <f aca="false">IFERROR(L119-M119,"")</f>
        <v>0</v>
      </c>
    </row>
    <row r="120" customFormat="false" ht="15" hidden="false" customHeight="false" outlineLevel="0" collapsed="false">
      <c r="A120" s="10"/>
      <c r="B120" s="12"/>
      <c r="C120" s="10"/>
      <c r="D120" s="14" t="str">
        <f aca="false">IFERROR(IF(C120="","",INDEX(Suppliers!$B$5:$B$504,MATCH(C120,Suppliers!$A$5:$A$504,0))),"")</f>
        <v/>
      </c>
      <c r="E120" s="10" t="s">
        <v>24</v>
      </c>
      <c r="F120" s="12"/>
      <c r="G120" s="12"/>
      <c r="H120" s="10"/>
      <c r="I120" s="10"/>
      <c r="J120" s="9" t="n">
        <f aca="false">IFERROR(SUMIFS(PurchaseOrderLines!$H$5:$H$504,PurchaseOrderLines!$B$5:$B$504,A120),"")</f>
        <v>0</v>
      </c>
      <c r="K120" s="9" t="n">
        <f aca="false">IFERROR(SUMIFS(PurchaseOrderLines!$I$5:$I$504,PurchaseOrderLines!$B$5:$B$504,A120),"")</f>
        <v>0</v>
      </c>
      <c r="L120" s="9" t="n">
        <f aca="false">IFERROR(J120+K120,"")</f>
        <v>0</v>
      </c>
      <c r="M120" s="9" t="n">
        <f aca="false">IFERROR(SUMIFS(Payments!$E$5:$E$504,Payments!$D$5:$D$504,A120,Payments!$C$5:$C$504,"Out"),"")</f>
        <v>0</v>
      </c>
      <c r="N120" s="9" t="n">
        <f aca="false">IFERROR(L120-M120,"")</f>
        <v>0</v>
      </c>
    </row>
    <row r="121" customFormat="false" ht="15" hidden="false" customHeight="false" outlineLevel="0" collapsed="false">
      <c r="A121" s="10"/>
      <c r="B121" s="12"/>
      <c r="C121" s="10"/>
      <c r="D121" s="14" t="str">
        <f aca="false">IFERROR(IF(C121="","",INDEX(Suppliers!$B$5:$B$504,MATCH(C121,Suppliers!$A$5:$A$504,0))),"")</f>
        <v/>
      </c>
      <c r="E121" s="10" t="s">
        <v>24</v>
      </c>
      <c r="F121" s="12"/>
      <c r="G121" s="12"/>
      <c r="H121" s="10"/>
      <c r="I121" s="10"/>
      <c r="J121" s="9" t="n">
        <f aca="false">IFERROR(SUMIFS(PurchaseOrderLines!$H$5:$H$504,PurchaseOrderLines!$B$5:$B$504,A121),"")</f>
        <v>0</v>
      </c>
      <c r="K121" s="9" t="n">
        <f aca="false">IFERROR(SUMIFS(PurchaseOrderLines!$I$5:$I$504,PurchaseOrderLines!$B$5:$B$504,A121),"")</f>
        <v>0</v>
      </c>
      <c r="L121" s="9" t="n">
        <f aca="false">IFERROR(J121+K121,"")</f>
        <v>0</v>
      </c>
      <c r="M121" s="9" t="n">
        <f aca="false">IFERROR(SUMIFS(Payments!$E$5:$E$504,Payments!$D$5:$D$504,A121,Payments!$C$5:$C$504,"Out"),"")</f>
        <v>0</v>
      </c>
      <c r="N121" s="9" t="n">
        <f aca="false">IFERROR(L121-M121,"")</f>
        <v>0</v>
      </c>
    </row>
    <row r="122" customFormat="false" ht="15" hidden="false" customHeight="false" outlineLevel="0" collapsed="false">
      <c r="A122" s="10"/>
      <c r="B122" s="12"/>
      <c r="C122" s="10"/>
      <c r="D122" s="14" t="str">
        <f aca="false">IFERROR(IF(C122="","",INDEX(Suppliers!$B$5:$B$504,MATCH(C122,Suppliers!$A$5:$A$504,0))),"")</f>
        <v/>
      </c>
      <c r="E122" s="10" t="s">
        <v>24</v>
      </c>
      <c r="F122" s="12"/>
      <c r="G122" s="12"/>
      <c r="H122" s="10"/>
      <c r="I122" s="10"/>
      <c r="J122" s="9" t="n">
        <f aca="false">IFERROR(SUMIFS(PurchaseOrderLines!$H$5:$H$504,PurchaseOrderLines!$B$5:$B$504,A122),"")</f>
        <v>0</v>
      </c>
      <c r="K122" s="9" t="n">
        <f aca="false">IFERROR(SUMIFS(PurchaseOrderLines!$I$5:$I$504,PurchaseOrderLines!$B$5:$B$504,A122),"")</f>
        <v>0</v>
      </c>
      <c r="L122" s="9" t="n">
        <f aca="false">IFERROR(J122+K122,"")</f>
        <v>0</v>
      </c>
      <c r="M122" s="9" t="n">
        <f aca="false">IFERROR(SUMIFS(Payments!$E$5:$E$504,Payments!$D$5:$D$504,A122,Payments!$C$5:$C$504,"Out"),"")</f>
        <v>0</v>
      </c>
      <c r="N122" s="9" t="n">
        <f aca="false">IFERROR(L122-M122,"")</f>
        <v>0</v>
      </c>
    </row>
    <row r="123" customFormat="false" ht="15" hidden="false" customHeight="false" outlineLevel="0" collapsed="false">
      <c r="A123" s="10"/>
      <c r="B123" s="12"/>
      <c r="C123" s="10"/>
      <c r="D123" s="14" t="str">
        <f aca="false">IFERROR(IF(C123="","",INDEX(Suppliers!$B$5:$B$504,MATCH(C123,Suppliers!$A$5:$A$504,0))),"")</f>
        <v/>
      </c>
      <c r="E123" s="10" t="s">
        <v>24</v>
      </c>
      <c r="F123" s="12"/>
      <c r="G123" s="12"/>
      <c r="H123" s="10"/>
      <c r="I123" s="10"/>
      <c r="J123" s="9" t="n">
        <f aca="false">IFERROR(SUMIFS(PurchaseOrderLines!$H$5:$H$504,PurchaseOrderLines!$B$5:$B$504,A123),"")</f>
        <v>0</v>
      </c>
      <c r="K123" s="9" t="n">
        <f aca="false">IFERROR(SUMIFS(PurchaseOrderLines!$I$5:$I$504,PurchaseOrderLines!$B$5:$B$504,A123),"")</f>
        <v>0</v>
      </c>
      <c r="L123" s="9" t="n">
        <f aca="false">IFERROR(J123+K123,"")</f>
        <v>0</v>
      </c>
      <c r="M123" s="9" t="n">
        <f aca="false">IFERROR(SUMIFS(Payments!$E$5:$E$504,Payments!$D$5:$D$504,A123,Payments!$C$5:$C$504,"Out"),"")</f>
        <v>0</v>
      </c>
      <c r="N123" s="9" t="n">
        <f aca="false">IFERROR(L123-M123,"")</f>
        <v>0</v>
      </c>
    </row>
    <row r="124" customFormat="false" ht="15" hidden="false" customHeight="false" outlineLevel="0" collapsed="false">
      <c r="A124" s="10"/>
      <c r="B124" s="12"/>
      <c r="C124" s="10"/>
      <c r="D124" s="14" t="str">
        <f aca="false">IFERROR(IF(C124="","",INDEX(Suppliers!$B$5:$B$504,MATCH(C124,Suppliers!$A$5:$A$504,0))),"")</f>
        <v/>
      </c>
      <c r="E124" s="10" t="s">
        <v>24</v>
      </c>
      <c r="F124" s="12"/>
      <c r="G124" s="12"/>
      <c r="H124" s="10"/>
      <c r="I124" s="10"/>
      <c r="J124" s="9" t="n">
        <f aca="false">IFERROR(SUMIFS(PurchaseOrderLines!$H$5:$H$504,PurchaseOrderLines!$B$5:$B$504,A124),"")</f>
        <v>0</v>
      </c>
      <c r="K124" s="9" t="n">
        <f aca="false">IFERROR(SUMIFS(PurchaseOrderLines!$I$5:$I$504,PurchaseOrderLines!$B$5:$B$504,A124),"")</f>
        <v>0</v>
      </c>
      <c r="L124" s="9" t="n">
        <f aca="false">IFERROR(J124+K124,"")</f>
        <v>0</v>
      </c>
      <c r="M124" s="9" t="n">
        <f aca="false">IFERROR(SUMIFS(Payments!$E$5:$E$504,Payments!$D$5:$D$504,A124,Payments!$C$5:$C$504,"Out"),"")</f>
        <v>0</v>
      </c>
      <c r="N124" s="9" t="n">
        <f aca="false">IFERROR(L124-M124,"")</f>
        <v>0</v>
      </c>
    </row>
    <row r="125" customFormat="false" ht="15" hidden="false" customHeight="false" outlineLevel="0" collapsed="false">
      <c r="A125" s="10"/>
      <c r="B125" s="12"/>
      <c r="C125" s="10"/>
      <c r="D125" s="14" t="str">
        <f aca="false">IFERROR(IF(C125="","",INDEX(Suppliers!$B$5:$B$504,MATCH(C125,Suppliers!$A$5:$A$504,0))),"")</f>
        <v/>
      </c>
      <c r="E125" s="10" t="s">
        <v>24</v>
      </c>
      <c r="F125" s="12"/>
      <c r="G125" s="12"/>
      <c r="H125" s="10"/>
      <c r="I125" s="10"/>
      <c r="J125" s="9" t="n">
        <f aca="false">IFERROR(SUMIFS(PurchaseOrderLines!$H$5:$H$504,PurchaseOrderLines!$B$5:$B$504,A125),"")</f>
        <v>0</v>
      </c>
      <c r="K125" s="9" t="n">
        <f aca="false">IFERROR(SUMIFS(PurchaseOrderLines!$I$5:$I$504,PurchaseOrderLines!$B$5:$B$504,A125),"")</f>
        <v>0</v>
      </c>
      <c r="L125" s="9" t="n">
        <f aca="false">IFERROR(J125+K125,"")</f>
        <v>0</v>
      </c>
      <c r="M125" s="9" t="n">
        <f aca="false">IFERROR(SUMIFS(Payments!$E$5:$E$504,Payments!$D$5:$D$504,A125,Payments!$C$5:$C$504,"Out"),"")</f>
        <v>0</v>
      </c>
      <c r="N125" s="9" t="n">
        <f aca="false">IFERROR(L125-M125,"")</f>
        <v>0</v>
      </c>
    </row>
    <row r="126" customFormat="false" ht="15" hidden="false" customHeight="false" outlineLevel="0" collapsed="false">
      <c r="A126" s="10"/>
      <c r="B126" s="12"/>
      <c r="C126" s="10"/>
      <c r="D126" s="14" t="str">
        <f aca="false">IFERROR(IF(C126="","",INDEX(Suppliers!$B$5:$B$504,MATCH(C126,Suppliers!$A$5:$A$504,0))),"")</f>
        <v/>
      </c>
      <c r="E126" s="10" t="s">
        <v>24</v>
      </c>
      <c r="F126" s="12"/>
      <c r="G126" s="12"/>
      <c r="H126" s="10"/>
      <c r="I126" s="10"/>
      <c r="J126" s="9" t="n">
        <f aca="false">IFERROR(SUMIFS(PurchaseOrderLines!$H$5:$H$504,PurchaseOrderLines!$B$5:$B$504,A126),"")</f>
        <v>0</v>
      </c>
      <c r="K126" s="9" t="n">
        <f aca="false">IFERROR(SUMIFS(PurchaseOrderLines!$I$5:$I$504,PurchaseOrderLines!$B$5:$B$504,A126),"")</f>
        <v>0</v>
      </c>
      <c r="L126" s="9" t="n">
        <f aca="false">IFERROR(J126+K126,"")</f>
        <v>0</v>
      </c>
      <c r="M126" s="9" t="n">
        <f aca="false">IFERROR(SUMIFS(Payments!$E$5:$E$504,Payments!$D$5:$D$504,A126,Payments!$C$5:$C$504,"Out"),"")</f>
        <v>0</v>
      </c>
      <c r="N126" s="9" t="n">
        <f aca="false">IFERROR(L126-M126,"")</f>
        <v>0</v>
      </c>
    </row>
    <row r="127" customFormat="false" ht="15" hidden="false" customHeight="false" outlineLevel="0" collapsed="false">
      <c r="A127" s="10"/>
      <c r="B127" s="12"/>
      <c r="C127" s="10"/>
      <c r="D127" s="14" t="str">
        <f aca="false">IFERROR(IF(C127="","",INDEX(Suppliers!$B$5:$B$504,MATCH(C127,Suppliers!$A$5:$A$504,0))),"")</f>
        <v/>
      </c>
      <c r="E127" s="10" t="s">
        <v>24</v>
      </c>
      <c r="F127" s="12"/>
      <c r="G127" s="12"/>
      <c r="H127" s="10"/>
      <c r="I127" s="10"/>
      <c r="J127" s="9" t="n">
        <f aca="false">IFERROR(SUMIFS(PurchaseOrderLines!$H$5:$H$504,PurchaseOrderLines!$B$5:$B$504,A127),"")</f>
        <v>0</v>
      </c>
      <c r="K127" s="9" t="n">
        <f aca="false">IFERROR(SUMIFS(PurchaseOrderLines!$I$5:$I$504,PurchaseOrderLines!$B$5:$B$504,A127),"")</f>
        <v>0</v>
      </c>
      <c r="L127" s="9" t="n">
        <f aca="false">IFERROR(J127+K127,"")</f>
        <v>0</v>
      </c>
      <c r="M127" s="9" t="n">
        <f aca="false">IFERROR(SUMIFS(Payments!$E$5:$E$504,Payments!$D$5:$D$504,A127,Payments!$C$5:$C$504,"Out"),"")</f>
        <v>0</v>
      </c>
      <c r="N127" s="9" t="n">
        <f aca="false">IFERROR(L127-M127,"")</f>
        <v>0</v>
      </c>
    </row>
    <row r="128" customFormat="false" ht="15" hidden="false" customHeight="false" outlineLevel="0" collapsed="false">
      <c r="A128" s="10"/>
      <c r="B128" s="12"/>
      <c r="C128" s="10"/>
      <c r="D128" s="14" t="str">
        <f aca="false">IFERROR(IF(C128="","",INDEX(Suppliers!$B$5:$B$504,MATCH(C128,Suppliers!$A$5:$A$504,0))),"")</f>
        <v/>
      </c>
      <c r="E128" s="10" t="s">
        <v>24</v>
      </c>
      <c r="F128" s="12"/>
      <c r="G128" s="12"/>
      <c r="H128" s="10"/>
      <c r="I128" s="10"/>
      <c r="J128" s="9" t="n">
        <f aca="false">IFERROR(SUMIFS(PurchaseOrderLines!$H$5:$H$504,PurchaseOrderLines!$B$5:$B$504,A128),"")</f>
        <v>0</v>
      </c>
      <c r="K128" s="9" t="n">
        <f aca="false">IFERROR(SUMIFS(PurchaseOrderLines!$I$5:$I$504,PurchaseOrderLines!$B$5:$B$504,A128),"")</f>
        <v>0</v>
      </c>
      <c r="L128" s="9" t="n">
        <f aca="false">IFERROR(J128+K128,"")</f>
        <v>0</v>
      </c>
      <c r="M128" s="9" t="n">
        <f aca="false">IFERROR(SUMIFS(Payments!$E$5:$E$504,Payments!$D$5:$D$504,A128,Payments!$C$5:$C$504,"Out"),"")</f>
        <v>0</v>
      </c>
      <c r="N128" s="9" t="n">
        <f aca="false">IFERROR(L128-M128,"")</f>
        <v>0</v>
      </c>
    </row>
    <row r="129" customFormat="false" ht="15" hidden="false" customHeight="false" outlineLevel="0" collapsed="false">
      <c r="A129" s="10"/>
      <c r="B129" s="12"/>
      <c r="C129" s="10"/>
      <c r="D129" s="14" t="str">
        <f aca="false">IFERROR(IF(C129="","",INDEX(Suppliers!$B$5:$B$504,MATCH(C129,Suppliers!$A$5:$A$504,0))),"")</f>
        <v/>
      </c>
      <c r="E129" s="10" t="s">
        <v>24</v>
      </c>
      <c r="F129" s="12"/>
      <c r="G129" s="12"/>
      <c r="H129" s="10"/>
      <c r="I129" s="10"/>
      <c r="J129" s="9" t="n">
        <f aca="false">IFERROR(SUMIFS(PurchaseOrderLines!$H$5:$H$504,PurchaseOrderLines!$B$5:$B$504,A129),"")</f>
        <v>0</v>
      </c>
      <c r="K129" s="9" t="n">
        <f aca="false">IFERROR(SUMIFS(PurchaseOrderLines!$I$5:$I$504,PurchaseOrderLines!$B$5:$B$504,A129),"")</f>
        <v>0</v>
      </c>
      <c r="L129" s="9" t="n">
        <f aca="false">IFERROR(J129+K129,"")</f>
        <v>0</v>
      </c>
      <c r="M129" s="9" t="n">
        <f aca="false">IFERROR(SUMIFS(Payments!$E$5:$E$504,Payments!$D$5:$D$504,A129,Payments!$C$5:$C$504,"Out"),"")</f>
        <v>0</v>
      </c>
      <c r="N129" s="9" t="n">
        <f aca="false">IFERROR(L129-M129,"")</f>
        <v>0</v>
      </c>
    </row>
    <row r="130" customFormat="false" ht="15" hidden="false" customHeight="false" outlineLevel="0" collapsed="false">
      <c r="A130" s="10"/>
      <c r="B130" s="12"/>
      <c r="C130" s="10"/>
      <c r="D130" s="14" t="str">
        <f aca="false">IFERROR(IF(C130="","",INDEX(Suppliers!$B$5:$B$504,MATCH(C130,Suppliers!$A$5:$A$504,0))),"")</f>
        <v/>
      </c>
      <c r="E130" s="10" t="s">
        <v>24</v>
      </c>
      <c r="F130" s="12"/>
      <c r="G130" s="12"/>
      <c r="H130" s="10"/>
      <c r="I130" s="10"/>
      <c r="J130" s="9" t="n">
        <f aca="false">IFERROR(SUMIFS(PurchaseOrderLines!$H$5:$H$504,PurchaseOrderLines!$B$5:$B$504,A130),"")</f>
        <v>0</v>
      </c>
      <c r="K130" s="9" t="n">
        <f aca="false">IFERROR(SUMIFS(PurchaseOrderLines!$I$5:$I$504,PurchaseOrderLines!$B$5:$B$504,A130),"")</f>
        <v>0</v>
      </c>
      <c r="L130" s="9" t="n">
        <f aca="false">IFERROR(J130+K130,"")</f>
        <v>0</v>
      </c>
      <c r="M130" s="9" t="n">
        <f aca="false">IFERROR(SUMIFS(Payments!$E$5:$E$504,Payments!$D$5:$D$504,A130,Payments!$C$5:$C$504,"Out"),"")</f>
        <v>0</v>
      </c>
      <c r="N130" s="9" t="n">
        <f aca="false">IFERROR(L130-M130,"")</f>
        <v>0</v>
      </c>
    </row>
    <row r="131" customFormat="false" ht="15" hidden="false" customHeight="false" outlineLevel="0" collapsed="false">
      <c r="A131" s="10"/>
      <c r="B131" s="12"/>
      <c r="C131" s="10"/>
      <c r="D131" s="14" t="str">
        <f aca="false">IFERROR(IF(C131="","",INDEX(Suppliers!$B$5:$B$504,MATCH(C131,Suppliers!$A$5:$A$504,0))),"")</f>
        <v/>
      </c>
      <c r="E131" s="10" t="s">
        <v>24</v>
      </c>
      <c r="F131" s="12"/>
      <c r="G131" s="12"/>
      <c r="H131" s="10"/>
      <c r="I131" s="10"/>
      <c r="J131" s="9" t="n">
        <f aca="false">IFERROR(SUMIFS(PurchaseOrderLines!$H$5:$H$504,PurchaseOrderLines!$B$5:$B$504,A131),"")</f>
        <v>0</v>
      </c>
      <c r="K131" s="9" t="n">
        <f aca="false">IFERROR(SUMIFS(PurchaseOrderLines!$I$5:$I$504,PurchaseOrderLines!$B$5:$B$504,A131),"")</f>
        <v>0</v>
      </c>
      <c r="L131" s="9" t="n">
        <f aca="false">IFERROR(J131+K131,"")</f>
        <v>0</v>
      </c>
      <c r="M131" s="9" t="n">
        <f aca="false">IFERROR(SUMIFS(Payments!$E$5:$E$504,Payments!$D$5:$D$504,A131,Payments!$C$5:$C$504,"Out"),"")</f>
        <v>0</v>
      </c>
      <c r="N131" s="9" t="n">
        <f aca="false">IFERROR(L131-M131,"")</f>
        <v>0</v>
      </c>
    </row>
    <row r="132" customFormat="false" ht="15" hidden="false" customHeight="false" outlineLevel="0" collapsed="false">
      <c r="A132" s="10"/>
      <c r="B132" s="12"/>
      <c r="C132" s="10"/>
      <c r="D132" s="14" t="str">
        <f aca="false">IFERROR(IF(C132="","",INDEX(Suppliers!$B$5:$B$504,MATCH(C132,Suppliers!$A$5:$A$504,0))),"")</f>
        <v/>
      </c>
      <c r="E132" s="10" t="s">
        <v>24</v>
      </c>
      <c r="F132" s="12"/>
      <c r="G132" s="12"/>
      <c r="H132" s="10"/>
      <c r="I132" s="10"/>
      <c r="J132" s="9" t="n">
        <f aca="false">IFERROR(SUMIFS(PurchaseOrderLines!$H$5:$H$504,PurchaseOrderLines!$B$5:$B$504,A132),"")</f>
        <v>0</v>
      </c>
      <c r="K132" s="9" t="n">
        <f aca="false">IFERROR(SUMIFS(PurchaseOrderLines!$I$5:$I$504,PurchaseOrderLines!$B$5:$B$504,A132),"")</f>
        <v>0</v>
      </c>
      <c r="L132" s="9" t="n">
        <f aca="false">IFERROR(J132+K132,"")</f>
        <v>0</v>
      </c>
      <c r="M132" s="9" t="n">
        <f aca="false">IFERROR(SUMIFS(Payments!$E$5:$E$504,Payments!$D$5:$D$504,A132,Payments!$C$5:$C$504,"Out"),"")</f>
        <v>0</v>
      </c>
      <c r="N132" s="9" t="n">
        <f aca="false">IFERROR(L132-M132,"")</f>
        <v>0</v>
      </c>
    </row>
    <row r="133" customFormat="false" ht="15" hidden="false" customHeight="false" outlineLevel="0" collapsed="false">
      <c r="A133" s="10"/>
      <c r="B133" s="12"/>
      <c r="C133" s="10"/>
      <c r="D133" s="14" t="str">
        <f aca="false">IFERROR(IF(C133="","",INDEX(Suppliers!$B$5:$B$504,MATCH(C133,Suppliers!$A$5:$A$504,0))),"")</f>
        <v/>
      </c>
      <c r="E133" s="10" t="s">
        <v>24</v>
      </c>
      <c r="F133" s="12"/>
      <c r="G133" s="12"/>
      <c r="H133" s="10"/>
      <c r="I133" s="10"/>
      <c r="J133" s="9" t="n">
        <f aca="false">IFERROR(SUMIFS(PurchaseOrderLines!$H$5:$H$504,PurchaseOrderLines!$B$5:$B$504,A133),"")</f>
        <v>0</v>
      </c>
      <c r="K133" s="9" t="n">
        <f aca="false">IFERROR(SUMIFS(PurchaseOrderLines!$I$5:$I$504,PurchaseOrderLines!$B$5:$B$504,A133),"")</f>
        <v>0</v>
      </c>
      <c r="L133" s="9" t="n">
        <f aca="false">IFERROR(J133+K133,"")</f>
        <v>0</v>
      </c>
      <c r="M133" s="9" t="n">
        <f aca="false">IFERROR(SUMIFS(Payments!$E$5:$E$504,Payments!$D$5:$D$504,A133,Payments!$C$5:$C$504,"Out"),"")</f>
        <v>0</v>
      </c>
      <c r="N133" s="9" t="n">
        <f aca="false">IFERROR(L133-M133,"")</f>
        <v>0</v>
      </c>
    </row>
    <row r="134" customFormat="false" ht="15" hidden="false" customHeight="false" outlineLevel="0" collapsed="false">
      <c r="A134" s="10"/>
      <c r="B134" s="12"/>
      <c r="C134" s="10"/>
      <c r="D134" s="14" t="str">
        <f aca="false">IFERROR(IF(C134="","",INDEX(Suppliers!$B$5:$B$504,MATCH(C134,Suppliers!$A$5:$A$504,0))),"")</f>
        <v/>
      </c>
      <c r="E134" s="10" t="s">
        <v>24</v>
      </c>
      <c r="F134" s="12"/>
      <c r="G134" s="12"/>
      <c r="H134" s="10"/>
      <c r="I134" s="10"/>
      <c r="J134" s="9" t="n">
        <f aca="false">IFERROR(SUMIFS(PurchaseOrderLines!$H$5:$H$504,PurchaseOrderLines!$B$5:$B$504,A134),"")</f>
        <v>0</v>
      </c>
      <c r="K134" s="9" t="n">
        <f aca="false">IFERROR(SUMIFS(PurchaseOrderLines!$I$5:$I$504,PurchaseOrderLines!$B$5:$B$504,A134),"")</f>
        <v>0</v>
      </c>
      <c r="L134" s="9" t="n">
        <f aca="false">IFERROR(J134+K134,"")</f>
        <v>0</v>
      </c>
      <c r="M134" s="9" t="n">
        <f aca="false">IFERROR(SUMIFS(Payments!$E$5:$E$504,Payments!$D$5:$D$504,A134,Payments!$C$5:$C$504,"Out"),"")</f>
        <v>0</v>
      </c>
      <c r="N134" s="9" t="n">
        <f aca="false">IFERROR(L134-M134,"")</f>
        <v>0</v>
      </c>
    </row>
    <row r="135" customFormat="false" ht="15" hidden="false" customHeight="false" outlineLevel="0" collapsed="false">
      <c r="A135" s="10"/>
      <c r="B135" s="12"/>
      <c r="C135" s="10"/>
      <c r="D135" s="14" t="str">
        <f aca="false">IFERROR(IF(C135="","",INDEX(Suppliers!$B$5:$B$504,MATCH(C135,Suppliers!$A$5:$A$504,0))),"")</f>
        <v/>
      </c>
      <c r="E135" s="10" t="s">
        <v>24</v>
      </c>
      <c r="F135" s="12"/>
      <c r="G135" s="12"/>
      <c r="H135" s="10"/>
      <c r="I135" s="10"/>
      <c r="J135" s="9" t="n">
        <f aca="false">IFERROR(SUMIFS(PurchaseOrderLines!$H$5:$H$504,PurchaseOrderLines!$B$5:$B$504,A135),"")</f>
        <v>0</v>
      </c>
      <c r="K135" s="9" t="n">
        <f aca="false">IFERROR(SUMIFS(PurchaseOrderLines!$I$5:$I$504,PurchaseOrderLines!$B$5:$B$504,A135),"")</f>
        <v>0</v>
      </c>
      <c r="L135" s="9" t="n">
        <f aca="false">IFERROR(J135+K135,"")</f>
        <v>0</v>
      </c>
      <c r="M135" s="9" t="n">
        <f aca="false">IFERROR(SUMIFS(Payments!$E$5:$E$504,Payments!$D$5:$D$504,A135,Payments!$C$5:$C$504,"Out"),"")</f>
        <v>0</v>
      </c>
      <c r="N135" s="9" t="n">
        <f aca="false">IFERROR(L135-M135,"")</f>
        <v>0</v>
      </c>
    </row>
    <row r="136" customFormat="false" ht="15" hidden="false" customHeight="false" outlineLevel="0" collapsed="false">
      <c r="A136" s="10"/>
      <c r="B136" s="12"/>
      <c r="C136" s="10"/>
      <c r="D136" s="14" t="str">
        <f aca="false">IFERROR(IF(C136="","",INDEX(Suppliers!$B$5:$B$504,MATCH(C136,Suppliers!$A$5:$A$504,0))),"")</f>
        <v/>
      </c>
      <c r="E136" s="10" t="s">
        <v>24</v>
      </c>
      <c r="F136" s="12"/>
      <c r="G136" s="12"/>
      <c r="H136" s="10"/>
      <c r="I136" s="10"/>
      <c r="J136" s="9" t="n">
        <f aca="false">IFERROR(SUMIFS(PurchaseOrderLines!$H$5:$H$504,PurchaseOrderLines!$B$5:$B$504,A136),"")</f>
        <v>0</v>
      </c>
      <c r="K136" s="9" t="n">
        <f aca="false">IFERROR(SUMIFS(PurchaseOrderLines!$I$5:$I$504,PurchaseOrderLines!$B$5:$B$504,A136),"")</f>
        <v>0</v>
      </c>
      <c r="L136" s="9" t="n">
        <f aca="false">IFERROR(J136+K136,"")</f>
        <v>0</v>
      </c>
      <c r="M136" s="9" t="n">
        <f aca="false">IFERROR(SUMIFS(Payments!$E$5:$E$504,Payments!$D$5:$D$504,A136,Payments!$C$5:$C$504,"Out"),"")</f>
        <v>0</v>
      </c>
      <c r="N136" s="9" t="n">
        <f aca="false">IFERROR(L136-M136,"")</f>
        <v>0</v>
      </c>
    </row>
    <row r="137" customFormat="false" ht="15" hidden="false" customHeight="false" outlineLevel="0" collapsed="false">
      <c r="A137" s="10"/>
      <c r="B137" s="12"/>
      <c r="C137" s="10"/>
      <c r="D137" s="14" t="str">
        <f aca="false">IFERROR(IF(C137="","",INDEX(Suppliers!$B$5:$B$504,MATCH(C137,Suppliers!$A$5:$A$504,0))),"")</f>
        <v/>
      </c>
      <c r="E137" s="10" t="s">
        <v>24</v>
      </c>
      <c r="F137" s="12"/>
      <c r="G137" s="12"/>
      <c r="H137" s="10"/>
      <c r="I137" s="10"/>
      <c r="J137" s="9" t="n">
        <f aca="false">IFERROR(SUMIFS(PurchaseOrderLines!$H$5:$H$504,PurchaseOrderLines!$B$5:$B$504,A137),"")</f>
        <v>0</v>
      </c>
      <c r="K137" s="9" t="n">
        <f aca="false">IFERROR(SUMIFS(PurchaseOrderLines!$I$5:$I$504,PurchaseOrderLines!$B$5:$B$504,A137),"")</f>
        <v>0</v>
      </c>
      <c r="L137" s="9" t="n">
        <f aca="false">IFERROR(J137+K137,"")</f>
        <v>0</v>
      </c>
      <c r="M137" s="9" t="n">
        <f aca="false">IFERROR(SUMIFS(Payments!$E$5:$E$504,Payments!$D$5:$D$504,A137,Payments!$C$5:$C$504,"Out"),"")</f>
        <v>0</v>
      </c>
      <c r="N137" s="9" t="n">
        <f aca="false">IFERROR(L137-M137,"")</f>
        <v>0</v>
      </c>
    </row>
    <row r="138" customFormat="false" ht="15" hidden="false" customHeight="false" outlineLevel="0" collapsed="false">
      <c r="A138" s="10"/>
      <c r="B138" s="12"/>
      <c r="C138" s="10"/>
      <c r="D138" s="14" t="str">
        <f aca="false">IFERROR(IF(C138="","",INDEX(Suppliers!$B$5:$B$504,MATCH(C138,Suppliers!$A$5:$A$504,0))),"")</f>
        <v/>
      </c>
      <c r="E138" s="10" t="s">
        <v>24</v>
      </c>
      <c r="F138" s="12"/>
      <c r="G138" s="12"/>
      <c r="H138" s="10"/>
      <c r="I138" s="10"/>
      <c r="J138" s="9" t="n">
        <f aca="false">IFERROR(SUMIFS(PurchaseOrderLines!$H$5:$H$504,PurchaseOrderLines!$B$5:$B$504,A138),"")</f>
        <v>0</v>
      </c>
      <c r="K138" s="9" t="n">
        <f aca="false">IFERROR(SUMIFS(PurchaseOrderLines!$I$5:$I$504,PurchaseOrderLines!$B$5:$B$504,A138),"")</f>
        <v>0</v>
      </c>
      <c r="L138" s="9" t="n">
        <f aca="false">IFERROR(J138+K138,"")</f>
        <v>0</v>
      </c>
      <c r="M138" s="9" t="n">
        <f aca="false">IFERROR(SUMIFS(Payments!$E$5:$E$504,Payments!$D$5:$D$504,A138,Payments!$C$5:$C$504,"Out"),"")</f>
        <v>0</v>
      </c>
      <c r="N138" s="9" t="n">
        <f aca="false">IFERROR(L138-M138,"")</f>
        <v>0</v>
      </c>
    </row>
    <row r="139" customFormat="false" ht="15" hidden="false" customHeight="false" outlineLevel="0" collapsed="false">
      <c r="A139" s="10"/>
      <c r="B139" s="12"/>
      <c r="C139" s="10"/>
      <c r="D139" s="14" t="str">
        <f aca="false">IFERROR(IF(C139="","",INDEX(Suppliers!$B$5:$B$504,MATCH(C139,Suppliers!$A$5:$A$504,0))),"")</f>
        <v/>
      </c>
      <c r="E139" s="10" t="s">
        <v>24</v>
      </c>
      <c r="F139" s="12"/>
      <c r="G139" s="12"/>
      <c r="H139" s="10"/>
      <c r="I139" s="10"/>
      <c r="J139" s="9" t="n">
        <f aca="false">IFERROR(SUMIFS(PurchaseOrderLines!$H$5:$H$504,PurchaseOrderLines!$B$5:$B$504,A139),"")</f>
        <v>0</v>
      </c>
      <c r="K139" s="9" t="n">
        <f aca="false">IFERROR(SUMIFS(PurchaseOrderLines!$I$5:$I$504,PurchaseOrderLines!$B$5:$B$504,A139),"")</f>
        <v>0</v>
      </c>
      <c r="L139" s="9" t="n">
        <f aca="false">IFERROR(J139+K139,"")</f>
        <v>0</v>
      </c>
      <c r="M139" s="9" t="n">
        <f aca="false">IFERROR(SUMIFS(Payments!$E$5:$E$504,Payments!$D$5:$D$504,A139,Payments!$C$5:$C$504,"Out"),"")</f>
        <v>0</v>
      </c>
      <c r="N139" s="9" t="n">
        <f aca="false">IFERROR(L139-M139,"")</f>
        <v>0</v>
      </c>
    </row>
    <row r="140" customFormat="false" ht="15" hidden="false" customHeight="false" outlineLevel="0" collapsed="false">
      <c r="A140" s="10"/>
      <c r="B140" s="12"/>
      <c r="C140" s="10"/>
      <c r="D140" s="14" t="str">
        <f aca="false">IFERROR(IF(C140="","",INDEX(Suppliers!$B$5:$B$504,MATCH(C140,Suppliers!$A$5:$A$504,0))),"")</f>
        <v/>
      </c>
      <c r="E140" s="10" t="s">
        <v>24</v>
      </c>
      <c r="F140" s="12"/>
      <c r="G140" s="12"/>
      <c r="H140" s="10"/>
      <c r="I140" s="10"/>
      <c r="J140" s="9" t="n">
        <f aca="false">IFERROR(SUMIFS(PurchaseOrderLines!$H$5:$H$504,PurchaseOrderLines!$B$5:$B$504,A140),"")</f>
        <v>0</v>
      </c>
      <c r="K140" s="9" t="n">
        <f aca="false">IFERROR(SUMIFS(PurchaseOrderLines!$I$5:$I$504,PurchaseOrderLines!$B$5:$B$504,A140),"")</f>
        <v>0</v>
      </c>
      <c r="L140" s="9" t="n">
        <f aca="false">IFERROR(J140+K140,"")</f>
        <v>0</v>
      </c>
      <c r="M140" s="9" t="n">
        <f aca="false">IFERROR(SUMIFS(Payments!$E$5:$E$504,Payments!$D$5:$D$504,A140,Payments!$C$5:$C$504,"Out"),"")</f>
        <v>0</v>
      </c>
      <c r="N140" s="9" t="n">
        <f aca="false">IFERROR(L140-M140,"")</f>
        <v>0</v>
      </c>
    </row>
    <row r="141" customFormat="false" ht="15" hidden="false" customHeight="false" outlineLevel="0" collapsed="false">
      <c r="A141" s="10"/>
      <c r="B141" s="12"/>
      <c r="C141" s="10"/>
      <c r="D141" s="14" t="str">
        <f aca="false">IFERROR(IF(C141="","",INDEX(Suppliers!$B$5:$B$504,MATCH(C141,Suppliers!$A$5:$A$504,0))),"")</f>
        <v/>
      </c>
      <c r="E141" s="10" t="s">
        <v>24</v>
      </c>
      <c r="F141" s="12"/>
      <c r="G141" s="12"/>
      <c r="H141" s="10"/>
      <c r="I141" s="10"/>
      <c r="J141" s="9" t="n">
        <f aca="false">IFERROR(SUMIFS(PurchaseOrderLines!$H$5:$H$504,PurchaseOrderLines!$B$5:$B$504,A141),"")</f>
        <v>0</v>
      </c>
      <c r="K141" s="9" t="n">
        <f aca="false">IFERROR(SUMIFS(PurchaseOrderLines!$I$5:$I$504,PurchaseOrderLines!$B$5:$B$504,A141),"")</f>
        <v>0</v>
      </c>
      <c r="L141" s="9" t="n">
        <f aca="false">IFERROR(J141+K141,"")</f>
        <v>0</v>
      </c>
      <c r="M141" s="9" t="n">
        <f aca="false">IFERROR(SUMIFS(Payments!$E$5:$E$504,Payments!$D$5:$D$504,A141,Payments!$C$5:$C$504,"Out"),"")</f>
        <v>0</v>
      </c>
      <c r="N141" s="9" t="n">
        <f aca="false">IFERROR(L141-M141,"")</f>
        <v>0</v>
      </c>
    </row>
    <row r="142" customFormat="false" ht="15" hidden="false" customHeight="false" outlineLevel="0" collapsed="false">
      <c r="A142" s="10"/>
      <c r="B142" s="12"/>
      <c r="C142" s="10"/>
      <c r="D142" s="14" t="str">
        <f aca="false">IFERROR(IF(C142="","",INDEX(Suppliers!$B$5:$B$504,MATCH(C142,Suppliers!$A$5:$A$504,0))),"")</f>
        <v/>
      </c>
      <c r="E142" s="10" t="s">
        <v>24</v>
      </c>
      <c r="F142" s="12"/>
      <c r="G142" s="12"/>
      <c r="H142" s="10"/>
      <c r="I142" s="10"/>
      <c r="J142" s="9" t="n">
        <f aca="false">IFERROR(SUMIFS(PurchaseOrderLines!$H$5:$H$504,PurchaseOrderLines!$B$5:$B$504,A142),"")</f>
        <v>0</v>
      </c>
      <c r="K142" s="9" t="n">
        <f aca="false">IFERROR(SUMIFS(PurchaseOrderLines!$I$5:$I$504,PurchaseOrderLines!$B$5:$B$504,A142),"")</f>
        <v>0</v>
      </c>
      <c r="L142" s="9" t="n">
        <f aca="false">IFERROR(J142+K142,"")</f>
        <v>0</v>
      </c>
      <c r="M142" s="9" t="n">
        <f aca="false">IFERROR(SUMIFS(Payments!$E$5:$E$504,Payments!$D$5:$D$504,A142,Payments!$C$5:$C$504,"Out"),"")</f>
        <v>0</v>
      </c>
      <c r="N142" s="9" t="n">
        <f aca="false">IFERROR(L142-M142,"")</f>
        <v>0</v>
      </c>
    </row>
    <row r="143" customFormat="false" ht="15" hidden="false" customHeight="false" outlineLevel="0" collapsed="false">
      <c r="A143" s="10"/>
      <c r="B143" s="12"/>
      <c r="C143" s="10"/>
      <c r="D143" s="14" t="str">
        <f aca="false">IFERROR(IF(C143="","",INDEX(Suppliers!$B$5:$B$504,MATCH(C143,Suppliers!$A$5:$A$504,0))),"")</f>
        <v/>
      </c>
      <c r="E143" s="10" t="s">
        <v>24</v>
      </c>
      <c r="F143" s="12"/>
      <c r="G143" s="12"/>
      <c r="H143" s="10"/>
      <c r="I143" s="10"/>
      <c r="J143" s="9" t="n">
        <f aca="false">IFERROR(SUMIFS(PurchaseOrderLines!$H$5:$H$504,PurchaseOrderLines!$B$5:$B$504,A143),"")</f>
        <v>0</v>
      </c>
      <c r="K143" s="9" t="n">
        <f aca="false">IFERROR(SUMIFS(PurchaseOrderLines!$I$5:$I$504,PurchaseOrderLines!$B$5:$B$504,A143),"")</f>
        <v>0</v>
      </c>
      <c r="L143" s="9" t="n">
        <f aca="false">IFERROR(J143+K143,"")</f>
        <v>0</v>
      </c>
      <c r="M143" s="9" t="n">
        <f aca="false">IFERROR(SUMIFS(Payments!$E$5:$E$504,Payments!$D$5:$D$504,A143,Payments!$C$5:$C$504,"Out"),"")</f>
        <v>0</v>
      </c>
      <c r="N143" s="9" t="n">
        <f aca="false">IFERROR(L143-M143,"")</f>
        <v>0</v>
      </c>
    </row>
    <row r="144" customFormat="false" ht="15" hidden="false" customHeight="false" outlineLevel="0" collapsed="false">
      <c r="A144" s="10"/>
      <c r="B144" s="12"/>
      <c r="C144" s="10"/>
      <c r="D144" s="14" t="str">
        <f aca="false">IFERROR(IF(C144="","",INDEX(Suppliers!$B$5:$B$504,MATCH(C144,Suppliers!$A$5:$A$504,0))),"")</f>
        <v/>
      </c>
      <c r="E144" s="10" t="s">
        <v>24</v>
      </c>
      <c r="F144" s="12"/>
      <c r="G144" s="12"/>
      <c r="H144" s="10"/>
      <c r="I144" s="10"/>
      <c r="J144" s="9" t="n">
        <f aca="false">IFERROR(SUMIFS(PurchaseOrderLines!$H$5:$H$504,PurchaseOrderLines!$B$5:$B$504,A144),"")</f>
        <v>0</v>
      </c>
      <c r="K144" s="9" t="n">
        <f aca="false">IFERROR(SUMIFS(PurchaseOrderLines!$I$5:$I$504,PurchaseOrderLines!$B$5:$B$504,A144),"")</f>
        <v>0</v>
      </c>
      <c r="L144" s="9" t="n">
        <f aca="false">IFERROR(J144+K144,"")</f>
        <v>0</v>
      </c>
      <c r="M144" s="9" t="n">
        <f aca="false">IFERROR(SUMIFS(Payments!$E$5:$E$504,Payments!$D$5:$D$504,A144,Payments!$C$5:$C$504,"Out"),"")</f>
        <v>0</v>
      </c>
      <c r="N144" s="9" t="n">
        <f aca="false">IFERROR(L144-M144,"")</f>
        <v>0</v>
      </c>
    </row>
    <row r="145" customFormat="false" ht="15" hidden="false" customHeight="false" outlineLevel="0" collapsed="false">
      <c r="A145" s="10"/>
      <c r="B145" s="12"/>
      <c r="C145" s="10"/>
      <c r="D145" s="14" t="str">
        <f aca="false">IFERROR(IF(C145="","",INDEX(Suppliers!$B$5:$B$504,MATCH(C145,Suppliers!$A$5:$A$504,0))),"")</f>
        <v/>
      </c>
      <c r="E145" s="10" t="s">
        <v>24</v>
      </c>
      <c r="F145" s="12"/>
      <c r="G145" s="12"/>
      <c r="H145" s="10"/>
      <c r="I145" s="10"/>
      <c r="J145" s="9" t="n">
        <f aca="false">IFERROR(SUMIFS(PurchaseOrderLines!$H$5:$H$504,PurchaseOrderLines!$B$5:$B$504,A145),"")</f>
        <v>0</v>
      </c>
      <c r="K145" s="9" t="n">
        <f aca="false">IFERROR(SUMIFS(PurchaseOrderLines!$I$5:$I$504,PurchaseOrderLines!$B$5:$B$504,A145),"")</f>
        <v>0</v>
      </c>
      <c r="L145" s="9" t="n">
        <f aca="false">IFERROR(J145+K145,"")</f>
        <v>0</v>
      </c>
      <c r="M145" s="9" t="n">
        <f aca="false">IFERROR(SUMIFS(Payments!$E$5:$E$504,Payments!$D$5:$D$504,A145,Payments!$C$5:$C$504,"Out"),"")</f>
        <v>0</v>
      </c>
      <c r="N145" s="9" t="n">
        <f aca="false">IFERROR(L145-M145,"")</f>
        <v>0</v>
      </c>
    </row>
    <row r="146" customFormat="false" ht="15" hidden="false" customHeight="false" outlineLevel="0" collapsed="false">
      <c r="A146" s="10"/>
      <c r="B146" s="12"/>
      <c r="C146" s="10"/>
      <c r="D146" s="14" t="str">
        <f aca="false">IFERROR(IF(C146="","",INDEX(Suppliers!$B$5:$B$504,MATCH(C146,Suppliers!$A$5:$A$504,0))),"")</f>
        <v/>
      </c>
      <c r="E146" s="10" t="s">
        <v>24</v>
      </c>
      <c r="F146" s="12"/>
      <c r="G146" s="12"/>
      <c r="H146" s="10"/>
      <c r="I146" s="10"/>
      <c r="J146" s="9" t="n">
        <f aca="false">IFERROR(SUMIFS(PurchaseOrderLines!$H$5:$H$504,PurchaseOrderLines!$B$5:$B$504,A146),"")</f>
        <v>0</v>
      </c>
      <c r="K146" s="9" t="n">
        <f aca="false">IFERROR(SUMIFS(PurchaseOrderLines!$I$5:$I$504,PurchaseOrderLines!$B$5:$B$504,A146),"")</f>
        <v>0</v>
      </c>
      <c r="L146" s="9" t="n">
        <f aca="false">IFERROR(J146+K146,"")</f>
        <v>0</v>
      </c>
      <c r="M146" s="9" t="n">
        <f aca="false">IFERROR(SUMIFS(Payments!$E$5:$E$504,Payments!$D$5:$D$504,A146,Payments!$C$5:$C$504,"Out"),"")</f>
        <v>0</v>
      </c>
      <c r="N146" s="9" t="n">
        <f aca="false">IFERROR(L146-M146,"")</f>
        <v>0</v>
      </c>
    </row>
    <row r="147" customFormat="false" ht="15" hidden="false" customHeight="false" outlineLevel="0" collapsed="false">
      <c r="A147" s="10"/>
      <c r="B147" s="12"/>
      <c r="C147" s="10"/>
      <c r="D147" s="14" t="str">
        <f aca="false">IFERROR(IF(C147="","",INDEX(Suppliers!$B$5:$B$504,MATCH(C147,Suppliers!$A$5:$A$504,0))),"")</f>
        <v/>
      </c>
      <c r="E147" s="10" t="s">
        <v>24</v>
      </c>
      <c r="F147" s="12"/>
      <c r="G147" s="12"/>
      <c r="H147" s="10"/>
      <c r="I147" s="10"/>
      <c r="J147" s="9" t="n">
        <f aca="false">IFERROR(SUMIFS(PurchaseOrderLines!$H$5:$H$504,PurchaseOrderLines!$B$5:$B$504,A147),"")</f>
        <v>0</v>
      </c>
      <c r="K147" s="9" t="n">
        <f aca="false">IFERROR(SUMIFS(PurchaseOrderLines!$I$5:$I$504,PurchaseOrderLines!$B$5:$B$504,A147),"")</f>
        <v>0</v>
      </c>
      <c r="L147" s="9" t="n">
        <f aca="false">IFERROR(J147+K147,"")</f>
        <v>0</v>
      </c>
      <c r="M147" s="9" t="n">
        <f aca="false">IFERROR(SUMIFS(Payments!$E$5:$E$504,Payments!$D$5:$D$504,A147,Payments!$C$5:$C$504,"Out"),"")</f>
        <v>0</v>
      </c>
      <c r="N147" s="9" t="n">
        <f aca="false">IFERROR(L147-M147,"")</f>
        <v>0</v>
      </c>
    </row>
    <row r="148" customFormat="false" ht="15" hidden="false" customHeight="false" outlineLevel="0" collapsed="false">
      <c r="A148" s="10"/>
      <c r="B148" s="12"/>
      <c r="C148" s="10"/>
      <c r="D148" s="14" t="str">
        <f aca="false">IFERROR(IF(C148="","",INDEX(Suppliers!$B$5:$B$504,MATCH(C148,Suppliers!$A$5:$A$504,0))),"")</f>
        <v/>
      </c>
      <c r="E148" s="10" t="s">
        <v>24</v>
      </c>
      <c r="F148" s="12"/>
      <c r="G148" s="12"/>
      <c r="H148" s="10"/>
      <c r="I148" s="10"/>
      <c r="J148" s="9" t="n">
        <f aca="false">IFERROR(SUMIFS(PurchaseOrderLines!$H$5:$H$504,PurchaseOrderLines!$B$5:$B$504,A148),"")</f>
        <v>0</v>
      </c>
      <c r="K148" s="9" t="n">
        <f aca="false">IFERROR(SUMIFS(PurchaseOrderLines!$I$5:$I$504,PurchaseOrderLines!$B$5:$B$504,A148),"")</f>
        <v>0</v>
      </c>
      <c r="L148" s="9" t="n">
        <f aca="false">IFERROR(J148+K148,"")</f>
        <v>0</v>
      </c>
      <c r="M148" s="9" t="n">
        <f aca="false">IFERROR(SUMIFS(Payments!$E$5:$E$504,Payments!$D$5:$D$504,A148,Payments!$C$5:$C$504,"Out"),"")</f>
        <v>0</v>
      </c>
      <c r="N148" s="9" t="n">
        <f aca="false">IFERROR(L148-M148,"")</f>
        <v>0</v>
      </c>
    </row>
    <row r="149" customFormat="false" ht="15" hidden="false" customHeight="false" outlineLevel="0" collapsed="false">
      <c r="A149" s="10"/>
      <c r="B149" s="12"/>
      <c r="C149" s="10"/>
      <c r="D149" s="14" t="str">
        <f aca="false">IFERROR(IF(C149="","",INDEX(Suppliers!$B$5:$B$504,MATCH(C149,Suppliers!$A$5:$A$504,0))),"")</f>
        <v/>
      </c>
      <c r="E149" s="10" t="s">
        <v>24</v>
      </c>
      <c r="F149" s="12"/>
      <c r="G149" s="12"/>
      <c r="H149" s="10"/>
      <c r="I149" s="10"/>
      <c r="J149" s="9" t="n">
        <f aca="false">IFERROR(SUMIFS(PurchaseOrderLines!$H$5:$H$504,PurchaseOrderLines!$B$5:$B$504,A149),"")</f>
        <v>0</v>
      </c>
      <c r="K149" s="9" t="n">
        <f aca="false">IFERROR(SUMIFS(PurchaseOrderLines!$I$5:$I$504,PurchaseOrderLines!$B$5:$B$504,A149),"")</f>
        <v>0</v>
      </c>
      <c r="L149" s="9" t="n">
        <f aca="false">IFERROR(J149+K149,"")</f>
        <v>0</v>
      </c>
      <c r="M149" s="9" t="n">
        <f aca="false">IFERROR(SUMIFS(Payments!$E$5:$E$504,Payments!$D$5:$D$504,A149,Payments!$C$5:$C$504,"Out"),"")</f>
        <v>0</v>
      </c>
      <c r="N149" s="9" t="n">
        <f aca="false">IFERROR(L149-M149,"")</f>
        <v>0</v>
      </c>
    </row>
    <row r="150" customFormat="false" ht="15" hidden="false" customHeight="false" outlineLevel="0" collapsed="false">
      <c r="A150" s="10"/>
      <c r="B150" s="12"/>
      <c r="C150" s="10"/>
      <c r="D150" s="14" t="str">
        <f aca="false">IFERROR(IF(C150="","",INDEX(Suppliers!$B$5:$B$504,MATCH(C150,Suppliers!$A$5:$A$504,0))),"")</f>
        <v/>
      </c>
      <c r="E150" s="10" t="s">
        <v>24</v>
      </c>
      <c r="F150" s="12"/>
      <c r="G150" s="12"/>
      <c r="H150" s="10"/>
      <c r="I150" s="10"/>
      <c r="J150" s="9" t="n">
        <f aca="false">IFERROR(SUMIFS(PurchaseOrderLines!$H$5:$H$504,PurchaseOrderLines!$B$5:$B$504,A150),"")</f>
        <v>0</v>
      </c>
      <c r="K150" s="9" t="n">
        <f aca="false">IFERROR(SUMIFS(PurchaseOrderLines!$I$5:$I$504,PurchaseOrderLines!$B$5:$B$504,A150),"")</f>
        <v>0</v>
      </c>
      <c r="L150" s="9" t="n">
        <f aca="false">IFERROR(J150+K150,"")</f>
        <v>0</v>
      </c>
      <c r="M150" s="9" t="n">
        <f aca="false">IFERROR(SUMIFS(Payments!$E$5:$E$504,Payments!$D$5:$D$504,A150,Payments!$C$5:$C$504,"Out"),"")</f>
        <v>0</v>
      </c>
      <c r="N150" s="9" t="n">
        <f aca="false">IFERROR(L150-M150,"")</f>
        <v>0</v>
      </c>
    </row>
    <row r="151" customFormat="false" ht="15" hidden="false" customHeight="false" outlineLevel="0" collapsed="false">
      <c r="A151" s="10"/>
      <c r="B151" s="12"/>
      <c r="C151" s="10"/>
      <c r="D151" s="14" t="str">
        <f aca="false">IFERROR(IF(C151="","",INDEX(Suppliers!$B$5:$B$504,MATCH(C151,Suppliers!$A$5:$A$504,0))),"")</f>
        <v/>
      </c>
      <c r="E151" s="10" t="s">
        <v>24</v>
      </c>
      <c r="F151" s="12"/>
      <c r="G151" s="12"/>
      <c r="H151" s="10"/>
      <c r="I151" s="10"/>
      <c r="J151" s="9" t="n">
        <f aca="false">IFERROR(SUMIFS(PurchaseOrderLines!$H$5:$H$504,PurchaseOrderLines!$B$5:$B$504,A151),"")</f>
        <v>0</v>
      </c>
      <c r="K151" s="9" t="n">
        <f aca="false">IFERROR(SUMIFS(PurchaseOrderLines!$I$5:$I$504,PurchaseOrderLines!$B$5:$B$504,A151),"")</f>
        <v>0</v>
      </c>
      <c r="L151" s="9" t="n">
        <f aca="false">IFERROR(J151+K151,"")</f>
        <v>0</v>
      </c>
      <c r="M151" s="9" t="n">
        <f aca="false">IFERROR(SUMIFS(Payments!$E$5:$E$504,Payments!$D$5:$D$504,A151,Payments!$C$5:$C$504,"Out"),"")</f>
        <v>0</v>
      </c>
      <c r="N151" s="9" t="n">
        <f aca="false">IFERROR(L151-M151,"")</f>
        <v>0</v>
      </c>
    </row>
    <row r="152" customFormat="false" ht="15" hidden="false" customHeight="false" outlineLevel="0" collapsed="false">
      <c r="A152" s="10"/>
      <c r="B152" s="12"/>
      <c r="C152" s="10"/>
      <c r="D152" s="14" t="str">
        <f aca="false">IFERROR(IF(C152="","",INDEX(Suppliers!$B$5:$B$504,MATCH(C152,Suppliers!$A$5:$A$504,0))),"")</f>
        <v/>
      </c>
      <c r="E152" s="10" t="s">
        <v>24</v>
      </c>
      <c r="F152" s="12"/>
      <c r="G152" s="12"/>
      <c r="H152" s="10"/>
      <c r="I152" s="10"/>
      <c r="J152" s="9" t="n">
        <f aca="false">IFERROR(SUMIFS(PurchaseOrderLines!$H$5:$H$504,PurchaseOrderLines!$B$5:$B$504,A152),"")</f>
        <v>0</v>
      </c>
      <c r="K152" s="9" t="n">
        <f aca="false">IFERROR(SUMIFS(PurchaseOrderLines!$I$5:$I$504,PurchaseOrderLines!$B$5:$B$504,A152),"")</f>
        <v>0</v>
      </c>
      <c r="L152" s="9" t="n">
        <f aca="false">IFERROR(J152+K152,"")</f>
        <v>0</v>
      </c>
      <c r="M152" s="9" t="n">
        <f aca="false">IFERROR(SUMIFS(Payments!$E$5:$E$504,Payments!$D$5:$D$504,A152,Payments!$C$5:$C$504,"Out"),"")</f>
        <v>0</v>
      </c>
      <c r="N152" s="9" t="n">
        <f aca="false">IFERROR(L152-M152,"")</f>
        <v>0</v>
      </c>
    </row>
    <row r="153" customFormat="false" ht="15" hidden="false" customHeight="false" outlineLevel="0" collapsed="false">
      <c r="A153" s="10"/>
      <c r="B153" s="12"/>
      <c r="C153" s="10"/>
      <c r="D153" s="14" t="str">
        <f aca="false">IFERROR(IF(C153="","",INDEX(Suppliers!$B$5:$B$504,MATCH(C153,Suppliers!$A$5:$A$504,0))),"")</f>
        <v/>
      </c>
      <c r="E153" s="10" t="s">
        <v>24</v>
      </c>
      <c r="F153" s="12"/>
      <c r="G153" s="12"/>
      <c r="H153" s="10"/>
      <c r="I153" s="10"/>
      <c r="J153" s="9" t="n">
        <f aca="false">IFERROR(SUMIFS(PurchaseOrderLines!$H$5:$H$504,PurchaseOrderLines!$B$5:$B$504,A153),"")</f>
        <v>0</v>
      </c>
      <c r="K153" s="9" t="n">
        <f aca="false">IFERROR(SUMIFS(PurchaseOrderLines!$I$5:$I$504,PurchaseOrderLines!$B$5:$B$504,A153),"")</f>
        <v>0</v>
      </c>
      <c r="L153" s="9" t="n">
        <f aca="false">IFERROR(J153+K153,"")</f>
        <v>0</v>
      </c>
      <c r="M153" s="9" t="n">
        <f aca="false">IFERROR(SUMIFS(Payments!$E$5:$E$504,Payments!$D$5:$D$504,A153,Payments!$C$5:$C$504,"Out"),"")</f>
        <v>0</v>
      </c>
      <c r="N153" s="9" t="n">
        <f aca="false">IFERROR(L153-M153,"")</f>
        <v>0</v>
      </c>
    </row>
    <row r="154" customFormat="false" ht="15" hidden="false" customHeight="false" outlineLevel="0" collapsed="false">
      <c r="A154" s="10"/>
      <c r="B154" s="12"/>
      <c r="C154" s="10"/>
      <c r="D154" s="14" t="str">
        <f aca="false">IFERROR(IF(C154="","",INDEX(Suppliers!$B$5:$B$504,MATCH(C154,Suppliers!$A$5:$A$504,0))),"")</f>
        <v/>
      </c>
      <c r="E154" s="10" t="s">
        <v>24</v>
      </c>
      <c r="F154" s="12"/>
      <c r="G154" s="12"/>
      <c r="H154" s="10"/>
      <c r="I154" s="10"/>
      <c r="J154" s="9" t="n">
        <f aca="false">IFERROR(SUMIFS(PurchaseOrderLines!$H$5:$H$504,PurchaseOrderLines!$B$5:$B$504,A154),"")</f>
        <v>0</v>
      </c>
      <c r="K154" s="9" t="n">
        <f aca="false">IFERROR(SUMIFS(PurchaseOrderLines!$I$5:$I$504,PurchaseOrderLines!$B$5:$B$504,A154),"")</f>
        <v>0</v>
      </c>
      <c r="L154" s="9" t="n">
        <f aca="false">IFERROR(J154+K154,"")</f>
        <v>0</v>
      </c>
      <c r="M154" s="9" t="n">
        <f aca="false">IFERROR(SUMIFS(Payments!$E$5:$E$504,Payments!$D$5:$D$504,A154,Payments!$C$5:$C$504,"Out"),"")</f>
        <v>0</v>
      </c>
      <c r="N154" s="9" t="n">
        <f aca="false">IFERROR(L154-M154,"")</f>
        <v>0</v>
      </c>
    </row>
    <row r="155" customFormat="false" ht="15" hidden="false" customHeight="false" outlineLevel="0" collapsed="false">
      <c r="A155" s="10"/>
      <c r="B155" s="12"/>
      <c r="C155" s="10"/>
      <c r="D155" s="14" t="str">
        <f aca="false">IFERROR(IF(C155="","",INDEX(Suppliers!$B$5:$B$504,MATCH(C155,Suppliers!$A$5:$A$504,0))),"")</f>
        <v/>
      </c>
      <c r="E155" s="10" t="s">
        <v>24</v>
      </c>
      <c r="F155" s="12"/>
      <c r="G155" s="12"/>
      <c r="H155" s="10"/>
      <c r="I155" s="10"/>
      <c r="J155" s="9" t="n">
        <f aca="false">IFERROR(SUMIFS(PurchaseOrderLines!$H$5:$H$504,PurchaseOrderLines!$B$5:$B$504,A155),"")</f>
        <v>0</v>
      </c>
      <c r="K155" s="9" t="n">
        <f aca="false">IFERROR(SUMIFS(PurchaseOrderLines!$I$5:$I$504,PurchaseOrderLines!$B$5:$B$504,A155),"")</f>
        <v>0</v>
      </c>
      <c r="L155" s="9" t="n">
        <f aca="false">IFERROR(J155+K155,"")</f>
        <v>0</v>
      </c>
      <c r="M155" s="9" t="n">
        <f aca="false">IFERROR(SUMIFS(Payments!$E$5:$E$504,Payments!$D$5:$D$504,A155,Payments!$C$5:$C$504,"Out"),"")</f>
        <v>0</v>
      </c>
      <c r="N155" s="9" t="n">
        <f aca="false">IFERROR(L155-M155,"")</f>
        <v>0</v>
      </c>
    </row>
    <row r="156" customFormat="false" ht="15" hidden="false" customHeight="false" outlineLevel="0" collapsed="false">
      <c r="A156" s="10"/>
      <c r="B156" s="12"/>
      <c r="C156" s="10"/>
      <c r="D156" s="14" t="str">
        <f aca="false">IFERROR(IF(C156="","",INDEX(Suppliers!$B$5:$B$504,MATCH(C156,Suppliers!$A$5:$A$504,0))),"")</f>
        <v/>
      </c>
      <c r="E156" s="10" t="s">
        <v>24</v>
      </c>
      <c r="F156" s="12"/>
      <c r="G156" s="12"/>
      <c r="H156" s="10"/>
      <c r="I156" s="10"/>
      <c r="J156" s="9" t="n">
        <f aca="false">IFERROR(SUMIFS(PurchaseOrderLines!$H$5:$H$504,PurchaseOrderLines!$B$5:$B$504,A156),"")</f>
        <v>0</v>
      </c>
      <c r="K156" s="9" t="n">
        <f aca="false">IFERROR(SUMIFS(PurchaseOrderLines!$I$5:$I$504,PurchaseOrderLines!$B$5:$B$504,A156),"")</f>
        <v>0</v>
      </c>
      <c r="L156" s="9" t="n">
        <f aca="false">IFERROR(J156+K156,"")</f>
        <v>0</v>
      </c>
      <c r="M156" s="9" t="n">
        <f aca="false">IFERROR(SUMIFS(Payments!$E$5:$E$504,Payments!$D$5:$D$504,A156,Payments!$C$5:$C$504,"Out"),"")</f>
        <v>0</v>
      </c>
      <c r="N156" s="9" t="n">
        <f aca="false">IFERROR(L156-M156,"")</f>
        <v>0</v>
      </c>
    </row>
    <row r="157" customFormat="false" ht="15" hidden="false" customHeight="false" outlineLevel="0" collapsed="false">
      <c r="A157" s="10"/>
      <c r="B157" s="12"/>
      <c r="C157" s="10"/>
      <c r="D157" s="14" t="str">
        <f aca="false">IFERROR(IF(C157="","",INDEX(Suppliers!$B$5:$B$504,MATCH(C157,Suppliers!$A$5:$A$504,0))),"")</f>
        <v/>
      </c>
      <c r="E157" s="10" t="s">
        <v>24</v>
      </c>
      <c r="F157" s="12"/>
      <c r="G157" s="12"/>
      <c r="H157" s="10"/>
      <c r="I157" s="10"/>
      <c r="J157" s="9" t="n">
        <f aca="false">IFERROR(SUMIFS(PurchaseOrderLines!$H$5:$H$504,PurchaseOrderLines!$B$5:$B$504,A157),"")</f>
        <v>0</v>
      </c>
      <c r="K157" s="9" t="n">
        <f aca="false">IFERROR(SUMIFS(PurchaseOrderLines!$I$5:$I$504,PurchaseOrderLines!$B$5:$B$504,A157),"")</f>
        <v>0</v>
      </c>
      <c r="L157" s="9" t="n">
        <f aca="false">IFERROR(J157+K157,"")</f>
        <v>0</v>
      </c>
      <c r="M157" s="9" t="n">
        <f aca="false">IFERROR(SUMIFS(Payments!$E$5:$E$504,Payments!$D$5:$D$504,A157,Payments!$C$5:$C$504,"Out"),"")</f>
        <v>0</v>
      </c>
      <c r="N157" s="9" t="n">
        <f aca="false">IFERROR(L157-M157,"")</f>
        <v>0</v>
      </c>
    </row>
    <row r="158" customFormat="false" ht="15" hidden="false" customHeight="false" outlineLevel="0" collapsed="false">
      <c r="A158" s="10"/>
      <c r="B158" s="12"/>
      <c r="C158" s="10"/>
      <c r="D158" s="14" t="str">
        <f aca="false">IFERROR(IF(C158="","",INDEX(Suppliers!$B$5:$B$504,MATCH(C158,Suppliers!$A$5:$A$504,0))),"")</f>
        <v/>
      </c>
      <c r="E158" s="10" t="s">
        <v>24</v>
      </c>
      <c r="F158" s="12"/>
      <c r="G158" s="12"/>
      <c r="H158" s="10"/>
      <c r="I158" s="10"/>
      <c r="J158" s="9" t="n">
        <f aca="false">IFERROR(SUMIFS(PurchaseOrderLines!$H$5:$H$504,PurchaseOrderLines!$B$5:$B$504,A158),"")</f>
        <v>0</v>
      </c>
      <c r="K158" s="9" t="n">
        <f aca="false">IFERROR(SUMIFS(PurchaseOrderLines!$I$5:$I$504,PurchaseOrderLines!$B$5:$B$504,A158),"")</f>
        <v>0</v>
      </c>
      <c r="L158" s="9" t="n">
        <f aca="false">IFERROR(J158+K158,"")</f>
        <v>0</v>
      </c>
      <c r="M158" s="9" t="n">
        <f aca="false">IFERROR(SUMIFS(Payments!$E$5:$E$504,Payments!$D$5:$D$504,A158,Payments!$C$5:$C$504,"Out"),"")</f>
        <v>0</v>
      </c>
      <c r="N158" s="9" t="n">
        <f aca="false">IFERROR(L158-M158,"")</f>
        <v>0</v>
      </c>
    </row>
    <row r="159" customFormat="false" ht="15" hidden="false" customHeight="false" outlineLevel="0" collapsed="false">
      <c r="A159" s="10"/>
      <c r="B159" s="12"/>
      <c r="C159" s="10"/>
      <c r="D159" s="14" t="str">
        <f aca="false">IFERROR(IF(C159="","",INDEX(Suppliers!$B$5:$B$504,MATCH(C159,Suppliers!$A$5:$A$504,0))),"")</f>
        <v/>
      </c>
      <c r="E159" s="10" t="s">
        <v>24</v>
      </c>
      <c r="F159" s="12"/>
      <c r="G159" s="12"/>
      <c r="H159" s="10"/>
      <c r="I159" s="10"/>
      <c r="J159" s="9" t="n">
        <f aca="false">IFERROR(SUMIFS(PurchaseOrderLines!$H$5:$H$504,PurchaseOrderLines!$B$5:$B$504,A159),"")</f>
        <v>0</v>
      </c>
      <c r="K159" s="9" t="n">
        <f aca="false">IFERROR(SUMIFS(PurchaseOrderLines!$I$5:$I$504,PurchaseOrderLines!$B$5:$B$504,A159),"")</f>
        <v>0</v>
      </c>
      <c r="L159" s="9" t="n">
        <f aca="false">IFERROR(J159+K159,"")</f>
        <v>0</v>
      </c>
      <c r="M159" s="9" t="n">
        <f aca="false">IFERROR(SUMIFS(Payments!$E$5:$E$504,Payments!$D$5:$D$504,A159,Payments!$C$5:$C$504,"Out"),"")</f>
        <v>0</v>
      </c>
      <c r="N159" s="9" t="n">
        <f aca="false">IFERROR(L159-M159,"")</f>
        <v>0</v>
      </c>
    </row>
    <row r="160" customFormat="false" ht="15" hidden="false" customHeight="false" outlineLevel="0" collapsed="false">
      <c r="A160" s="10"/>
      <c r="B160" s="12"/>
      <c r="C160" s="10"/>
      <c r="D160" s="14" t="str">
        <f aca="false">IFERROR(IF(C160="","",INDEX(Suppliers!$B$5:$B$504,MATCH(C160,Suppliers!$A$5:$A$504,0))),"")</f>
        <v/>
      </c>
      <c r="E160" s="10" t="s">
        <v>24</v>
      </c>
      <c r="F160" s="12"/>
      <c r="G160" s="12"/>
      <c r="H160" s="10"/>
      <c r="I160" s="10"/>
      <c r="J160" s="9" t="n">
        <f aca="false">IFERROR(SUMIFS(PurchaseOrderLines!$H$5:$H$504,PurchaseOrderLines!$B$5:$B$504,A160),"")</f>
        <v>0</v>
      </c>
      <c r="K160" s="9" t="n">
        <f aca="false">IFERROR(SUMIFS(PurchaseOrderLines!$I$5:$I$504,PurchaseOrderLines!$B$5:$B$504,A160),"")</f>
        <v>0</v>
      </c>
      <c r="L160" s="9" t="n">
        <f aca="false">IFERROR(J160+K160,"")</f>
        <v>0</v>
      </c>
      <c r="M160" s="9" t="n">
        <f aca="false">IFERROR(SUMIFS(Payments!$E$5:$E$504,Payments!$D$5:$D$504,A160,Payments!$C$5:$C$504,"Out"),"")</f>
        <v>0</v>
      </c>
      <c r="N160" s="9" t="n">
        <f aca="false">IFERROR(L160-M160,"")</f>
        <v>0</v>
      </c>
    </row>
    <row r="161" customFormat="false" ht="15" hidden="false" customHeight="false" outlineLevel="0" collapsed="false">
      <c r="A161" s="10"/>
      <c r="B161" s="12"/>
      <c r="C161" s="10"/>
      <c r="D161" s="14" t="str">
        <f aca="false">IFERROR(IF(C161="","",INDEX(Suppliers!$B$5:$B$504,MATCH(C161,Suppliers!$A$5:$A$504,0))),"")</f>
        <v/>
      </c>
      <c r="E161" s="10" t="s">
        <v>24</v>
      </c>
      <c r="F161" s="12"/>
      <c r="G161" s="12"/>
      <c r="H161" s="10"/>
      <c r="I161" s="10"/>
      <c r="J161" s="9" t="n">
        <f aca="false">IFERROR(SUMIFS(PurchaseOrderLines!$H$5:$H$504,PurchaseOrderLines!$B$5:$B$504,A161),"")</f>
        <v>0</v>
      </c>
      <c r="K161" s="9" t="n">
        <f aca="false">IFERROR(SUMIFS(PurchaseOrderLines!$I$5:$I$504,PurchaseOrderLines!$B$5:$B$504,A161),"")</f>
        <v>0</v>
      </c>
      <c r="L161" s="9" t="n">
        <f aca="false">IFERROR(J161+K161,"")</f>
        <v>0</v>
      </c>
      <c r="M161" s="9" t="n">
        <f aca="false">IFERROR(SUMIFS(Payments!$E$5:$E$504,Payments!$D$5:$D$504,A161,Payments!$C$5:$C$504,"Out"),"")</f>
        <v>0</v>
      </c>
      <c r="N161" s="9" t="n">
        <f aca="false">IFERROR(L161-M161,"")</f>
        <v>0</v>
      </c>
    </row>
    <row r="162" customFormat="false" ht="15" hidden="false" customHeight="false" outlineLevel="0" collapsed="false">
      <c r="A162" s="10"/>
      <c r="B162" s="12"/>
      <c r="C162" s="10"/>
      <c r="D162" s="14" t="str">
        <f aca="false">IFERROR(IF(C162="","",INDEX(Suppliers!$B$5:$B$504,MATCH(C162,Suppliers!$A$5:$A$504,0))),"")</f>
        <v/>
      </c>
      <c r="E162" s="10" t="s">
        <v>24</v>
      </c>
      <c r="F162" s="12"/>
      <c r="G162" s="12"/>
      <c r="H162" s="10"/>
      <c r="I162" s="10"/>
      <c r="J162" s="9" t="n">
        <f aca="false">IFERROR(SUMIFS(PurchaseOrderLines!$H$5:$H$504,PurchaseOrderLines!$B$5:$B$504,A162),"")</f>
        <v>0</v>
      </c>
      <c r="K162" s="9" t="n">
        <f aca="false">IFERROR(SUMIFS(PurchaseOrderLines!$I$5:$I$504,PurchaseOrderLines!$B$5:$B$504,A162),"")</f>
        <v>0</v>
      </c>
      <c r="L162" s="9" t="n">
        <f aca="false">IFERROR(J162+K162,"")</f>
        <v>0</v>
      </c>
      <c r="M162" s="9" t="n">
        <f aca="false">IFERROR(SUMIFS(Payments!$E$5:$E$504,Payments!$D$5:$D$504,A162,Payments!$C$5:$C$504,"Out"),"")</f>
        <v>0</v>
      </c>
      <c r="N162" s="9" t="n">
        <f aca="false">IFERROR(L162-M162,"")</f>
        <v>0</v>
      </c>
    </row>
    <row r="163" customFormat="false" ht="15" hidden="false" customHeight="false" outlineLevel="0" collapsed="false">
      <c r="A163" s="10"/>
      <c r="B163" s="12"/>
      <c r="C163" s="10"/>
      <c r="D163" s="14" t="str">
        <f aca="false">IFERROR(IF(C163="","",INDEX(Suppliers!$B$5:$B$504,MATCH(C163,Suppliers!$A$5:$A$504,0))),"")</f>
        <v/>
      </c>
      <c r="E163" s="10" t="s">
        <v>24</v>
      </c>
      <c r="F163" s="12"/>
      <c r="G163" s="12"/>
      <c r="H163" s="10"/>
      <c r="I163" s="10"/>
      <c r="J163" s="9" t="n">
        <f aca="false">IFERROR(SUMIFS(PurchaseOrderLines!$H$5:$H$504,PurchaseOrderLines!$B$5:$B$504,A163),"")</f>
        <v>0</v>
      </c>
      <c r="K163" s="9" t="n">
        <f aca="false">IFERROR(SUMIFS(PurchaseOrderLines!$I$5:$I$504,PurchaseOrderLines!$B$5:$B$504,A163),"")</f>
        <v>0</v>
      </c>
      <c r="L163" s="9" t="n">
        <f aca="false">IFERROR(J163+K163,"")</f>
        <v>0</v>
      </c>
      <c r="M163" s="9" t="n">
        <f aca="false">IFERROR(SUMIFS(Payments!$E$5:$E$504,Payments!$D$5:$D$504,A163,Payments!$C$5:$C$504,"Out"),"")</f>
        <v>0</v>
      </c>
      <c r="N163" s="9" t="n">
        <f aca="false">IFERROR(L163-M163,"")</f>
        <v>0</v>
      </c>
    </row>
    <row r="164" customFormat="false" ht="15" hidden="false" customHeight="false" outlineLevel="0" collapsed="false">
      <c r="A164" s="10"/>
      <c r="B164" s="12"/>
      <c r="C164" s="10"/>
      <c r="D164" s="14" t="str">
        <f aca="false">IFERROR(IF(C164="","",INDEX(Suppliers!$B$5:$B$504,MATCH(C164,Suppliers!$A$5:$A$504,0))),"")</f>
        <v/>
      </c>
      <c r="E164" s="10" t="s">
        <v>24</v>
      </c>
      <c r="F164" s="12"/>
      <c r="G164" s="12"/>
      <c r="H164" s="10"/>
      <c r="I164" s="10"/>
      <c r="J164" s="9" t="n">
        <f aca="false">IFERROR(SUMIFS(PurchaseOrderLines!$H$5:$H$504,PurchaseOrderLines!$B$5:$B$504,A164),"")</f>
        <v>0</v>
      </c>
      <c r="K164" s="9" t="n">
        <f aca="false">IFERROR(SUMIFS(PurchaseOrderLines!$I$5:$I$504,PurchaseOrderLines!$B$5:$B$504,A164),"")</f>
        <v>0</v>
      </c>
      <c r="L164" s="9" t="n">
        <f aca="false">IFERROR(J164+K164,"")</f>
        <v>0</v>
      </c>
      <c r="M164" s="9" t="n">
        <f aca="false">IFERROR(SUMIFS(Payments!$E$5:$E$504,Payments!$D$5:$D$504,A164,Payments!$C$5:$C$504,"Out"),"")</f>
        <v>0</v>
      </c>
      <c r="N164" s="9" t="n">
        <f aca="false">IFERROR(L164-M164,"")</f>
        <v>0</v>
      </c>
    </row>
    <row r="165" customFormat="false" ht="15" hidden="false" customHeight="false" outlineLevel="0" collapsed="false">
      <c r="A165" s="10"/>
      <c r="B165" s="12"/>
      <c r="C165" s="10"/>
      <c r="D165" s="14" t="str">
        <f aca="false">IFERROR(IF(C165="","",INDEX(Suppliers!$B$5:$B$504,MATCH(C165,Suppliers!$A$5:$A$504,0))),"")</f>
        <v/>
      </c>
      <c r="E165" s="10" t="s">
        <v>24</v>
      </c>
      <c r="F165" s="12"/>
      <c r="G165" s="12"/>
      <c r="H165" s="10"/>
      <c r="I165" s="10"/>
      <c r="J165" s="9" t="n">
        <f aca="false">IFERROR(SUMIFS(PurchaseOrderLines!$H$5:$H$504,PurchaseOrderLines!$B$5:$B$504,A165),"")</f>
        <v>0</v>
      </c>
      <c r="K165" s="9" t="n">
        <f aca="false">IFERROR(SUMIFS(PurchaseOrderLines!$I$5:$I$504,PurchaseOrderLines!$B$5:$B$504,A165),"")</f>
        <v>0</v>
      </c>
      <c r="L165" s="9" t="n">
        <f aca="false">IFERROR(J165+K165,"")</f>
        <v>0</v>
      </c>
      <c r="M165" s="9" t="n">
        <f aca="false">IFERROR(SUMIFS(Payments!$E$5:$E$504,Payments!$D$5:$D$504,A165,Payments!$C$5:$C$504,"Out"),"")</f>
        <v>0</v>
      </c>
      <c r="N165" s="9" t="n">
        <f aca="false">IFERROR(L165-M165,"")</f>
        <v>0</v>
      </c>
    </row>
    <row r="166" customFormat="false" ht="15" hidden="false" customHeight="false" outlineLevel="0" collapsed="false">
      <c r="A166" s="10"/>
      <c r="B166" s="12"/>
      <c r="C166" s="10"/>
      <c r="D166" s="14" t="str">
        <f aca="false">IFERROR(IF(C166="","",INDEX(Suppliers!$B$5:$B$504,MATCH(C166,Suppliers!$A$5:$A$504,0))),"")</f>
        <v/>
      </c>
      <c r="E166" s="10" t="s">
        <v>24</v>
      </c>
      <c r="F166" s="12"/>
      <c r="G166" s="12"/>
      <c r="H166" s="10"/>
      <c r="I166" s="10"/>
      <c r="J166" s="9" t="n">
        <f aca="false">IFERROR(SUMIFS(PurchaseOrderLines!$H$5:$H$504,PurchaseOrderLines!$B$5:$B$504,A166),"")</f>
        <v>0</v>
      </c>
      <c r="K166" s="9" t="n">
        <f aca="false">IFERROR(SUMIFS(PurchaseOrderLines!$I$5:$I$504,PurchaseOrderLines!$B$5:$B$504,A166),"")</f>
        <v>0</v>
      </c>
      <c r="L166" s="9" t="n">
        <f aca="false">IFERROR(J166+K166,"")</f>
        <v>0</v>
      </c>
      <c r="M166" s="9" t="n">
        <f aca="false">IFERROR(SUMIFS(Payments!$E$5:$E$504,Payments!$D$5:$D$504,A166,Payments!$C$5:$C$504,"Out"),"")</f>
        <v>0</v>
      </c>
      <c r="N166" s="9" t="n">
        <f aca="false">IFERROR(L166-M166,"")</f>
        <v>0</v>
      </c>
    </row>
    <row r="167" customFormat="false" ht="15" hidden="false" customHeight="false" outlineLevel="0" collapsed="false">
      <c r="A167" s="10"/>
      <c r="B167" s="12"/>
      <c r="C167" s="10"/>
      <c r="D167" s="14" t="str">
        <f aca="false">IFERROR(IF(C167="","",INDEX(Suppliers!$B$5:$B$504,MATCH(C167,Suppliers!$A$5:$A$504,0))),"")</f>
        <v/>
      </c>
      <c r="E167" s="10" t="s">
        <v>24</v>
      </c>
      <c r="F167" s="12"/>
      <c r="G167" s="12"/>
      <c r="H167" s="10"/>
      <c r="I167" s="10"/>
      <c r="J167" s="9" t="n">
        <f aca="false">IFERROR(SUMIFS(PurchaseOrderLines!$H$5:$H$504,PurchaseOrderLines!$B$5:$B$504,A167),"")</f>
        <v>0</v>
      </c>
      <c r="K167" s="9" t="n">
        <f aca="false">IFERROR(SUMIFS(PurchaseOrderLines!$I$5:$I$504,PurchaseOrderLines!$B$5:$B$504,A167),"")</f>
        <v>0</v>
      </c>
      <c r="L167" s="9" t="n">
        <f aca="false">IFERROR(J167+K167,"")</f>
        <v>0</v>
      </c>
      <c r="M167" s="9" t="n">
        <f aca="false">IFERROR(SUMIFS(Payments!$E$5:$E$504,Payments!$D$5:$D$504,A167,Payments!$C$5:$C$504,"Out"),"")</f>
        <v>0</v>
      </c>
      <c r="N167" s="9" t="n">
        <f aca="false">IFERROR(L167-M167,"")</f>
        <v>0</v>
      </c>
    </row>
    <row r="168" customFormat="false" ht="15" hidden="false" customHeight="false" outlineLevel="0" collapsed="false">
      <c r="A168" s="10"/>
      <c r="B168" s="12"/>
      <c r="C168" s="10"/>
      <c r="D168" s="14" t="str">
        <f aca="false">IFERROR(IF(C168="","",INDEX(Suppliers!$B$5:$B$504,MATCH(C168,Suppliers!$A$5:$A$504,0))),"")</f>
        <v/>
      </c>
      <c r="E168" s="10" t="s">
        <v>24</v>
      </c>
      <c r="F168" s="12"/>
      <c r="G168" s="12"/>
      <c r="H168" s="10"/>
      <c r="I168" s="10"/>
      <c r="J168" s="9" t="n">
        <f aca="false">IFERROR(SUMIFS(PurchaseOrderLines!$H$5:$H$504,PurchaseOrderLines!$B$5:$B$504,A168),"")</f>
        <v>0</v>
      </c>
      <c r="K168" s="9" t="n">
        <f aca="false">IFERROR(SUMIFS(PurchaseOrderLines!$I$5:$I$504,PurchaseOrderLines!$B$5:$B$504,A168),"")</f>
        <v>0</v>
      </c>
      <c r="L168" s="9" t="n">
        <f aca="false">IFERROR(J168+K168,"")</f>
        <v>0</v>
      </c>
      <c r="M168" s="9" t="n">
        <f aca="false">IFERROR(SUMIFS(Payments!$E$5:$E$504,Payments!$D$5:$D$504,A168,Payments!$C$5:$C$504,"Out"),"")</f>
        <v>0</v>
      </c>
      <c r="N168" s="9" t="n">
        <f aca="false">IFERROR(L168-M168,"")</f>
        <v>0</v>
      </c>
    </row>
    <row r="169" customFormat="false" ht="15" hidden="false" customHeight="false" outlineLevel="0" collapsed="false">
      <c r="A169" s="10"/>
      <c r="B169" s="12"/>
      <c r="C169" s="10"/>
      <c r="D169" s="14" t="str">
        <f aca="false">IFERROR(IF(C169="","",INDEX(Suppliers!$B$5:$B$504,MATCH(C169,Suppliers!$A$5:$A$504,0))),"")</f>
        <v/>
      </c>
      <c r="E169" s="10" t="s">
        <v>24</v>
      </c>
      <c r="F169" s="12"/>
      <c r="G169" s="12"/>
      <c r="H169" s="10"/>
      <c r="I169" s="10"/>
      <c r="J169" s="9" t="n">
        <f aca="false">IFERROR(SUMIFS(PurchaseOrderLines!$H$5:$H$504,PurchaseOrderLines!$B$5:$B$504,A169),"")</f>
        <v>0</v>
      </c>
      <c r="K169" s="9" t="n">
        <f aca="false">IFERROR(SUMIFS(PurchaseOrderLines!$I$5:$I$504,PurchaseOrderLines!$B$5:$B$504,A169),"")</f>
        <v>0</v>
      </c>
      <c r="L169" s="9" t="n">
        <f aca="false">IFERROR(J169+K169,"")</f>
        <v>0</v>
      </c>
      <c r="M169" s="9" t="n">
        <f aca="false">IFERROR(SUMIFS(Payments!$E$5:$E$504,Payments!$D$5:$D$504,A169,Payments!$C$5:$C$504,"Out"),"")</f>
        <v>0</v>
      </c>
      <c r="N169" s="9" t="n">
        <f aca="false">IFERROR(L169-M169,"")</f>
        <v>0</v>
      </c>
    </row>
    <row r="170" customFormat="false" ht="15" hidden="false" customHeight="false" outlineLevel="0" collapsed="false">
      <c r="A170" s="10"/>
      <c r="B170" s="12"/>
      <c r="C170" s="10"/>
      <c r="D170" s="14" t="str">
        <f aca="false">IFERROR(IF(C170="","",INDEX(Suppliers!$B$5:$B$504,MATCH(C170,Suppliers!$A$5:$A$504,0))),"")</f>
        <v/>
      </c>
      <c r="E170" s="10" t="s">
        <v>24</v>
      </c>
      <c r="F170" s="12"/>
      <c r="G170" s="12"/>
      <c r="H170" s="10"/>
      <c r="I170" s="10"/>
      <c r="J170" s="9" t="n">
        <f aca="false">IFERROR(SUMIFS(PurchaseOrderLines!$H$5:$H$504,PurchaseOrderLines!$B$5:$B$504,A170),"")</f>
        <v>0</v>
      </c>
      <c r="K170" s="9" t="n">
        <f aca="false">IFERROR(SUMIFS(PurchaseOrderLines!$I$5:$I$504,PurchaseOrderLines!$B$5:$B$504,A170),"")</f>
        <v>0</v>
      </c>
      <c r="L170" s="9" t="n">
        <f aca="false">IFERROR(J170+K170,"")</f>
        <v>0</v>
      </c>
      <c r="M170" s="9" t="n">
        <f aca="false">IFERROR(SUMIFS(Payments!$E$5:$E$504,Payments!$D$5:$D$504,A170,Payments!$C$5:$C$504,"Out"),"")</f>
        <v>0</v>
      </c>
      <c r="N170" s="9" t="n">
        <f aca="false">IFERROR(L170-M170,"")</f>
        <v>0</v>
      </c>
    </row>
    <row r="171" customFormat="false" ht="15" hidden="false" customHeight="false" outlineLevel="0" collapsed="false">
      <c r="A171" s="10"/>
      <c r="B171" s="12"/>
      <c r="C171" s="10"/>
      <c r="D171" s="14" t="str">
        <f aca="false">IFERROR(IF(C171="","",INDEX(Suppliers!$B$5:$B$504,MATCH(C171,Suppliers!$A$5:$A$504,0))),"")</f>
        <v/>
      </c>
      <c r="E171" s="10" t="s">
        <v>24</v>
      </c>
      <c r="F171" s="12"/>
      <c r="G171" s="12"/>
      <c r="H171" s="10"/>
      <c r="I171" s="10"/>
      <c r="J171" s="9" t="n">
        <f aca="false">IFERROR(SUMIFS(PurchaseOrderLines!$H$5:$H$504,PurchaseOrderLines!$B$5:$B$504,A171),"")</f>
        <v>0</v>
      </c>
      <c r="K171" s="9" t="n">
        <f aca="false">IFERROR(SUMIFS(PurchaseOrderLines!$I$5:$I$504,PurchaseOrderLines!$B$5:$B$504,A171),"")</f>
        <v>0</v>
      </c>
      <c r="L171" s="9" t="n">
        <f aca="false">IFERROR(J171+K171,"")</f>
        <v>0</v>
      </c>
      <c r="M171" s="9" t="n">
        <f aca="false">IFERROR(SUMIFS(Payments!$E$5:$E$504,Payments!$D$5:$D$504,A171,Payments!$C$5:$C$504,"Out"),"")</f>
        <v>0</v>
      </c>
      <c r="N171" s="9" t="n">
        <f aca="false">IFERROR(L171-M171,"")</f>
        <v>0</v>
      </c>
    </row>
    <row r="172" customFormat="false" ht="15" hidden="false" customHeight="false" outlineLevel="0" collapsed="false">
      <c r="A172" s="10"/>
      <c r="B172" s="12"/>
      <c r="C172" s="10"/>
      <c r="D172" s="14" t="str">
        <f aca="false">IFERROR(IF(C172="","",INDEX(Suppliers!$B$5:$B$504,MATCH(C172,Suppliers!$A$5:$A$504,0))),"")</f>
        <v/>
      </c>
      <c r="E172" s="10" t="s">
        <v>24</v>
      </c>
      <c r="F172" s="12"/>
      <c r="G172" s="12"/>
      <c r="H172" s="10"/>
      <c r="I172" s="10"/>
      <c r="J172" s="9" t="n">
        <f aca="false">IFERROR(SUMIFS(PurchaseOrderLines!$H$5:$H$504,PurchaseOrderLines!$B$5:$B$504,A172),"")</f>
        <v>0</v>
      </c>
      <c r="K172" s="9" t="n">
        <f aca="false">IFERROR(SUMIFS(PurchaseOrderLines!$I$5:$I$504,PurchaseOrderLines!$B$5:$B$504,A172),"")</f>
        <v>0</v>
      </c>
      <c r="L172" s="9" t="n">
        <f aca="false">IFERROR(J172+K172,"")</f>
        <v>0</v>
      </c>
      <c r="M172" s="9" t="n">
        <f aca="false">IFERROR(SUMIFS(Payments!$E$5:$E$504,Payments!$D$5:$D$504,A172,Payments!$C$5:$C$504,"Out"),"")</f>
        <v>0</v>
      </c>
      <c r="N172" s="9" t="n">
        <f aca="false">IFERROR(L172-M172,"")</f>
        <v>0</v>
      </c>
    </row>
    <row r="173" customFormat="false" ht="15" hidden="false" customHeight="false" outlineLevel="0" collapsed="false">
      <c r="A173" s="10"/>
      <c r="B173" s="12"/>
      <c r="C173" s="10"/>
      <c r="D173" s="14" t="str">
        <f aca="false">IFERROR(IF(C173="","",INDEX(Suppliers!$B$5:$B$504,MATCH(C173,Suppliers!$A$5:$A$504,0))),"")</f>
        <v/>
      </c>
      <c r="E173" s="10" t="s">
        <v>24</v>
      </c>
      <c r="F173" s="12"/>
      <c r="G173" s="12"/>
      <c r="H173" s="10"/>
      <c r="I173" s="10"/>
      <c r="J173" s="9" t="n">
        <f aca="false">IFERROR(SUMIFS(PurchaseOrderLines!$H$5:$H$504,PurchaseOrderLines!$B$5:$B$504,A173),"")</f>
        <v>0</v>
      </c>
      <c r="K173" s="9" t="n">
        <f aca="false">IFERROR(SUMIFS(PurchaseOrderLines!$I$5:$I$504,PurchaseOrderLines!$B$5:$B$504,A173),"")</f>
        <v>0</v>
      </c>
      <c r="L173" s="9" t="n">
        <f aca="false">IFERROR(J173+K173,"")</f>
        <v>0</v>
      </c>
      <c r="M173" s="9" t="n">
        <f aca="false">IFERROR(SUMIFS(Payments!$E$5:$E$504,Payments!$D$5:$D$504,A173,Payments!$C$5:$C$504,"Out"),"")</f>
        <v>0</v>
      </c>
      <c r="N173" s="9" t="n">
        <f aca="false">IFERROR(L173-M173,"")</f>
        <v>0</v>
      </c>
    </row>
    <row r="174" customFormat="false" ht="15" hidden="false" customHeight="false" outlineLevel="0" collapsed="false">
      <c r="A174" s="10"/>
      <c r="B174" s="12"/>
      <c r="C174" s="10"/>
      <c r="D174" s="14" t="str">
        <f aca="false">IFERROR(IF(C174="","",INDEX(Suppliers!$B$5:$B$504,MATCH(C174,Suppliers!$A$5:$A$504,0))),"")</f>
        <v/>
      </c>
      <c r="E174" s="10" t="s">
        <v>24</v>
      </c>
      <c r="F174" s="12"/>
      <c r="G174" s="12"/>
      <c r="H174" s="10"/>
      <c r="I174" s="10"/>
      <c r="J174" s="9" t="n">
        <f aca="false">IFERROR(SUMIFS(PurchaseOrderLines!$H$5:$H$504,PurchaseOrderLines!$B$5:$B$504,A174),"")</f>
        <v>0</v>
      </c>
      <c r="K174" s="9" t="n">
        <f aca="false">IFERROR(SUMIFS(PurchaseOrderLines!$I$5:$I$504,PurchaseOrderLines!$B$5:$B$504,A174),"")</f>
        <v>0</v>
      </c>
      <c r="L174" s="9" t="n">
        <f aca="false">IFERROR(J174+K174,"")</f>
        <v>0</v>
      </c>
      <c r="M174" s="9" t="n">
        <f aca="false">IFERROR(SUMIFS(Payments!$E$5:$E$504,Payments!$D$5:$D$504,A174,Payments!$C$5:$C$504,"Out"),"")</f>
        <v>0</v>
      </c>
      <c r="N174" s="9" t="n">
        <f aca="false">IFERROR(L174-M174,"")</f>
        <v>0</v>
      </c>
    </row>
    <row r="175" customFormat="false" ht="15" hidden="false" customHeight="false" outlineLevel="0" collapsed="false">
      <c r="A175" s="10"/>
      <c r="B175" s="12"/>
      <c r="C175" s="10"/>
      <c r="D175" s="14" t="str">
        <f aca="false">IFERROR(IF(C175="","",INDEX(Suppliers!$B$5:$B$504,MATCH(C175,Suppliers!$A$5:$A$504,0))),"")</f>
        <v/>
      </c>
      <c r="E175" s="10" t="s">
        <v>24</v>
      </c>
      <c r="F175" s="12"/>
      <c r="G175" s="12"/>
      <c r="H175" s="10"/>
      <c r="I175" s="10"/>
      <c r="J175" s="9" t="n">
        <f aca="false">IFERROR(SUMIFS(PurchaseOrderLines!$H$5:$H$504,PurchaseOrderLines!$B$5:$B$504,A175),"")</f>
        <v>0</v>
      </c>
      <c r="K175" s="9" t="n">
        <f aca="false">IFERROR(SUMIFS(PurchaseOrderLines!$I$5:$I$504,PurchaseOrderLines!$B$5:$B$504,A175),"")</f>
        <v>0</v>
      </c>
      <c r="L175" s="9" t="n">
        <f aca="false">IFERROR(J175+K175,"")</f>
        <v>0</v>
      </c>
      <c r="M175" s="9" t="n">
        <f aca="false">IFERROR(SUMIFS(Payments!$E$5:$E$504,Payments!$D$5:$D$504,A175,Payments!$C$5:$C$504,"Out"),"")</f>
        <v>0</v>
      </c>
      <c r="N175" s="9" t="n">
        <f aca="false">IFERROR(L175-M175,"")</f>
        <v>0</v>
      </c>
    </row>
    <row r="176" customFormat="false" ht="15" hidden="false" customHeight="false" outlineLevel="0" collapsed="false">
      <c r="A176" s="10"/>
      <c r="B176" s="12"/>
      <c r="C176" s="10"/>
      <c r="D176" s="14" t="str">
        <f aca="false">IFERROR(IF(C176="","",INDEX(Suppliers!$B$5:$B$504,MATCH(C176,Suppliers!$A$5:$A$504,0))),"")</f>
        <v/>
      </c>
      <c r="E176" s="10" t="s">
        <v>24</v>
      </c>
      <c r="F176" s="12"/>
      <c r="G176" s="12"/>
      <c r="H176" s="10"/>
      <c r="I176" s="10"/>
      <c r="J176" s="9" t="n">
        <f aca="false">IFERROR(SUMIFS(PurchaseOrderLines!$H$5:$H$504,PurchaseOrderLines!$B$5:$B$504,A176),"")</f>
        <v>0</v>
      </c>
      <c r="K176" s="9" t="n">
        <f aca="false">IFERROR(SUMIFS(PurchaseOrderLines!$I$5:$I$504,PurchaseOrderLines!$B$5:$B$504,A176),"")</f>
        <v>0</v>
      </c>
      <c r="L176" s="9" t="n">
        <f aca="false">IFERROR(J176+K176,"")</f>
        <v>0</v>
      </c>
      <c r="M176" s="9" t="n">
        <f aca="false">IFERROR(SUMIFS(Payments!$E$5:$E$504,Payments!$D$5:$D$504,A176,Payments!$C$5:$C$504,"Out"),"")</f>
        <v>0</v>
      </c>
      <c r="N176" s="9" t="n">
        <f aca="false">IFERROR(L176-M176,"")</f>
        <v>0</v>
      </c>
    </row>
    <row r="177" customFormat="false" ht="15" hidden="false" customHeight="false" outlineLevel="0" collapsed="false">
      <c r="A177" s="10"/>
      <c r="B177" s="12"/>
      <c r="C177" s="10"/>
      <c r="D177" s="14" t="str">
        <f aca="false">IFERROR(IF(C177="","",INDEX(Suppliers!$B$5:$B$504,MATCH(C177,Suppliers!$A$5:$A$504,0))),"")</f>
        <v/>
      </c>
      <c r="E177" s="10" t="s">
        <v>24</v>
      </c>
      <c r="F177" s="12"/>
      <c r="G177" s="12"/>
      <c r="H177" s="10"/>
      <c r="I177" s="10"/>
      <c r="J177" s="9" t="n">
        <f aca="false">IFERROR(SUMIFS(PurchaseOrderLines!$H$5:$H$504,PurchaseOrderLines!$B$5:$B$504,A177),"")</f>
        <v>0</v>
      </c>
      <c r="K177" s="9" t="n">
        <f aca="false">IFERROR(SUMIFS(PurchaseOrderLines!$I$5:$I$504,PurchaseOrderLines!$B$5:$B$504,A177),"")</f>
        <v>0</v>
      </c>
      <c r="L177" s="9" t="n">
        <f aca="false">IFERROR(J177+K177,"")</f>
        <v>0</v>
      </c>
      <c r="M177" s="9" t="n">
        <f aca="false">IFERROR(SUMIFS(Payments!$E$5:$E$504,Payments!$D$5:$D$504,A177,Payments!$C$5:$C$504,"Out"),"")</f>
        <v>0</v>
      </c>
      <c r="N177" s="9" t="n">
        <f aca="false">IFERROR(L177-M177,"")</f>
        <v>0</v>
      </c>
    </row>
    <row r="178" customFormat="false" ht="15" hidden="false" customHeight="false" outlineLevel="0" collapsed="false">
      <c r="A178" s="10"/>
      <c r="B178" s="12"/>
      <c r="C178" s="10"/>
      <c r="D178" s="14" t="str">
        <f aca="false">IFERROR(IF(C178="","",INDEX(Suppliers!$B$5:$B$504,MATCH(C178,Suppliers!$A$5:$A$504,0))),"")</f>
        <v/>
      </c>
      <c r="E178" s="10" t="s">
        <v>24</v>
      </c>
      <c r="F178" s="12"/>
      <c r="G178" s="12"/>
      <c r="H178" s="10"/>
      <c r="I178" s="10"/>
      <c r="J178" s="9" t="n">
        <f aca="false">IFERROR(SUMIFS(PurchaseOrderLines!$H$5:$H$504,PurchaseOrderLines!$B$5:$B$504,A178),"")</f>
        <v>0</v>
      </c>
      <c r="K178" s="9" t="n">
        <f aca="false">IFERROR(SUMIFS(PurchaseOrderLines!$I$5:$I$504,PurchaseOrderLines!$B$5:$B$504,A178),"")</f>
        <v>0</v>
      </c>
      <c r="L178" s="9" t="n">
        <f aca="false">IFERROR(J178+K178,"")</f>
        <v>0</v>
      </c>
      <c r="M178" s="9" t="n">
        <f aca="false">IFERROR(SUMIFS(Payments!$E$5:$E$504,Payments!$D$5:$D$504,A178,Payments!$C$5:$C$504,"Out"),"")</f>
        <v>0</v>
      </c>
      <c r="N178" s="9" t="n">
        <f aca="false">IFERROR(L178-M178,"")</f>
        <v>0</v>
      </c>
    </row>
    <row r="179" customFormat="false" ht="15" hidden="false" customHeight="false" outlineLevel="0" collapsed="false">
      <c r="A179" s="10"/>
      <c r="B179" s="12"/>
      <c r="C179" s="10"/>
      <c r="D179" s="14" t="str">
        <f aca="false">IFERROR(IF(C179="","",INDEX(Suppliers!$B$5:$B$504,MATCH(C179,Suppliers!$A$5:$A$504,0))),"")</f>
        <v/>
      </c>
      <c r="E179" s="10" t="s">
        <v>24</v>
      </c>
      <c r="F179" s="12"/>
      <c r="G179" s="12"/>
      <c r="H179" s="10"/>
      <c r="I179" s="10"/>
      <c r="J179" s="9" t="n">
        <f aca="false">IFERROR(SUMIFS(PurchaseOrderLines!$H$5:$H$504,PurchaseOrderLines!$B$5:$B$504,A179),"")</f>
        <v>0</v>
      </c>
      <c r="K179" s="9" t="n">
        <f aca="false">IFERROR(SUMIFS(PurchaseOrderLines!$I$5:$I$504,PurchaseOrderLines!$B$5:$B$504,A179),"")</f>
        <v>0</v>
      </c>
      <c r="L179" s="9" t="n">
        <f aca="false">IFERROR(J179+K179,"")</f>
        <v>0</v>
      </c>
      <c r="M179" s="9" t="n">
        <f aca="false">IFERROR(SUMIFS(Payments!$E$5:$E$504,Payments!$D$5:$D$504,A179,Payments!$C$5:$C$504,"Out"),"")</f>
        <v>0</v>
      </c>
      <c r="N179" s="9" t="n">
        <f aca="false">IFERROR(L179-M179,"")</f>
        <v>0</v>
      </c>
    </row>
    <row r="180" customFormat="false" ht="15" hidden="false" customHeight="false" outlineLevel="0" collapsed="false">
      <c r="A180" s="10"/>
      <c r="B180" s="12"/>
      <c r="C180" s="10"/>
      <c r="D180" s="14" t="str">
        <f aca="false">IFERROR(IF(C180="","",INDEX(Suppliers!$B$5:$B$504,MATCH(C180,Suppliers!$A$5:$A$504,0))),"")</f>
        <v/>
      </c>
      <c r="E180" s="10" t="s">
        <v>24</v>
      </c>
      <c r="F180" s="12"/>
      <c r="G180" s="12"/>
      <c r="H180" s="10"/>
      <c r="I180" s="10"/>
      <c r="J180" s="9" t="n">
        <f aca="false">IFERROR(SUMIFS(PurchaseOrderLines!$H$5:$H$504,PurchaseOrderLines!$B$5:$B$504,A180),"")</f>
        <v>0</v>
      </c>
      <c r="K180" s="9" t="n">
        <f aca="false">IFERROR(SUMIFS(PurchaseOrderLines!$I$5:$I$504,PurchaseOrderLines!$B$5:$B$504,A180),"")</f>
        <v>0</v>
      </c>
      <c r="L180" s="9" t="n">
        <f aca="false">IFERROR(J180+K180,"")</f>
        <v>0</v>
      </c>
      <c r="M180" s="9" t="n">
        <f aca="false">IFERROR(SUMIFS(Payments!$E$5:$E$504,Payments!$D$5:$D$504,A180,Payments!$C$5:$C$504,"Out"),"")</f>
        <v>0</v>
      </c>
      <c r="N180" s="9" t="n">
        <f aca="false">IFERROR(L180-M180,"")</f>
        <v>0</v>
      </c>
    </row>
    <row r="181" customFormat="false" ht="15" hidden="false" customHeight="false" outlineLevel="0" collapsed="false">
      <c r="A181" s="10"/>
      <c r="B181" s="12"/>
      <c r="C181" s="10"/>
      <c r="D181" s="14" t="str">
        <f aca="false">IFERROR(IF(C181="","",INDEX(Suppliers!$B$5:$B$504,MATCH(C181,Suppliers!$A$5:$A$504,0))),"")</f>
        <v/>
      </c>
      <c r="E181" s="10" t="s">
        <v>24</v>
      </c>
      <c r="F181" s="12"/>
      <c r="G181" s="12"/>
      <c r="H181" s="10"/>
      <c r="I181" s="10"/>
      <c r="J181" s="9" t="n">
        <f aca="false">IFERROR(SUMIFS(PurchaseOrderLines!$H$5:$H$504,PurchaseOrderLines!$B$5:$B$504,A181),"")</f>
        <v>0</v>
      </c>
      <c r="K181" s="9" t="n">
        <f aca="false">IFERROR(SUMIFS(PurchaseOrderLines!$I$5:$I$504,PurchaseOrderLines!$B$5:$B$504,A181),"")</f>
        <v>0</v>
      </c>
      <c r="L181" s="9" t="n">
        <f aca="false">IFERROR(J181+K181,"")</f>
        <v>0</v>
      </c>
      <c r="M181" s="9" t="n">
        <f aca="false">IFERROR(SUMIFS(Payments!$E$5:$E$504,Payments!$D$5:$D$504,A181,Payments!$C$5:$C$504,"Out"),"")</f>
        <v>0</v>
      </c>
      <c r="N181" s="9" t="n">
        <f aca="false">IFERROR(L181-M181,"")</f>
        <v>0</v>
      </c>
    </row>
    <row r="182" customFormat="false" ht="15" hidden="false" customHeight="false" outlineLevel="0" collapsed="false">
      <c r="A182" s="10"/>
      <c r="B182" s="12"/>
      <c r="C182" s="10"/>
      <c r="D182" s="14" t="str">
        <f aca="false">IFERROR(IF(C182="","",INDEX(Suppliers!$B$5:$B$504,MATCH(C182,Suppliers!$A$5:$A$504,0))),"")</f>
        <v/>
      </c>
      <c r="E182" s="10" t="s">
        <v>24</v>
      </c>
      <c r="F182" s="12"/>
      <c r="G182" s="12"/>
      <c r="H182" s="10"/>
      <c r="I182" s="10"/>
      <c r="J182" s="9" t="n">
        <f aca="false">IFERROR(SUMIFS(PurchaseOrderLines!$H$5:$H$504,PurchaseOrderLines!$B$5:$B$504,A182),"")</f>
        <v>0</v>
      </c>
      <c r="K182" s="9" t="n">
        <f aca="false">IFERROR(SUMIFS(PurchaseOrderLines!$I$5:$I$504,PurchaseOrderLines!$B$5:$B$504,A182),"")</f>
        <v>0</v>
      </c>
      <c r="L182" s="9" t="n">
        <f aca="false">IFERROR(J182+K182,"")</f>
        <v>0</v>
      </c>
      <c r="M182" s="9" t="n">
        <f aca="false">IFERROR(SUMIFS(Payments!$E$5:$E$504,Payments!$D$5:$D$504,A182,Payments!$C$5:$C$504,"Out"),"")</f>
        <v>0</v>
      </c>
      <c r="N182" s="9" t="n">
        <f aca="false">IFERROR(L182-M182,"")</f>
        <v>0</v>
      </c>
    </row>
    <row r="183" customFormat="false" ht="15" hidden="false" customHeight="false" outlineLevel="0" collapsed="false">
      <c r="A183" s="10"/>
      <c r="B183" s="12"/>
      <c r="C183" s="10"/>
      <c r="D183" s="14" t="str">
        <f aca="false">IFERROR(IF(C183="","",INDEX(Suppliers!$B$5:$B$504,MATCH(C183,Suppliers!$A$5:$A$504,0))),"")</f>
        <v/>
      </c>
      <c r="E183" s="10" t="s">
        <v>24</v>
      </c>
      <c r="F183" s="12"/>
      <c r="G183" s="12"/>
      <c r="H183" s="10"/>
      <c r="I183" s="10"/>
      <c r="J183" s="9" t="n">
        <f aca="false">IFERROR(SUMIFS(PurchaseOrderLines!$H$5:$H$504,PurchaseOrderLines!$B$5:$B$504,A183),"")</f>
        <v>0</v>
      </c>
      <c r="K183" s="9" t="n">
        <f aca="false">IFERROR(SUMIFS(PurchaseOrderLines!$I$5:$I$504,PurchaseOrderLines!$B$5:$B$504,A183),"")</f>
        <v>0</v>
      </c>
      <c r="L183" s="9" t="n">
        <f aca="false">IFERROR(J183+K183,"")</f>
        <v>0</v>
      </c>
      <c r="M183" s="9" t="n">
        <f aca="false">IFERROR(SUMIFS(Payments!$E$5:$E$504,Payments!$D$5:$D$504,A183,Payments!$C$5:$C$504,"Out"),"")</f>
        <v>0</v>
      </c>
      <c r="N183" s="9" t="n">
        <f aca="false">IFERROR(L183-M183,"")</f>
        <v>0</v>
      </c>
    </row>
    <row r="184" customFormat="false" ht="15" hidden="false" customHeight="false" outlineLevel="0" collapsed="false">
      <c r="A184" s="10"/>
      <c r="B184" s="12"/>
      <c r="C184" s="10"/>
      <c r="D184" s="14" t="str">
        <f aca="false">IFERROR(IF(C184="","",INDEX(Suppliers!$B$5:$B$504,MATCH(C184,Suppliers!$A$5:$A$504,0))),"")</f>
        <v/>
      </c>
      <c r="E184" s="10" t="s">
        <v>24</v>
      </c>
      <c r="F184" s="12"/>
      <c r="G184" s="12"/>
      <c r="H184" s="10"/>
      <c r="I184" s="10"/>
      <c r="J184" s="9" t="n">
        <f aca="false">IFERROR(SUMIFS(PurchaseOrderLines!$H$5:$H$504,PurchaseOrderLines!$B$5:$B$504,A184),"")</f>
        <v>0</v>
      </c>
      <c r="K184" s="9" t="n">
        <f aca="false">IFERROR(SUMIFS(PurchaseOrderLines!$I$5:$I$504,PurchaseOrderLines!$B$5:$B$504,A184),"")</f>
        <v>0</v>
      </c>
      <c r="L184" s="9" t="n">
        <f aca="false">IFERROR(J184+K184,"")</f>
        <v>0</v>
      </c>
      <c r="M184" s="9" t="n">
        <f aca="false">IFERROR(SUMIFS(Payments!$E$5:$E$504,Payments!$D$5:$D$504,A184,Payments!$C$5:$C$504,"Out"),"")</f>
        <v>0</v>
      </c>
      <c r="N184" s="9" t="n">
        <f aca="false">IFERROR(L184-M184,"")</f>
        <v>0</v>
      </c>
    </row>
    <row r="185" customFormat="false" ht="15" hidden="false" customHeight="false" outlineLevel="0" collapsed="false">
      <c r="A185" s="10"/>
      <c r="B185" s="12"/>
      <c r="C185" s="10"/>
      <c r="D185" s="14" t="str">
        <f aca="false">IFERROR(IF(C185="","",INDEX(Suppliers!$B$5:$B$504,MATCH(C185,Suppliers!$A$5:$A$504,0))),"")</f>
        <v/>
      </c>
      <c r="E185" s="10" t="s">
        <v>24</v>
      </c>
      <c r="F185" s="12"/>
      <c r="G185" s="12"/>
      <c r="H185" s="10"/>
      <c r="I185" s="10"/>
      <c r="J185" s="9" t="n">
        <f aca="false">IFERROR(SUMIFS(PurchaseOrderLines!$H$5:$H$504,PurchaseOrderLines!$B$5:$B$504,A185),"")</f>
        <v>0</v>
      </c>
      <c r="K185" s="9" t="n">
        <f aca="false">IFERROR(SUMIFS(PurchaseOrderLines!$I$5:$I$504,PurchaseOrderLines!$B$5:$B$504,A185),"")</f>
        <v>0</v>
      </c>
      <c r="L185" s="9" t="n">
        <f aca="false">IFERROR(J185+K185,"")</f>
        <v>0</v>
      </c>
      <c r="M185" s="9" t="n">
        <f aca="false">IFERROR(SUMIFS(Payments!$E$5:$E$504,Payments!$D$5:$D$504,A185,Payments!$C$5:$C$504,"Out"),"")</f>
        <v>0</v>
      </c>
      <c r="N185" s="9" t="n">
        <f aca="false">IFERROR(L185-M185,"")</f>
        <v>0</v>
      </c>
    </row>
    <row r="186" customFormat="false" ht="15" hidden="false" customHeight="false" outlineLevel="0" collapsed="false">
      <c r="A186" s="10"/>
      <c r="B186" s="12"/>
      <c r="C186" s="10"/>
      <c r="D186" s="14" t="str">
        <f aca="false">IFERROR(IF(C186="","",INDEX(Suppliers!$B$5:$B$504,MATCH(C186,Suppliers!$A$5:$A$504,0))),"")</f>
        <v/>
      </c>
      <c r="E186" s="10" t="s">
        <v>24</v>
      </c>
      <c r="F186" s="12"/>
      <c r="G186" s="12"/>
      <c r="H186" s="10"/>
      <c r="I186" s="10"/>
      <c r="J186" s="9" t="n">
        <f aca="false">IFERROR(SUMIFS(PurchaseOrderLines!$H$5:$H$504,PurchaseOrderLines!$B$5:$B$504,A186),"")</f>
        <v>0</v>
      </c>
      <c r="K186" s="9" t="n">
        <f aca="false">IFERROR(SUMIFS(PurchaseOrderLines!$I$5:$I$504,PurchaseOrderLines!$B$5:$B$504,A186),"")</f>
        <v>0</v>
      </c>
      <c r="L186" s="9" t="n">
        <f aca="false">IFERROR(J186+K186,"")</f>
        <v>0</v>
      </c>
      <c r="M186" s="9" t="n">
        <f aca="false">IFERROR(SUMIFS(Payments!$E$5:$E$504,Payments!$D$5:$D$504,A186,Payments!$C$5:$C$504,"Out"),"")</f>
        <v>0</v>
      </c>
      <c r="N186" s="9" t="n">
        <f aca="false">IFERROR(L186-M186,"")</f>
        <v>0</v>
      </c>
    </row>
    <row r="187" customFormat="false" ht="15" hidden="false" customHeight="false" outlineLevel="0" collapsed="false">
      <c r="A187" s="10"/>
      <c r="B187" s="12"/>
      <c r="C187" s="10"/>
      <c r="D187" s="14" t="str">
        <f aca="false">IFERROR(IF(C187="","",INDEX(Suppliers!$B$5:$B$504,MATCH(C187,Suppliers!$A$5:$A$504,0))),"")</f>
        <v/>
      </c>
      <c r="E187" s="10" t="s">
        <v>24</v>
      </c>
      <c r="F187" s="12"/>
      <c r="G187" s="12"/>
      <c r="H187" s="10"/>
      <c r="I187" s="10"/>
      <c r="J187" s="9" t="n">
        <f aca="false">IFERROR(SUMIFS(PurchaseOrderLines!$H$5:$H$504,PurchaseOrderLines!$B$5:$B$504,A187),"")</f>
        <v>0</v>
      </c>
      <c r="K187" s="9" t="n">
        <f aca="false">IFERROR(SUMIFS(PurchaseOrderLines!$I$5:$I$504,PurchaseOrderLines!$B$5:$B$504,A187),"")</f>
        <v>0</v>
      </c>
      <c r="L187" s="9" t="n">
        <f aca="false">IFERROR(J187+K187,"")</f>
        <v>0</v>
      </c>
      <c r="M187" s="9" t="n">
        <f aca="false">IFERROR(SUMIFS(Payments!$E$5:$E$504,Payments!$D$5:$D$504,A187,Payments!$C$5:$C$504,"Out"),"")</f>
        <v>0</v>
      </c>
      <c r="N187" s="9" t="n">
        <f aca="false">IFERROR(L187-M187,"")</f>
        <v>0</v>
      </c>
    </row>
    <row r="188" customFormat="false" ht="15" hidden="false" customHeight="false" outlineLevel="0" collapsed="false">
      <c r="A188" s="10"/>
      <c r="B188" s="12"/>
      <c r="C188" s="10"/>
      <c r="D188" s="14" t="str">
        <f aca="false">IFERROR(IF(C188="","",INDEX(Suppliers!$B$5:$B$504,MATCH(C188,Suppliers!$A$5:$A$504,0))),"")</f>
        <v/>
      </c>
      <c r="E188" s="10" t="s">
        <v>24</v>
      </c>
      <c r="F188" s="12"/>
      <c r="G188" s="12"/>
      <c r="H188" s="10"/>
      <c r="I188" s="10"/>
      <c r="J188" s="9" t="n">
        <f aca="false">IFERROR(SUMIFS(PurchaseOrderLines!$H$5:$H$504,PurchaseOrderLines!$B$5:$B$504,A188),"")</f>
        <v>0</v>
      </c>
      <c r="K188" s="9" t="n">
        <f aca="false">IFERROR(SUMIFS(PurchaseOrderLines!$I$5:$I$504,PurchaseOrderLines!$B$5:$B$504,A188),"")</f>
        <v>0</v>
      </c>
      <c r="L188" s="9" t="n">
        <f aca="false">IFERROR(J188+K188,"")</f>
        <v>0</v>
      </c>
      <c r="M188" s="9" t="n">
        <f aca="false">IFERROR(SUMIFS(Payments!$E$5:$E$504,Payments!$D$5:$D$504,A188,Payments!$C$5:$C$504,"Out"),"")</f>
        <v>0</v>
      </c>
      <c r="N188" s="9" t="n">
        <f aca="false">IFERROR(L188-M188,"")</f>
        <v>0</v>
      </c>
    </row>
    <row r="189" customFormat="false" ht="15" hidden="false" customHeight="false" outlineLevel="0" collapsed="false">
      <c r="A189" s="10"/>
      <c r="B189" s="12"/>
      <c r="C189" s="10"/>
      <c r="D189" s="14" t="str">
        <f aca="false">IFERROR(IF(C189="","",INDEX(Suppliers!$B$5:$B$504,MATCH(C189,Suppliers!$A$5:$A$504,0))),"")</f>
        <v/>
      </c>
      <c r="E189" s="10" t="s">
        <v>24</v>
      </c>
      <c r="F189" s="12"/>
      <c r="G189" s="12"/>
      <c r="H189" s="10"/>
      <c r="I189" s="10"/>
      <c r="J189" s="9" t="n">
        <f aca="false">IFERROR(SUMIFS(PurchaseOrderLines!$H$5:$H$504,PurchaseOrderLines!$B$5:$B$504,A189),"")</f>
        <v>0</v>
      </c>
      <c r="K189" s="9" t="n">
        <f aca="false">IFERROR(SUMIFS(PurchaseOrderLines!$I$5:$I$504,PurchaseOrderLines!$B$5:$B$504,A189),"")</f>
        <v>0</v>
      </c>
      <c r="L189" s="9" t="n">
        <f aca="false">IFERROR(J189+K189,"")</f>
        <v>0</v>
      </c>
      <c r="M189" s="9" t="n">
        <f aca="false">IFERROR(SUMIFS(Payments!$E$5:$E$504,Payments!$D$5:$D$504,A189,Payments!$C$5:$C$504,"Out"),"")</f>
        <v>0</v>
      </c>
      <c r="N189" s="9" t="n">
        <f aca="false">IFERROR(L189-M189,"")</f>
        <v>0</v>
      </c>
    </row>
    <row r="190" customFormat="false" ht="15" hidden="false" customHeight="false" outlineLevel="0" collapsed="false">
      <c r="A190" s="10"/>
      <c r="B190" s="12"/>
      <c r="C190" s="10"/>
      <c r="D190" s="14" t="str">
        <f aca="false">IFERROR(IF(C190="","",INDEX(Suppliers!$B$5:$B$504,MATCH(C190,Suppliers!$A$5:$A$504,0))),"")</f>
        <v/>
      </c>
      <c r="E190" s="10" t="s">
        <v>24</v>
      </c>
      <c r="F190" s="12"/>
      <c r="G190" s="12"/>
      <c r="H190" s="10"/>
      <c r="I190" s="10"/>
      <c r="J190" s="9" t="n">
        <f aca="false">IFERROR(SUMIFS(PurchaseOrderLines!$H$5:$H$504,PurchaseOrderLines!$B$5:$B$504,A190),"")</f>
        <v>0</v>
      </c>
      <c r="K190" s="9" t="n">
        <f aca="false">IFERROR(SUMIFS(PurchaseOrderLines!$I$5:$I$504,PurchaseOrderLines!$B$5:$B$504,A190),"")</f>
        <v>0</v>
      </c>
      <c r="L190" s="9" t="n">
        <f aca="false">IFERROR(J190+K190,"")</f>
        <v>0</v>
      </c>
      <c r="M190" s="9" t="n">
        <f aca="false">IFERROR(SUMIFS(Payments!$E$5:$E$504,Payments!$D$5:$D$504,A190,Payments!$C$5:$C$504,"Out"),"")</f>
        <v>0</v>
      </c>
      <c r="N190" s="9" t="n">
        <f aca="false">IFERROR(L190-M190,"")</f>
        <v>0</v>
      </c>
    </row>
    <row r="191" customFormat="false" ht="15" hidden="false" customHeight="false" outlineLevel="0" collapsed="false">
      <c r="A191" s="10"/>
      <c r="B191" s="12"/>
      <c r="C191" s="10"/>
      <c r="D191" s="14" t="str">
        <f aca="false">IFERROR(IF(C191="","",INDEX(Suppliers!$B$5:$B$504,MATCH(C191,Suppliers!$A$5:$A$504,0))),"")</f>
        <v/>
      </c>
      <c r="E191" s="10" t="s">
        <v>24</v>
      </c>
      <c r="F191" s="12"/>
      <c r="G191" s="12"/>
      <c r="H191" s="10"/>
      <c r="I191" s="10"/>
      <c r="J191" s="9" t="n">
        <f aca="false">IFERROR(SUMIFS(PurchaseOrderLines!$H$5:$H$504,PurchaseOrderLines!$B$5:$B$504,A191),"")</f>
        <v>0</v>
      </c>
      <c r="K191" s="9" t="n">
        <f aca="false">IFERROR(SUMIFS(PurchaseOrderLines!$I$5:$I$504,PurchaseOrderLines!$B$5:$B$504,A191),"")</f>
        <v>0</v>
      </c>
      <c r="L191" s="9" t="n">
        <f aca="false">IFERROR(J191+K191,"")</f>
        <v>0</v>
      </c>
      <c r="M191" s="9" t="n">
        <f aca="false">IFERROR(SUMIFS(Payments!$E$5:$E$504,Payments!$D$5:$D$504,A191,Payments!$C$5:$C$504,"Out"),"")</f>
        <v>0</v>
      </c>
      <c r="N191" s="9" t="n">
        <f aca="false">IFERROR(L191-M191,"")</f>
        <v>0</v>
      </c>
    </row>
    <row r="192" customFormat="false" ht="15" hidden="false" customHeight="false" outlineLevel="0" collapsed="false">
      <c r="A192" s="10"/>
      <c r="B192" s="12"/>
      <c r="C192" s="10"/>
      <c r="D192" s="14" t="str">
        <f aca="false">IFERROR(IF(C192="","",INDEX(Suppliers!$B$5:$B$504,MATCH(C192,Suppliers!$A$5:$A$504,0))),"")</f>
        <v/>
      </c>
      <c r="E192" s="10" t="s">
        <v>24</v>
      </c>
      <c r="F192" s="12"/>
      <c r="G192" s="12"/>
      <c r="H192" s="10"/>
      <c r="I192" s="10"/>
      <c r="J192" s="9" t="n">
        <f aca="false">IFERROR(SUMIFS(PurchaseOrderLines!$H$5:$H$504,PurchaseOrderLines!$B$5:$B$504,A192),"")</f>
        <v>0</v>
      </c>
      <c r="K192" s="9" t="n">
        <f aca="false">IFERROR(SUMIFS(PurchaseOrderLines!$I$5:$I$504,PurchaseOrderLines!$B$5:$B$504,A192),"")</f>
        <v>0</v>
      </c>
      <c r="L192" s="9" t="n">
        <f aca="false">IFERROR(J192+K192,"")</f>
        <v>0</v>
      </c>
      <c r="M192" s="9" t="n">
        <f aca="false">IFERROR(SUMIFS(Payments!$E$5:$E$504,Payments!$D$5:$D$504,A192,Payments!$C$5:$C$504,"Out"),"")</f>
        <v>0</v>
      </c>
      <c r="N192" s="9" t="n">
        <f aca="false">IFERROR(L192-M192,"")</f>
        <v>0</v>
      </c>
    </row>
    <row r="193" customFormat="false" ht="15" hidden="false" customHeight="false" outlineLevel="0" collapsed="false">
      <c r="A193" s="10"/>
      <c r="B193" s="12"/>
      <c r="C193" s="10"/>
      <c r="D193" s="14" t="str">
        <f aca="false">IFERROR(IF(C193="","",INDEX(Suppliers!$B$5:$B$504,MATCH(C193,Suppliers!$A$5:$A$504,0))),"")</f>
        <v/>
      </c>
      <c r="E193" s="10" t="s">
        <v>24</v>
      </c>
      <c r="F193" s="12"/>
      <c r="G193" s="12"/>
      <c r="H193" s="10"/>
      <c r="I193" s="10"/>
      <c r="J193" s="9" t="n">
        <f aca="false">IFERROR(SUMIFS(PurchaseOrderLines!$H$5:$H$504,PurchaseOrderLines!$B$5:$B$504,A193),"")</f>
        <v>0</v>
      </c>
      <c r="K193" s="9" t="n">
        <f aca="false">IFERROR(SUMIFS(PurchaseOrderLines!$I$5:$I$504,PurchaseOrderLines!$B$5:$B$504,A193),"")</f>
        <v>0</v>
      </c>
      <c r="L193" s="9" t="n">
        <f aca="false">IFERROR(J193+K193,"")</f>
        <v>0</v>
      </c>
      <c r="M193" s="9" t="n">
        <f aca="false">IFERROR(SUMIFS(Payments!$E$5:$E$504,Payments!$D$5:$D$504,A193,Payments!$C$5:$C$504,"Out"),"")</f>
        <v>0</v>
      </c>
      <c r="N193" s="9" t="n">
        <f aca="false">IFERROR(L193-M193,"")</f>
        <v>0</v>
      </c>
    </row>
    <row r="194" customFormat="false" ht="15" hidden="false" customHeight="false" outlineLevel="0" collapsed="false">
      <c r="A194" s="10"/>
      <c r="B194" s="12"/>
      <c r="C194" s="10"/>
      <c r="D194" s="14" t="str">
        <f aca="false">IFERROR(IF(C194="","",INDEX(Suppliers!$B$5:$B$504,MATCH(C194,Suppliers!$A$5:$A$504,0))),"")</f>
        <v/>
      </c>
      <c r="E194" s="10" t="s">
        <v>24</v>
      </c>
      <c r="F194" s="12"/>
      <c r="G194" s="12"/>
      <c r="H194" s="10"/>
      <c r="I194" s="10"/>
      <c r="J194" s="9" t="n">
        <f aca="false">IFERROR(SUMIFS(PurchaseOrderLines!$H$5:$H$504,PurchaseOrderLines!$B$5:$B$504,A194),"")</f>
        <v>0</v>
      </c>
      <c r="K194" s="9" t="n">
        <f aca="false">IFERROR(SUMIFS(PurchaseOrderLines!$I$5:$I$504,PurchaseOrderLines!$B$5:$B$504,A194),"")</f>
        <v>0</v>
      </c>
      <c r="L194" s="9" t="n">
        <f aca="false">IFERROR(J194+K194,"")</f>
        <v>0</v>
      </c>
      <c r="M194" s="9" t="n">
        <f aca="false">IFERROR(SUMIFS(Payments!$E$5:$E$504,Payments!$D$5:$D$504,A194,Payments!$C$5:$C$504,"Out"),"")</f>
        <v>0</v>
      </c>
      <c r="N194" s="9" t="n">
        <f aca="false">IFERROR(L194-M194,"")</f>
        <v>0</v>
      </c>
    </row>
    <row r="195" customFormat="false" ht="15" hidden="false" customHeight="false" outlineLevel="0" collapsed="false">
      <c r="A195" s="10"/>
      <c r="B195" s="12"/>
      <c r="C195" s="10"/>
      <c r="D195" s="14" t="str">
        <f aca="false">IFERROR(IF(C195="","",INDEX(Suppliers!$B$5:$B$504,MATCH(C195,Suppliers!$A$5:$A$504,0))),"")</f>
        <v/>
      </c>
      <c r="E195" s="10" t="s">
        <v>24</v>
      </c>
      <c r="F195" s="12"/>
      <c r="G195" s="12"/>
      <c r="H195" s="10"/>
      <c r="I195" s="10"/>
      <c r="J195" s="9" t="n">
        <f aca="false">IFERROR(SUMIFS(PurchaseOrderLines!$H$5:$H$504,PurchaseOrderLines!$B$5:$B$504,A195),"")</f>
        <v>0</v>
      </c>
      <c r="K195" s="9" t="n">
        <f aca="false">IFERROR(SUMIFS(PurchaseOrderLines!$I$5:$I$504,PurchaseOrderLines!$B$5:$B$504,A195),"")</f>
        <v>0</v>
      </c>
      <c r="L195" s="9" t="n">
        <f aca="false">IFERROR(J195+K195,"")</f>
        <v>0</v>
      </c>
      <c r="M195" s="9" t="n">
        <f aca="false">IFERROR(SUMIFS(Payments!$E$5:$E$504,Payments!$D$5:$D$504,A195,Payments!$C$5:$C$504,"Out"),"")</f>
        <v>0</v>
      </c>
      <c r="N195" s="9" t="n">
        <f aca="false">IFERROR(L195-M195,"")</f>
        <v>0</v>
      </c>
    </row>
    <row r="196" customFormat="false" ht="15" hidden="false" customHeight="false" outlineLevel="0" collapsed="false">
      <c r="A196" s="10"/>
      <c r="B196" s="12"/>
      <c r="C196" s="10"/>
      <c r="D196" s="14" t="str">
        <f aca="false">IFERROR(IF(C196="","",INDEX(Suppliers!$B$5:$B$504,MATCH(C196,Suppliers!$A$5:$A$504,0))),"")</f>
        <v/>
      </c>
      <c r="E196" s="10" t="s">
        <v>24</v>
      </c>
      <c r="F196" s="12"/>
      <c r="G196" s="12"/>
      <c r="H196" s="10"/>
      <c r="I196" s="10"/>
      <c r="J196" s="9" t="n">
        <f aca="false">IFERROR(SUMIFS(PurchaseOrderLines!$H$5:$H$504,PurchaseOrderLines!$B$5:$B$504,A196),"")</f>
        <v>0</v>
      </c>
      <c r="K196" s="9" t="n">
        <f aca="false">IFERROR(SUMIFS(PurchaseOrderLines!$I$5:$I$504,PurchaseOrderLines!$B$5:$B$504,A196),"")</f>
        <v>0</v>
      </c>
      <c r="L196" s="9" t="n">
        <f aca="false">IFERROR(J196+K196,"")</f>
        <v>0</v>
      </c>
      <c r="M196" s="9" t="n">
        <f aca="false">IFERROR(SUMIFS(Payments!$E$5:$E$504,Payments!$D$5:$D$504,A196,Payments!$C$5:$C$504,"Out"),"")</f>
        <v>0</v>
      </c>
      <c r="N196" s="9" t="n">
        <f aca="false">IFERROR(L196-M196,"")</f>
        <v>0</v>
      </c>
    </row>
    <row r="197" customFormat="false" ht="15" hidden="false" customHeight="false" outlineLevel="0" collapsed="false">
      <c r="A197" s="10"/>
      <c r="B197" s="12"/>
      <c r="C197" s="10"/>
      <c r="D197" s="14" t="str">
        <f aca="false">IFERROR(IF(C197="","",INDEX(Suppliers!$B$5:$B$504,MATCH(C197,Suppliers!$A$5:$A$504,0))),"")</f>
        <v/>
      </c>
      <c r="E197" s="10" t="s">
        <v>24</v>
      </c>
      <c r="F197" s="12"/>
      <c r="G197" s="12"/>
      <c r="H197" s="10"/>
      <c r="I197" s="10"/>
      <c r="J197" s="9" t="n">
        <f aca="false">IFERROR(SUMIFS(PurchaseOrderLines!$H$5:$H$504,PurchaseOrderLines!$B$5:$B$504,A197),"")</f>
        <v>0</v>
      </c>
      <c r="K197" s="9" t="n">
        <f aca="false">IFERROR(SUMIFS(PurchaseOrderLines!$I$5:$I$504,PurchaseOrderLines!$B$5:$B$504,A197),"")</f>
        <v>0</v>
      </c>
      <c r="L197" s="9" t="n">
        <f aca="false">IFERROR(J197+K197,"")</f>
        <v>0</v>
      </c>
      <c r="M197" s="9" t="n">
        <f aca="false">IFERROR(SUMIFS(Payments!$E$5:$E$504,Payments!$D$5:$D$504,A197,Payments!$C$5:$C$504,"Out"),"")</f>
        <v>0</v>
      </c>
      <c r="N197" s="9" t="n">
        <f aca="false">IFERROR(L197-M197,"")</f>
        <v>0</v>
      </c>
    </row>
    <row r="198" customFormat="false" ht="15" hidden="false" customHeight="false" outlineLevel="0" collapsed="false">
      <c r="A198" s="10"/>
      <c r="B198" s="12"/>
      <c r="C198" s="10"/>
      <c r="D198" s="14" t="str">
        <f aca="false">IFERROR(IF(C198="","",INDEX(Suppliers!$B$5:$B$504,MATCH(C198,Suppliers!$A$5:$A$504,0))),"")</f>
        <v/>
      </c>
      <c r="E198" s="10" t="s">
        <v>24</v>
      </c>
      <c r="F198" s="12"/>
      <c r="G198" s="12"/>
      <c r="H198" s="10"/>
      <c r="I198" s="10"/>
      <c r="J198" s="9" t="n">
        <f aca="false">IFERROR(SUMIFS(PurchaseOrderLines!$H$5:$H$504,PurchaseOrderLines!$B$5:$B$504,A198),"")</f>
        <v>0</v>
      </c>
      <c r="K198" s="9" t="n">
        <f aca="false">IFERROR(SUMIFS(PurchaseOrderLines!$I$5:$I$504,PurchaseOrderLines!$B$5:$B$504,A198),"")</f>
        <v>0</v>
      </c>
      <c r="L198" s="9" t="n">
        <f aca="false">IFERROR(J198+K198,"")</f>
        <v>0</v>
      </c>
      <c r="M198" s="9" t="n">
        <f aca="false">IFERROR(SUMIFS(Payments!$E$5:$E$504,Payments!$D$5:$D$504,A198,Payments!$C$5:$C$504,"Out"),"")</f>
        <v>0</v>
      </c>
      <c r="N198" s="9" t="n">
        <f aca="false">IFERROR(L198-M198,"")</f>
        <v>0</v>
      </c>
    </row>
    <row r="199" customFormat="false" ht="15" hidden="false" customHeight="false" outlineLevel="0" collapsed="false">
      <c r="A199" s="10"/>
      <c r="B199" s="12"/>
      <c r="C199" s="10"/>
      <c r="D199" s="14" t="str">
        <f aca="false">IFERROR(IF(C199="","",INDEX(Suppliers!$B$5:$B$504,MATCH(C199,Suppliers!$A$5:$A$504,0))),"")</f>
        <v/>
      </c>
      <c r="E199" s="10" t="s">
        <v>24</v>
      </c>
      <c r="F199" s="12"/>
      <c r="G199" s="12"/>
      <c r="H199" s="10"/>
      <c r="I199" s="10"/>
      <c r="J199" s="9" t="n">
        <f aca="false">IFERROR(SUMIFS(PurchaseOrderLines!$H$5:$H$504,PurchaseOrderLines!$B$5:$B$504,A199),"")</f>
        <v>0</v>
      </c>
      <c r="K199" s="9" t="n">
        <f aca="false">IFERROR(SUMIFS(PurchaseOrderLines!$I$5:$I$504,PurchaseOrderLines!$B$5:$B$504,A199),"")</f>
        <v>0</v>
      </c>
      <c r="L199" s="9" t="n">
        <f aca="false">IFERROR(J199+K199,"")</f>
        <v>0</v>
      </c>
      <c r="M199" s="9" t="n">
        <f aca="false">IFERROR(SUMIFS(Payments!$E$5:$E$504,Payments!$D$5:$D$504,A199,Payments!$C$5:$C$504,"Out"),"")</f>
        <v>0</v>
      </c>
      <c r="N199" s="9" t="n">
        <f aca="false">IFERROR(L199-M199,"")</f>
        <v>0</v>
      </c>
    </row>
    <row r="200" customFormat="false" ht="15" hidden="false" customHeight="false" outlineLevel="0" collapsed="false">
      <c r="A200" s="10"/>
      <c r="B200" s="12"/>
      <c r="C200" s="10"/>
      <c r="D200" s="14" t="str">
        <f aca="false">IFERROR(IF(C200="","",INDEX(Suppliers!$B$5:$B$504,MATCH(C200,Suppliers!$A$5:$A$504,0))),"")</f>
        <v/>
      </c>
      <c r="E200" s="10" t="s">
        <v>24</v>
      </c>
      <c r="F200" s="12"/>
      <c r="G200" s="12"/>
      <c r="H200" s="10"/>
      <c r="I200" s="10"/>
      <c r="J200" s="9" t="n">
        <f aca="false">IFERROR(SUMIFS(PurchaseOrderLines!$H$5:$H$504,PurchaseOrderLines!$B$5:$B$504,A200),"")</f>
        <v>0</v>
      </c>
      <c r="K200" s="9" t="n">
        <f aca="false">IFERROR(SUMIFS(PurchaseOrderLines!$I$5:$I$504,PurchaseOrderLines!$B$5:$B$504,A200),"")</f>
        <v>0</v>
      </c>
      <c r="L200" s="9" t="n">
        <f aca="false">IFERROR(J200+K200,"")</f>
        <v>0</v>
      </c>
      <c r="M200" s="9" t="n">
        <f aca="false">IFERROR(SUMIFS(Payments!$E$5:$E$504,Payments!$D$5:$D$504,A200,Payments!$C$5:$C$504,"Out"),"")</f>
        <v>0</v>
      </c>
      <c r="N200" s="9" t="n">
        <f aca="false">IFERROR(L200-M200,"")</f>
        <v>0</v>
      </c>
    </row>
    <row r="201" customFormat="false" ht="15" hidden="false" customHeight="false" outlineLevel="0" collapsed="false">
      <c r="A201" s="10"/>
      <c r="B201" s="12"/>
      <c r="C201" s="10"/>
      <c r="D201" s="14" t="str">
        <f aca="false">IFERROR(IF(C201="","",INDEX(Suppliers!$B$5:$B$504,MATCH(C201,Suppliers!$A$5:$A$504,0))),"")</f>
        <v/>
      </c>
      <c r="E201" s="10" t="s">
        <v>24</v>
      </c>
      <c r="F201" s="12"/>
      <c r="G201" s="12"/>
      <c r="H201" s="10"/>
      <c r="I201" s="10"/>
      <c r="J201" s="9" t="n">
        <f aca="false">IFERROR(SUMIFS(PurchaseOrderLines!$H$5:$H$504,PurchaseOrderLines!$B$5:$B$504,A201),"")</f>
        <v>0</v>
      </c>
      <c r="K201" s="9" t="n">
        <f aca="false">IFERROR(SUMIFS(PurchaseOrderLines!$I$5:$I$504,PurchaseOrderLines!$B$5:$B$504,A201),"")</f>
        <v>0</v>
      </c>
      <c r="L201" s="9" t="n">
        <f aca="false">IFERROR(J201+K201,"")</f>
        <v>0</v>
      </c>
      <c r="M201" s="9" t="n">
        <f aca="false">IFERROR(SUMIFS(Payments!$E$5:$E$504,Payments!$D$5:$D$504,A201,Payments!$C$5:$C$504,"Out"),"")</f>
        <v>0</v>
      </c>
      <c r="N201" s="9" t="n">
        <f aca="false">IFERROR(L201-M201,"")</f>
        <v>0</v>
      </c>
    </row>
    <row r="202" customFormat="false" ht="15" hidden="false" customHeight="false" outlineLevel="0" collapsed="false">
      <c r="A202" s="10"/>
      <c r="B202" s="12"/>
      <c r="C202" s="10"/>
      <c r="D202" s="14" t="str">
        <f aca="false">IFERROR(IF(C202="","",INDEX(Suppliers!$B$5:$B$504,MATCH(C202,Suppliers!$A$5:$A$504,0))),"")</f>
        <v/>
      </c>
      <c r="E202" s="10" t="s">
        <v>24</v>
      </c>
      <c r="F202" s="12"/>
      <c r="G202" s="12"/>
      <c r="H202" s="10"/>
      <c r="I202" s="10"/>
      <c r="J202" s="9" t="n">
        <f aca="false">IFERROR(SUMIFS(PurchaseOrderLines!$H$5:$H$504,PurchaseOrderLines!$B$5:$B$504,A202),"")</f>
        <v>0</v>
      </c>
      <c r="K202" s="9" t="n">
        <f aca="false">IFERROR(SUMIFS(PurchaseOrderLines!$I$5:$I$504,PurchaseOrderLines!$B$5:$B$504,A202),"")</f>
        <v>0</v>
      </c>
      <c r="L202" s="9" t="n">
        <f aca="false">IFERROR(J202+K202,"")</f>
        <v>0</v>
      </c>
      <c r="M202" s="9" t="n">
        <f aca="false">IFERROR(SUMIFS(Payments!$E$5:$E$504,Payments!$D$5:$D$504,A202,Payments!$C$5:$C$504,"Out"),"")</f>
        <v>0</v>
      </c>
      <c r="N202" s="9" t="n">
        <f aca="false">IFERROR(L202-M202,"")</f>
        <v>0</v>
      </c>
    </row>
    <row r="203" customFormat="false" ht="15" hidden="false" customHeight="false" outlineLevel="0" collapsed="false">
      <c r="A203" s="10"/>
      <c r="B203" s="12"/>
      <c r="C203" s="10"/>
      <c r="D203" s="14" t="str">
        <f aca="false">IFERROR(IF(C203="","",INDEX(Suppliers!$B$5:$B$504,MATCH(C203,Suppliers!$A$5:$A$504,0))),"")</f>
        <v/>
      </c>
      <c r="E203" s="10" t="s">
        <v>24</v>
      </c>
      <c r="F203" s="12"/>
      <c r="G203" s="12"/>
      <c r="H203" s="10"/>
      <c r="I203" s="10"/>
      <c r="J203" s="9" t="n">
        <f aca="false">IFERROR(SUMIFS(PurchaseOrderLines!$H$5:$H$504,PurchaseOrderLines!$B$5:$B$504,A203),"")</f>
        <v>0</v>
      </c>
      <c r="K203" s="9" t="n">
        <f aca="false">IFERROR(SUMIFS(PurchaseOrderLines!$I$5:$I$504,PurchaseOrderLines!$B$5:$B$504,A203),"")</f>
        <v>0</v>
      </c>
      <c r="L203" s="9" t="n">
        <f aca="false">IFERROR(J203+K203,"")</f>
        <v>0</v>
      </c>
      <c r="M203" s="9" t="n">
        <f aca="false">IFERROR(SUMIFS(Payments!$E$5:$E$504,Payments!$D$5:$D$504,A203,Payments!$C$5:$C$504,"Out"),"")</f>
        <v>0</v>
      </c>
      <c r="N203" s="9" t="n">
        <f aca="false">IFERROR(L203-M203,"")</f>
        <v>0</v>
      </c>
    </row>
    <row r="204" customFormat="false" ht="15" hidden="false" customHeight="false" outlineLevel="0" collapsed="false">
      <c r="A204" s="10"/>
      <c r="B204" s="12"/>
      <c r="C204" s="10"/>
      <c r="D204" s="14" t="str">
        <f aca="false">IFERROR(IF(C204="","",INDEX(Suppliers!$B$5:$B$504,MATCH(C204,Suppliers!$A$5:$A$504,0))),"")</f>
        <v/>
      </c>
      <c r="E204" s="10" t="s">
        <v>24</v>
      </c>
      <c r="F204" s="12"/>
      <c r="G204" s="12"/>
      <c r="H204" s="10"/>
      <c r="I204" s="10"/>
      <c r="J204" s="9" t="n">
        <f aca="false">IFERROR(SUMIFS(PurchaseOrderLines!$H$5:$H$504,PurchaseOrderLines!$B$5:$B$504,A204),"")</f>
        <v>0</v>
      </c>
      <c r="K204" s="9" t="n">
        <f aca="false">IFERROR(SUMIFS(PurchaseOrderLines!$I$5:$I$504,PurchaseOrderLines!$B$5:$B$504,A204),"")</f>
        <v>0</v>
      </c>
      <c r="L204" s="9" t="n">
        <f aca="false">IFERROR(J204+K204,"")</f>
        <v>0</v>
      </c>
      <c r="M204" s="9" t="n">
        <f aca="false">IFERROR(SUMIFS(Payments!$E$5:$E$504,Payments!$D$5:$D$504,A204,Payments!$C$5:$C$504,"Out"),"")</f>
        <v>0</v>
      </c>
      <c r="N204" s="9" t="n">
        <f aca="false">IFERROR(L204-M204,"")</f>
        <v>0</v>
      </c>
    </row>
    <row r="205" customFormat="false" ht="15" hidden="false" customHeight="false" outlineLevel="0" collapsed="false">
      <c r="A205" s="10"/>
      <c r="B205" s="12"/>
      <c r="C205" s="10"/>
      <c r="D205" s="14" t="str">
        <f aca="false">IFERROR(IF(C205="","",INDEX(Suppliers!$B$5:$B$504,MATCH(C205,Suppliers!$A$5:$A$504,0))),"")</f>
        <v/>
      </c>
      <c r="E205" s="10" t="s">
        <v>24</v>
      </c>
      <c r="F205" s="12"/>
      <c r="G205" s="12"/>
      <c r="H205" s="10"/>
      <c r="I205" s="10"/>
      <c r="J205" s="9" t="n">
        <f aca="false">IFERROR(SUMIFS(PurchaseOrderLines!$H$5:$H$504,PurchaseOrderLines!$B$5:$B$504,A205),"")</f>
        <v>0</v>
      </c>
      <c r="K205" s="9" t="n">
        <f aca="false">IFERROR(SUMIFS(PurchaseOrderLines!$I$5:$I$504,PurchaseOrderLines!$B$5:$B$504,A205),"")</f>
        <v>0</v>
      </c>
      <c r="L205" s="9" t="n">
        <f aca="false">IFERROR(J205+K205,"")</f>
        <v>0</v>
      </c>
      <c r="M205" s="9" t="n">
        <f aca="false">IFERROR(SUMIFS(Payments!$E$5:$E$504,Payments!$D$5:$D$504,A205,Payments!$C$5:$C$504,"Out"),"")</f>
        <v>0</v>
      </c>
      <c r="N205" s="9" t="n">
        <f aca="false">IFERROR(L205-M205,"")</f>
        <v>0</v>
      </c>
    </row>
    <row r="206" customFormat="false" ht="15" hidden="false" customHeight="false" outlineLevel="0" collapsed="false">
      <c r="A206" s="10"/>
      <c r="B206" s="12"/>
      <c r="C206" s="10"/>
      <c r="D206" s="14" t="str">
        <f aca="false">IFERROR(IF(C206="","",INDEX(Suppliers!$B$5:$B$504,MATCH(C206,Suppliers!$A$5:$A$504,0))),"")</f>
        <v/>
      </c>
      <c r="E206" s="10" t="s">
        <v>24</v>
      </c>
      <c r="F206" s="12"/>
      <c r="G206" s="12"/>
      <c r="H206" s="10"/>
      <c r="I206" s="10"/>
      <c r="J206" s="9" t="n">
        <f aca="false">IFERROR(SUMIFS(PurchaseOrderLines!$H$5:$H$504,PurchaseOrderLines!$B$5:$B$504,A206),"")</f>
        <v>0</v>
      </c>
      <c r="K206" s="9" t="n">
        <f aca="false">IFERROR(SUMIFS(PurchaseOrderLines!$I$5:$I$504,PurchaseOrderLines!$B$5:$B$504,A206),"")</f>
        <v>0</v>
      </c>
      <c r="L206" s="9" t="n">
        <f aca="false">IFERROR(J206+K206,"")</f>
        <v>0</v>
      </c>
      <c r="M206" s="9" t="n">
        <f aca="false">IFERROR(SUMIFS(Payments!$E$5:$E$504,Payments!$D$5:$D$504,A206,Payments!$C$5:$C$504,"Out"),"")</f>
        <v>0</v>
      </c>
      <c r="N206" s="9" t="n">
        <f aca="false">IFERROR(L206-M206,"")</f>
        <v>0</v>
      </c>
    </row>
    <row r="207" customFormat="false" ht="15" hidden="false" customHeight="false" outlineLevel="0" collapsed="false">
      <c r="A207" s="10"/>
      <c r="B207" s="12"/>
      <c r="C207" s="10"/>
      <c r="D207" s="14" t="str">
        <f aca="false">IFERROR(IF(C207="","",INDEX(Suppliers!$B$5:$B$504,MATCH(C207,Suppliers!$A$5:$A$504,0))),"")</f>
        <v/>
      </c>
      <c r="E207" s="10" t="s">
        <v>24</v>
      </c>
      <c r="F207" s="12"/>
      <c r="G207" s="12"/>
      <c r="H207" s="10"/>
      <c r="I207" s="10"/>
      <c r="J207" s="9" t="n">
        <f aca="false">IFERROR(SUMIFS(PurchaseOrderLines!$H$5:$H$504,PurchaseOrderLines!$B$5:$B$504,A207),"")</f>
        <v>0</v>
      </c>
      <c r="K207" s="9" t="n">
        <f aca="false">IFERROR(SUMIFS(PurchaseOrderLines!$I$5:$I$504,PurchaseOrderLines!$B$5:$B$504,A207),"")</f>
        <v>0</v>
      </c>
      <c r="L207" s="9" t="n">
        <f aca="false">IFERROR(J207+K207,"")</f>
        <v>0</v>
      </c>
      <c r="M207" s="9" t="n">
        <f aca="false">IFERROR(SUMIFS(Payments!$E$5:$E$504,Payments!$D$5:$D$504,A207,Payments!$C$5:$C$504,"Out"),"")</f>
        <v>0</v>
      </c>
      <c r="N207" s="9" t="n">
        <f aca="false">IFERROR(L207-M207,"")</f>
        <v>0</v>
      </c>
    </row>
    <row r="208" customFormat="false" ht="15" hidden="false" customHeight="false" outlineLevel="0" collapsed="false">
      <c r="A208" s="10"/>
      <c r="B208" s="12"/>
      <c r="C208" s="10"/>
      <c r="D208" s="14" t="str">
        <f aca="false">IFERROR(IF(C208="","",INDEX(Suppliers!$B$5:$B$504,MATCH(C208,Suppliers!$A$5:$A$504,0))),"")</f>
        <v/>
      </c>
      <c r="E208" s="10" t="s">
        <v>24</v>
      </c>
      <c r="F208" s="12"/>
      <c r="G208" s="12"/>
      <c r="H208" s="10"/>
      <c r="I208" s="10"/>
      <c r="J208" s="9" t="n">
        <f aca="false">IFERROR(SUMIFS(PurchaseOrderLines!$H$5:$H$504,PurchaseOrderLines!$B$5:$B$504,A208),"")</f>
        <v>0</v>
      </c>
      <c r="K208" s="9" t="n">
        <f aca="false">IFERROR(SUMIFS(PurchaseOrderLines!$I$5:$I$504,PurchaseOrderLines!$B$5:$B$504,A208),"")</f>
        <v>0</v>
      </c>
      <c r="L208" s="9" t="n">
        <f aca="false">IFERROR(J208+K208,"")</f>
        <v>0</v>
      </c>
      <c r="M208" s="9" t="n">
        <f aca="false">IFERROR(SUMIFS(Payments!$E$5:$E$504,Payments!$D$5:$D$504,A208,Payments!$C$5:$C$504,"Out"),"")</f>
        <v>0</v>
      </c>
      <c r="N208" s="9" t="n">
        <f aca="false">IFERROR(L208-M208,"")</f>
        <v>0</v>
      </c>
    </row>
    <row r="209" customFormat="false" ht="15" hidden="false" customHeight="false" outlineLevel="0" collapsed="false">
      <c r="A209" s="10"/>
      <c r="B209" s="12"/>
      <c r="C209" s="10"/>
      <c r="D209" s="14" t="str">
        <f aca="false">IFERROR(IF(C209="","",INDEX(Suppliers!$B$5:$B$504,MATCH(C209,Suppliers!$A$5:$A$504,0))),"")</f>
        <v/>
      </c>
      <c r="E209" s="10" t="s">
        <v>24</v>
      </c>
      <c r="F209" s="12"/>
      <c r="G209" s="12"/>
      <c r="H209" s="10"/>
      <c r="I209" s="10"/>
      <c r="J209" s="9" t="n">
        <f aca="false">IFERROR(SUMIFS(PurchaseOrderLines!$H$5:$H$504,PurchaseOrderLines!$B$5:$B$504,A209),"")</f>
        <v>0</v>
      </c>
      <c r="K209" s="9" t="n">
        <f aca="false">IFERROR(SUMIFS(PurchaseOrderLines!$I$5:$I$504,PurchaseOrderLines!$B$5:$B$504,A209),"")</f>
        <v>0</v>
      </c>
      <c r="L209" s="9" t="n">
        <f aca="false">IFERROR(J209+K209,"")</f>
        <v>0</v>
      </c>
      <c r="M209" s="9" t="n">
        <f aca="false">IFERROR(SUMIFS(Payments!$E$5:$E$504,Payments!$D$5:$D$504,A209,Payments!$C$5:$C$504,"Out"),"")</f>
        <v>0</v>
      </c>
      <c r="N209" s="9" t="n">
        <f aca="false">IFERROR(L209-M209,"")</f>
        <v>0</v>
      </c>
    </row>
    <row r="210" customFormat="false" ht="15" hidden="false" customHeight="false" outlineLevel="0" collapsed="false">
      <c r="A210" s="10"/>
      <c r="B210" s="12"/>
      <c r="C210" s="10"/>
      <c r="D210" s="14" t="str">
        <f aca="false">IFERROR(IF(C210="","",INDEX(Suppliers!$B$5:$B$504,MATCH(C210,Suppliers!$A$5:$A$504,0))),"")</f>
        <v/>
      </c>
      <c r="E210" s="10" t="s">
        <v>24</v>
      </c>
      <c r="F210" s="12"/>
      <c r="G210" s="12"/>
      <c r="H210" s="10"/>
      <c r="I210" s="10"/>
      <c r="J210" s="9" t="n">
        <f aca="false">IFERROR(SUMIFS(PurchaseOrderLines!$H$5:$H$504,PurchaseOrderLines!$B$5:$B$504,A210),"")</f>
        <v>0</v>
      </c>
      <c r="K210" s="9" t="n">
        <f aca="false">IFERROR(SUMIFS(PurchaseOrderLines!$I$5:$I$504,PurchaseOrderLines!$B$5:$B$504,A210),"")</f>
        <v>0</v>
      </c>
      <c r="L210" s="9" t="n">
        <f aca="false">IFERROR(J210+K210,"")</f>
        <v>0</v>
      </c>
      <c r="M210" s="9" t="n">
        <f aca="false">IFERROR(SUMIFS(Payments!$E$5:$E$504,Payments!$D$5:$D$504,A210,Payments!$C$5:$C$504,"Out"),"")</f>
        <v>0</v>
      </c>
      <c r="N210" s="9" t="n">
        <f aca="false">IFERROR(L210-M210,"")</f>
        <v>0</v>
      </c>
    </row>
    <row r="211" customFormat="false" ht="15" hidden="false" customHeight="false" outlineLevel="0" collapsed="false">
      <c r="A211" s="10"/>
      <c r="B211" s="12"/>
      <c r="C211" s="10"/>
      <c r="D211" s="14" t="str">
        <f aca="false">IFERROR(IF(C211="","",INDEX(Suppliers!$B$5:$B$504,MATCH(C211,Suppliers!$A$5:$A$504,0))),"")</f>
        <v/>
      </c>
      <c r="E211" s="10" t="s">
        <v>24</v>
      </c>
      <c r="F211" s="12"/>
      <c r="G211" s="12"/>
      <c r="H211" s="10"/>
      <c r="I211" s="10"/>
      <c r="J211" s="9" t="n">
        <f aca="false">IFERROR(SUMIFS(PurchaseOrderLines!$H$5:$H$504,PurchaseOrderLines!$B$5:$B$504,A211),"")</f>
        <v>0</v>
      </c>
      <c r="K211" s="9" t="n">
        <f aca="false">IFERROR(SUMIFS(PurchaseOrderLines!$I$5:$I$504,PurchaseOrderLines!$B$5:$B$504,A211),"")</f>
        <v>0</v>
      </c>
      <c r="L211" s="9" t="n">
        <f aca="false">IFERROR(J211+K211,"")</f>
        <v>0</v>
      </c>
      <c r="M211" s="9" t="n">
        <f aca="false">IFERROR(SUMIFS(Payments!$E$5:$E$504,Payments!$D$5:$D$504,A211,Payments!$C$5:$C$504,"Out"),"")</f>
        <v>0</v>
      </c>
      <c r="N211" s="9" t="n">
        <f aca="false">IFERROR(L211-M211,"")</f>
        <v>0</v>
      </c>
    </row>
    <row r="212" customFormat="false" ht="15" hidden="false" customHeight="false" outlineLevel="0" collapsed="false">
      <c r="A212" s="10"/>
      <c r="B212" s="12"/>
      <c r="C212" s="10"/>
      <c r="D212" s="14" t="str">
        <f aca="false">IFERROR(IF(C212="","",INDEX(Suppliers!$B$5:$B$504,MATCH(C212,Suppliers!$A$5:$A$504,0))),"")</f>
        <v/>
      </c>
      <c r="E212" s="10" t="s">
        <v>24</v>
      </c>
      <c r="F212" s="12"/>
      <c r="G212" s="12"/>
      <c r="H212" s="10"/>
      <c r="I212" s="10"/>
      <c r="J212" s="9" t="n">
        <f aca="false">IFERROR(SUMIFS(PurchaseOrderLines!$H$5:$H$504,PurchaseOrderLines!$B$5:$B$504,A212),"")</f>
        <v>0</v>
      </c>
      <c r="K212" s="9" t="n">
        <f aca="false">IFERROR(SUMIFS(PurchaseOrderLines!$I$5:$I$504,PurchaseOrderLines!$B$5:$B$504,A212),"")</f>
        <v>0</v>
      </c>
      <c r="L212" s="9" t="n">
        <f aca="false">IFERROR(J212+K212,"")</f>
        <v>0</v>
      </c>
      <c r="M212" s="9" t="n">
        <f aca="false">IFERROR(SUMIFS(Payments!$E$5:$E$504,Payments!$D$5:$D$504,A212,Payments!$C$5:$C$504,"Out"),"")</f>
        <v>0</v>
      </c>
      <c r="N212" s="9" t="n">
        <f aca="false">IFERROR(L212-M212,"")</f>
        <v>0</v>
      </c>
    </row>
    <row r="213" customFormat="false" ht="15" hidden="false" customHeight="false" outlineLevel="0" collapsed="false">
      <c r="A213" s="10"/>
      <c r="B213" s="12"/>
      <c r="C213" s="10"/>
      <c r="D213" s="14" t="str">
        <f aca="false">IFERROR(IF(C213="","",INDEX(Suppliers!$B$5:$B$504,MATCH(C213,Suppliers!$A$5:$A$504,0))),"")</f>
        <v/>
      </c>
      <c r="E213" s="10" t="s">
        <v>24</v>
      </c>
      <c r="F213" s="12"/>
      <c r="G213" s="12"/>
      <c r="H213" s="10"/>
      <c r="I213" s="10"/>
      <c r="J213" s="9" t="n">
        <f aca="false">IFERROR(SUMIFS(PurchaseOrderLines!$H$5:$H$504,PurchaseOrderLines!$B$5:$B$504,A213),"")</f>
        <v>0</v>
      </c>
      <c r="K213" s="9" t="n">
        <f aca="false">IFERROR(SUMIFS(PurchaseOrderLines!$I$5:$I$504,PurchaseOrderLines!$B$5:$B$504,A213),"")</f>
        <v>0</v>
      </c>
      <c r="L213" s="9" t="n">
        <f aca="false">IFERROR(J213+K213,"")</f>
        <v>0</v>
      </c>
      <c r="M213" s="9" t="n">
        <f aca="false">IFERROR(SUMIFS(Payments!$E$5:$E$504,Payments!$D$5:$D$504,A213,Payments!$C$5:$C$504,"Out"),"")</f>
        <v>0</v>
      </c>
      <c r="N213" s="9" t="n">
        <f aca="false">IFERROR(L213-M213,"")</f>
        <v>0</v>
      </c>
    </row>
    <row r="214" customFormat="false" ht="15" hidden="false" customHeight="false" outlineLevel="0" collapsed="false">
      <c r="A214" s="10"/>
      <c r="B214" s="12"/>
      <c r="C214" s="10"/>
      <c r="D214" s="14" t="str">
        <f aca="false">IFERROR(IF(C214="","",INDEX(Suppliers!$B$5:$B$504,MATCH(C214,Suppliers!$A$5:$A$504,0))),"")</f>
        <v/>
      </c>
      <c r="E214" s="10" t="s">
        <v>24</v>
      </c>
      <c r="F214" s="12"/>
      <c r="G214" s="12"/>
      <c r="H214" s="10"/>
      <c r="I214" s="10"/>
      <c r="J214" s="9" t="n">
        <f aca="false">IFERROR(SUMIFS(PurchaseOrderLines!$H$5:$H$504,PurchaseOrderLines!$B$5:$B$504,A214),"")</f>
        <v>0</v>
      </c>
      <c r="K214" s="9" t="n">
        <f aca="false">IFERROR(SUMIFS(PurchaseOrderLines!$I$5:$I$504,PurchaseOrderLines!$B$5:$B$504,A214),"")</f>
        <v>0</v>
      </c>
      <c r="L214" s="9" t="n">
        <f aca="false">IFERROR(J214+K214,"")</f>
        <v>0</v>
      </c>
      <c r="M214" s="9" t="n">
        <f aca="false">IFERROR(SUMIFS(Payments!$E$5:$E$504,Payments!$D$5:$D$504,A214,Payments!$C$5:$C$504,"Out"),"")</f>
        <v>0</v>
      </c>
      <c r="N214" s="9" t="n">
        <f aca="false">IFERROR(L214-M214,"")</f>
        <v>0</v>
      </c>
    </row>
    <row r="215" customFormat="false" ht="15" hidden="false" customHeight="false" outlineLevel="0" collapsed="false">
      <c r="A215" s="10"/>
      <c r="B215" s="12"/>
      <c r="C215" s="10"/>
      <c r="D215" s="14" t="str">
        <f aca="false">IFERROR(IF(C215="","",INDEX(Suppliers!$B$5:$B$504,MATCH(C215,Suppliers!$A$5:$A$504,0))),"")</f>
        <v/>
      </c>
      <c r="E215" s="10" t="s">
        <v>24</v>
      </c>
      <c r="F215" s="12"/>
      <c r="G215" s="12"/>
      <c r="H215" s="10"/>
      <c r="I215" s="10"/>
      <c r="J215" s="9" t="n">
        <f aca="false">IFERROR(SUMIFS(PurchaseOrderLines!$H$5:$H$504,PurchaseOrderLines!$B$5:$B$504,A215),"")</f>
        <v>0</v>
      </c>
      <c r="K215" s="9" t="n">
        <f aca="false">IFERROR(SUMIFS(PurchaseOrderLines!$I$5:$I$504,PurchaseOrderLines!$B$5:$B$504,A215),"")</f>
        <v>0</v>
      </c>
      <c r="L215" s="9" t="n">
        <f aca="false">IFERROR(J215+K215,"")</f>
        <v>0</v>
      </c>
      <c r="M215" s="9" t="n">
        <f aca="false">IFERROR(SUMIFS(Payments!$E$5:$E$504,Payments!$D$5:$D$504,A215,Payments!$C$5:$C$504,"Out"),"")</f>
        <v>0</v>
      </c>
      <c r="N215" s="9" t="n">
        <f aca="false">IFERROR(L215-M215,"")</f>
        <v>0</v>
      </c>
    </row>
    <row r="216" customFormat="false" ht="15" hidden="false" customHeight="false" outlineLevel="0" collapsed="false">
      <c r="A216" s="10"/>
      <c r="B216" s="12"/>
      <c r="C216" s="10"/>
      <c r="D216" s="14" t="str">
        <f aca="false">IFERROR(IF(C216="","",INDEX(Suppliers!$B$5:$B$504,MATCH(C216,Suppliers!$A$5:$A$504,0))),"")</f>
        <v/>
      </c>
      <c r="E216" s="10" t="s">
        <v>24</v>
      </c>
      <c r="F216" s="12"/>
      <c r="G216" s="12"/>
      <c r="H216" s="10"/>
      <c r="I216" s="10"/>
      <c r="J216" s="9" t="n">
        <f aca="false">IFERROR(SUMIFS(PurchaseOrderLines!$H$5:$H$504,PurchaseOrderLines!$B$5:$B$504,A216),"")</f>
        <v>0</v>
      </c>
      <c r="K216" s="9" t="n">
        <f aca="false">IFERROR(SUMIFS(PurchaseOrderLines!$I$5:$I$504,PurchaseOrderLines!$B$5:$B$504,A216),"")</f>
        <v>0</v>
      </c>
      <c r="L216" s="9" t="n">
        <f aca="false">IFERROR(J216+K216,"")</f>
        <v>0</v>
      </c>
      <c r="M216" s="9" t="n">
        <f aca="false">IFERROR(SUMIFS(Payments!$E$5:$E$504,Payments!$D$5:$D$504,A216,Payments!$C$5:$C$504,"Out"),"")</f>
        <v>0</v>
      </c>
      <c r="N216" s="9" t="n">
        <f aca="false">IFERROR(L216-M216,"")</f>
        <v>0</v>
      </c>
    </row>
    <row r="217" customFormat="false" ht="15" hidden="false" customHeight="false" outlineLevel="0" collapsed="false">
      <c r="A217" s="10"/>
      <c r="B217" s="12"/>
      <c r="C217" s="10"/>
      <c r="D217" s="14" t="str">
        <f aca="false">IFERROR(IF(C217="","",INDEX(Suppliers!$B$5:$B$504,MATCH(C217,Suppliers!$A$5:$A$504,0))),"")</f>
        <v/>
      </c>
      <c r="E217" s="10" t="s">
        <v>24</v>
      </c>
      <c r="F217" s="12"/>
      <c r="G217" s="12"/>
      <c r="H217" s="10"/>
      <c r="I217" s="10"/>
      <c r="J217" s="9" t="n">
        <f aca="false">IFERROR(SUMIFS(PurchaseOrderLines!$H$5:$H$504,PurchaseOrderLines!$B$5:$B$504,A217),"")</f>
        <v>0</v>
      </c>
      <c r="K217" s="9" t="n">
        <f aca="false">IFERROR(SUMIFS(PurchaseOrderLines!$I$5:$I$504,PurchaseOrderLines!$B$5:$B$504,A217),"")</f>
        <v>0</v>
      </c>
      <c r="L217" s="9" t="n">
        <f aca="false">IFERROR(J217+K217,"")</f>
        <v>0</v>
      </c>
      <c r="M217" s="9" t="n">
        <f aca="false">IFERROR(SUMIFS(Payments!$E$5:$E$504,Payments!$D$5:$D$504,A217,Payments!$C$5:$C$504,"Out"),"")</f>
        <v>0</v>
      </c>
      <c r="N217" s="9" t="n">
        <f aca="false">IFERROR(L217-M217,"")</f>
        <v>0</v>
      </c>
    </row>
    <row r="218" customFormat="false" ht="15" hidden="false" customHeight="false" outlineLevel="0" collapsed="false">
      <c r="A218" s="10"/>
      <c r="B218" s="12"/>
      <c r="C218" s="10"/>
      <c r="D218" s="14" t="str">
        <f aca="false">IFERROR(IF(C218="","",INDEX(Suppliers!$B$5:$B$504,MATCH(C218,Suppliers!$A$5:$A$504,0))),"")</f>
        <v/>
      </c>
      <c r="E218" s="10" t="s">
        <v>24</v>
      </c>
      <c r="F218" s="12"/>
      <c r="G218" s="12"/>
      <c r="H218" s="10"/>
      <c r="I218" s="10"/>
      <c r="J218" s="9" t="n">
        <f aca="false">IFERROR(SUMIFS(PurchaseOrderLines!$H$5:$H$504,PurchaseOrderLines!$B$5:$B$504,A218),"")</f>
        <v>0</v>
      </c>
      <c r="K218" s="9" t="n">
        <f aca="false">IFERROR(SUMIFS(PurchaseOrderLines!$I$5:$I$504,PurchaseOrderLines!$B$5:$B$504,A218),"")</f>
        <v>0</v>
      </c>
      <c r="L218" s="9" t="n">
        <f aca="false">IFERROR(J218+K218,"")</f>
        <v>0</v>
      </c>
      <c r="M218" s="9" t="n">
        <f aca="false">IFERROR(SUMIFS(Payments!$E$5:$E$504,Payments!$D$5:$D$504,A218,Payments!$C$5:$C$504,"Out"),"")</f>
        <v>0</v>
      </c>
      <c r="N218" s="9" t="n">
        <f aca="false">IFERROR(L218-M218,"")</f>
        <v>0</v>
      </c>
    </row>
    <row r="219" customFormat="false" ht="15" hidden="false" customHeight="false" outlineLevel="0" collapsed="false">
      <c r="A219" s="10"/>
      <c r="B219" s="12"/>
      <c r="C219" s="10"/>
      <c r="D219" s="14" t="str">
        <f aca="false">IFERROR(IF(C219="","",INDEX(Suppliers!$B$5:$B$504,MATCH(C219,Suppliers!$A$5:$A$504,0))),"")</f>
        <v/>
      </c>
      <c r="E219" s="10" t="s">
        <v>24</v>
      </c>
      <c r="F219" s="12"/>
      <c r="G219" s="12"/>
      <c r="H219" s="10"/>
      <c r="I219" s="10"/>
      <c r="J219" s="9" t="n">
        <f aca="false">IFERROR(SUMIFS(PurchaseOrderLines!$H$5:$H$504,PurchaseOrderLines!$B$5:$B$504,A219),"")</f>
        <v>0</v>
      </c>
      <c r="K219" s="9" t="n">
        <f aca="false">IFERROR(SUMIFS(PurchaseOrderLines!$I$5:$I$504,PurchaseOrderLines!$B$5:$B$504,A219),"")</f>
        <v>0</v>
      </c>
      <c r="L219" s="9" t="n">
        <f aca="false">IFERROR(J219+K219,"")</f>
        <v>0</v>
      </c>
      <c r="M219" s="9" t="n">
        <f aca="false">IFERROR(SUMIFS(Payments!$E$5:$E$504,Payments!$D$5:$D$504,A219,Payments!$C$5:$C$504,"Out"),"")</f>
        <v>0</v>
      </c>
      <c r="N219" s="9" t="n">
        <f aca="false">IFERROR(L219-M219,"")</f>
        <v>0</v>
      </c>
    </row>
    <row r="220" customFormat="false" ht="15" hidden="false" customHeight="false" outlineLevel="0" collapsed="false">
      <c r="A220" s="10"/>
      <c r="B220" s="12"/>
      <c r="C220" s="10"/>
      <c r="D220" s="14" t="str">
        <f aca="false">IFERROR(IF(C220="","",INDEX(Suppliers!$B$5:$B$504,MATCH(C220,Suppliers!$A$5:$A$504,0))),"")</f>
        <v/>
      </c>
      <c r="E220" s="10" t="s">
        <v>24</v>
      </c>
      <c r="F220" s="12"/>
      <c r="G220" s="12"/>
      <c r="H220" s="10"/>
      <c r="I220" s="10"/>
      <c r="J220" s="9" t="n">
        <f aca="false">IFERROR(SUMIFS(PurchaseOrderLines!$H$5:$H$504,PurchaseOrderLines!$B$5:$B$504,A220),"")</f>
        <v>0</v>
      </c>
      <c r="K220" s="9" t="n">
        <f aca="false">IFERROR(SUMIFS(PurchaseOrderLines!$I$5:$I$504,PurchaseOrderLines!$B$5:$B$504,A220),"")</f>
        <v>0</v>
      </c>
      <c r="L220" s="9" t="n">
        <f aca="false">IFERROR(J220+K220,"")</f>
        <v>0</v>
      </c>
      <c r="M220" s="9" t="n">
        <f aca="false">IFERROR(SUMIFS(Payments!$E$5:$E$504,Payments!$D$5:$D$504,A220,Payments!$C$5:$C$504,"Out"),"")</f>
        <v>0</v>
      </c>
      <c r="N220" s="9" t="n">
        <f aca="false">IFERROR(L220-M220,"")</f>
        <v>0</v>
      </c>
    </row>
    <row r="221" customFormat="false" ht="15" hidden="false" customHeight="false" outlineLevel="0" collapsed="false">
      <c r="A221" s="10"/>
      <c r="B221" s="12"/>
      <c r="C221" s="10"/>
      <c r="D221" s="14" t="str">
        <f aca="false">IFERROR(IF(C221="","",INDEX(Suppliers!$B$5:$B$504,MATCH(C221,Suppliers!$A$5:$A$504,0))),"")</f>
        <v/>
      </c>
      <c r="E221" s="10" t="s">
        <v>24</v>
      </c>
      <c r="F221" s="12"/>
      <c r="G221" s="12"/>
      <c r="H221" s="10"/>
      <c r="I221" s="10"/>
      <c r="J221" s="9" t="n">
        <f aca="false">IFERROR(SUMIFS(PurchaseOrderLines!$H$5:$H$504,PurchaseOrderLines!$B$5:$B$504,A221),"")</f>
        <v>0</v>
      </c>
      <c r="K221" s="9" t="n">
        <f aca="false">IFERROR(SUMIFS(PurchaseOrderLines!$I$5:$I$504,PurchaseOrderLines!$B$5:$B$504,A221),"")</f>
        <v>0</v>
      </c>
      <c r="L221" s="9" t="n">
        <f aca="false">IFERROR(J221+K221,"")</f>
        <v>0</v>
      </c>
      <c r="M221" s="9" t="n">
        <f aca="false">IFERROR(SUMIFS(Payments!$E$5:$E$504,Payments!$D$5:$D$504,A221,Payments!$C$5:$C$504,"Out"),"")</f>
        <v>0</v>
      </c>
      <c r="N221" s="9" t="n">
        <f aca="false">IFERROR(L221-M221,"")</f>
        <v>0</v>
      </c>
    </row>
    <row r="222" customFormat="false" ht="15" hidden="false" customHeight="false" outlineLevel="0" collapsed="false">
      <c r="A222" s="10"/>
      <c r="B222" s="12"/>
      <c r="C222" s="10"/>
      <c r="D222" s="14" t="str">
        <f aca="false">IFERROR(IF(C222="","",INDEX(Suppliers!$B$5:$B$504,MATCH(C222,Suppliers!$A$5:$A$504,0))),"")</f>
        <v/>
      </c>
      <c r="E222" s="10" t="s">
        <v>24</v>
      </c>
      <c r="F222" s="12"/>
      <c r="G222" s="12"/>
      <c r="H222" s="10"/>
      <c r="I222" s="10"/>
      <c r="J222" s="9" t="n">
        <f aca="false">IFERROR(SUMIFS(PurchaseOrderLines!$H$5:$H$504,PurchaseOrderLines!$B$5:$B$504,A222),"")</f>
        <v>0</v>
      </c>
      <c r="K222" s="9" t="n">
        <f aca="false">IFERROR(SUMIFS(PurchaseOrderLines!$I$5:$I$504,PurchaseOrderLines!$B$5:$B$504,A222),"")</f>
        <v>0</v>
      </c>
      <c r="L222" s="9" t="n">
        <f aca="false">IFERROR(J222+K222,"")</f>
        <v>0</v>
      </c>
      <c r="M222" s="9" t="n">
        <f aca="false">IFERROR(SUMIFS(Payments!$E$5:$E$504,Payments!$D$5:$D$504,A222,Payments!$C$5:$C$504,"Out"),"")</f>
        <v>0</v>
      </c>
      <c r="N222" s="9" t="n">
        <f aca="false">IFERROR(L222-M222,"")</f>
        <v>0</v>
      </c>
    </row>
    <row r="223" customFormat="false" ht="15" hidden="false" customHeight="false" outlineLevel="0" collapsed="false">
      <c r="A223" s="10"/>
      <c r="B223" s="12"/>
      <c r="C223" s="10"/>
      <c r="D223" s="14" t="str">
        <f aca="false">IFERROR(IF(C223="","",INDEX(Suppliers!$B$5:$B$504,MATCH(C223,Suppliers!$A$5:$A$504,0))),"")</f>
        <v/>
      </c>
      <c r="E223" s="10" t="s">
        <v>24</v>
      </c>
      <c r="F223" s="12"/>
      <c r="G223" s="12"/>
      <c r="H223" s="10"/>
      <c r="I223" s="10"/>
      <c r="J223" s="9" t="n">
        <f aca="false">IFERROR(SUMIFS(PurchaseOrderLines!$H$5:$H$504,PurchaseOrderLines!$B$5:$B$504,A223),"")</f>
        <v>0</v>
      </c>
      <c r="K223" s="9" t="n">
        <f aca="false">IFERROR(SUMIFS(PurchaseOrderLines!$I$5:$I$504,PurchaseOrderLines!$B$5:$B$504,A223),"")</f>
        <v>0</v>
      </c>
      <c r="L223" s="9" t="n">
        <f aca="false">IFERROR(J223+K223,"")</f>
        <v>0</v>
      </c>
      <c r="M223" s="9" t="n">
        <f aca="false">IFERROR(SUMIFS(Payments!$E$5:$E$504,Payments!$D$5:$D$504,A223,Payments!$C$5:$C$504,"Out"),"")</f>
        <v>0</v>
      </c>
      <c r="N223" s="9" t="n">
        <f aca="false">IFERROR(L223-M223,"")</f>
        <v>0</v>
      </c>
    </row>
    <row r="224" customFormat="false" ht="15" hidden="false" customHeight="false" outlineLevel="0" collapsed="false">
      <c r="A224" s="10"/>
      <c r="B224" s="12"/>
      <c r="C224" s="10"/>
      <c r="D224" s="14" t="str">
        <f aca="false">IFERROR(IF(C224="","",INDEX(Suppliers!$B$5:$B$504,MATCH(C224,Suppliers!$A$5:$A$504,0))),"")</f>
        <v/>
      </c>
      <c r="E224" s="10" t="s">
        <v>24</v>
      </c>
      <c r="F224" s="12"/>
      <c r="G224" s="12"/>
      <c r="H224" s="10"/>
      <c r="I224" s="10"/>
      <c r="J224" s="9" t="n">
        <f aca="false">IFERROR(SUMIFS(PurchaseOrderLines!$H$5:$H$504,PurchaseOrderLines!$B$5:$B$504,A224),"")</f>
        <v>0</v>
      </c>
      <c r="K224" s="9" t="n">
        <f aca="false">IFERROR(SUMIFS(PurchaseOrderLines!$I$5:$I$504,PurchaseOrderLines!$B$5:$B$504,A224),"")</f>
        <v>0</v>
      </c>
      <c r="L224" s="9" t="n">
        <f aca="false">IFERROR(J224+K224,"")</f>
        <v>0</v>
      </c>
      <c r="M224" s="9" t="n">
        <f aca="false">IFERROR(SUMIFS(Payments!$E$5:$E$504,Payments!$D$5:$D$504,A224,Payments!$C$5:$C$504,"Out"),"")</f>
        <v>0</v>
      </c>
      <c r="N224" s="9" t="n">
        <f aca="false">IFERROR(L224-M224,"")</f>
        <v>0</v>
      </c>
    </row>
    <row r="225" customFormat="false" ht="15" hidden="false" customHeight="false" outlineLevel="0" collapsed="false">
      <c r="A225" s="10"/>
      <c r="B225" s="12"/>
      <c r="C225" s="10"/>
      <c r="D225" s="14" t="str">
        <f aca="false">IFERROR(IF(C225="","",INDEX(Suppliers!$B$5:$B$504,MATCH(C225,Suppliers!$A$5:$A$504,0))),"")</f>
        <v/>
      </c>
      <c r="E225" s="10" t="s">
        <v>24</v>
      </c>
      <c r="F225" s="12"/>
      <c r="G225" s="12"/>
      <c r="H225" s="10"/>
      <c r="I225" s="10"/>
      <c r="J225" s="9" t="n">
        <f aca="false">IFERROR(SUMIFS(PurchaseOrderLines!$H$5:$H$504,PurchaseOrderLines!$B$5:$B$504,A225),"")</f>
        <v>0</v>
      </c>
      <c r="K225" s="9" t="n">
        <f aca="false">IFERROR(SUMIFS(PurchaseOrderLines!$I$5:$I$504,PurchaseOrderLines!$B$5:$B$504,A225),"")</f>
        <v>0</v>
      </c>
      <c r="L225" s="9" t="n">
        <f aca="false">IFERROR(J225+K225,"")</f>
        <v>0</v>
      </c>
      <c r="M225" s="9" t="n">
        <f aca="false">IFERROR(SUMIFS(Payments!$E$5:$E$504,Payments!$D$5:$D$504,A225,Payments!$C$5:$C$504,"Out"),"")</f>
        <v>0</v>
      </c>
      <c r="N225" s="9" t="n">
        <f aca="false">IFERROR(L225-M225,"")</f>
        <v>0</v>
      </c>
    </row>
    <row r="226" customFormat="false" ht="15" hidden="false" customHeight="false" outlineLevel="0" collapsed="false">
      <c r="A226" s="10"/>
      <c r="B226" s="12"/>
      <c r="C226" s="10"/>
      <c r="D226" s="14" t="str">
        <f aca="false">IFERROR(IF(C226="","",INDEX(Suppliers!$B$5:$B$504,MATCH(C226,Suppliers!$A$5:$A$504,0))),"")</f>
        <v/>
      </c>
      <c r="E226" s="10" t="s">
        <v>24</v>
      </c>
      <c r="F226" s="12"/>
      <c r="G226" s="12"/>
      <c r="H226" s="10"/>
      <c r="I226" s="10"/>
      <c r="J226" s="9" t="n">
        <f aca="false">IFERROR(SUMIFS(PurchaseOrderLines!$H$5:$H$504,PurchaseOrderLines!$B$5:$B$504,A226),"")</f>
        <v>0</v>
      </c>
      <c r="K226" s="9" t="n">
        <f aca="false">IFERROR(SUMIFS(PurchaseOrderLines!$I$5:$I$504,PurchaseOrderLines!$B$5:$B$504,A226),"")</f>
        <v>0</v>
      </c>
      <c r="L226" s="9" t="n">
        <f aca="false">IFERROR(J226+K226,"")</f>
        <v>0</v>
      </c>
      <c r="M226" s="9" t="n">
        <f aca="false">IFERROR(SUMIFS(Payments!$E$5:$E$504,Payments!$D$5:$D$504,A226,Payments!$C$5:$C$504,"Out"),"")</f>
        <v>0</v>
      </c>
      <c r="N226" s="9" t="n">
        <f aca="false">IFERROR(L226-M226,"")</f>
        <v>0</v>
      </c>
    </row>
    <row r="227" customFormat="false" ht="15" hidden="false" customHeight="false" outlineLevel="0" collapsed="false">
      <c r="A227" s="10"/>
      <c r="B227" s="12"/>
      <c r="C227" s="10"/>
      <c r="D227" s="14" t="str">
        <f aca="false">IFERROR(IF(C227="","",INDEX(Suppliers!$B$5:$B$504,MATCH(C227,Suppliers!$A$5:$A$504,0))),"")</f>
        <v/>
      </c>
      <c r="E227" s="10" t="s">
        <v>24</v>
      </c>
      <c r="F227" s="12"/>
      <c r="G227" s="12"/>
      <c r="H227" s="10"/>
      <c r="I227" s="10"/>
      <c r="J227" s="9" t="n">
        <f aca="false">IFERROR(SUMIFS(PurchaseOrderLines!$H$5:$H$504,PurchaseOrderLines!$B$5:$B$504,A227),"")</f>
        <v>0</v>
      </c>
      <c r="K227" s="9" t="n">
        <f aca="false">IFERROR(SUMIFS(PurchaseOrderLines!$I$5:$I$504,PurchaseOrderLines!$B$5:$B$504,A227),"")</f>
        <v>0</v>
      </c>
      <c r="L227" s="9" t="n">
        <f aca="false">IFERROR(J227+K227,"")</f>
        <v>0</v>
      </c>
      <c r="M227" s="9" t="n">
        <f aca="false">IFERROR(SUMIFS(Payments!$E$5:$E$504,Payments!$D$5:$D$504,A227,Payments!$C$5:$C$504,"Out"),"")</f>
        <v>0</v>
      </c>
      <c r="N227" s="9" t="n">
        <f aca="false">IFERROR(L227-M227,"")</f>
        <v>0</v>
      </c>
    </row>
    <row r="228" customFormat="false" ht="15" hidden="false" customHeight="false" outlineLevel="0" collapsed="false">
      <c r="A228" s="10"/>
      <c r="B228" s="12"/>
      <c r="C228" s="10"/>
      <c r="D228" s="14" t="str">
        <f aca="false">IFERROR(IF(C228="","",INDEX(Suppliers!$B$5:$B$504,MATCH(C228,Suppliers!$A$5:$A$504,0))),"")</f>
        <v/>
      </c>
      <c r="E228" s="10" t="s">
        <v>24</v>
      </c>
      <c r="F228" s="12"/>
      <c r="G228" s="12"/>
      <c r="H228" s="10"/>
      <c r="I228" s="10"/>
      <c r="J228" s="9" t="n">
        <f aca="false">IFERROR(SUMIFS(PurchaseOrderLines!$H$5:$H$504,PurchaseOrderLines!$B$5:$B$504,A228),"")</f>
        <v>0</v>
      </c>
      <c r="K228" s="9" t="n">
        <f aca="false">IFERROR(SUMIFS(PurchaseOrderLines!$I$5:$I$504,PurchaseOrderLines!$B$5:$B$504,A228),"")</f>
        <v>0</v>
      </c>
      <c r="L228" s="9" t="n">
        <f aca="false">IFERROR(J228+K228,"")</f>
        <v>0</v>
      </c>
      <c r="M228" s="9" t="n">
        <f aca="false">IFERROR(SUMIFS(Payments!$E$5:$E$504,Payments!$D$5:$D$504,A228,Payments!$C$5:$C$504,"Out"),"")</f>
        <v>0</v>
      </c>
      <c r="N228" s="9" t="n">
        <f aca="false">IFERROR(L228-M228,"")</f>
        <v>0</v>
      </c>
    </row>
    <row r="229" customFormat="false" ht="15" hidden="false" customHeight="false" outlineLevel="0" collapsed="false">
      <c r="A229" s="10"/>
      <c r="B229" s="12"/>
      <c r="C229" s="10"/>
      <c r="D229" s="14" t="str">
        <f aca="false">IFERROR(IF(C229="","",INDEX(Suppliers!$B$5:$B$504,MATCH(C229,Suppliers!$A$5:$A$504,0))),"")</f>
        <v/>
      </c>
      <c r="E229" s="10" t="s">
        <v>24</v>
      </c>
      <c r="F229" s="12"/>
      <c r="G229" s="12"/>
      <c r="H229" s="10"/>
      <c r="I229" s="10"/>
      <c r="J229" s="9" t="n">
        <f aca="false">IFERROR(SUMIFS(PurchaseOrderLines!$H$5:$H$504,PurchaseOrderLines!$B$5:$B$504,A229),"")</f>
        <v>0</v>
      </c>
      <c r="K229" s="9" t="n">
        <f aca="false">IFERROR(SUMIFS(PurchaseOrderLines!$I$5:$I$504,PurchaseOrderLines!$B$5:$B$504,A229),"")</f>
        <v>0</v>
      </c>
      <c r="L229" s="9" t="n">
        <f aca="false">IFERROR(J229+K229,"")</f>
        <v>0</v>
      </c>
      <c r="M229" s="9" t="n">
        <f aca="false">IFERROR(SUMIFS(Payments!$E$5:$E$504,Payments!$D$5:$D$504,A229,Payments!$C$5:$C$504,"Out"),"")</f>
        <v>0</v>
      </c>
      <c r="N229" s="9" t="n">
        <f aca="false">IFERROR(L229-M229,"")</f>
        <v>0</v>
      </c>
    </row>
    <row r="230" customFormat="false" ht="15" hidden="false" customHeight="false" outlineLevel="0" collapsed="false">
      <c r="A230" s="10"/>
      <c r="B230" s="12"/>
      <c r="C230" s="10"/>
      <c r="D230" s="14" t="str">
        <f aca="false">IFERROR(IF(C230="","",INDEX(Suppliers!$B$5:$B$504,MATCH(C230,Suppliers!$A$5:$A$504,0))),"")</f>
        <v/>
      </c>
      <c r="E230" s="10" t="s">
        <v>24</v>
      </c>
      <c r="F230" s="12"/>
      <c r="G230" s="12"/>
      <c r="H230" s="10"/>
      <c r="I230" s="10"/>
      <c r="J230" s="9" t="n">
        <f aca="false">IFERROR(SUMIFS(PurchaseOrderLines!$H$5:$H$504,PurchaseOrderLines!$B$5:$B$504,A230),"")</f>
        <v>0</v>
      </c>
      <c r="K230" s="9" t="n">
        <f aca="false">IFERROR(SUMIFS(PurchaseOrderLines!$I$5:$I$504,PurchaseOrderLines!$B$5:$B$504,A230),"")</f>
        <v>0</v>
      </c>
      <c r="L230" s="9" t="n">
        <f aca="false">IFERROR(J230+K230,"")</f>
        <v>0</v>
      </c>
      <c r="M230" s="9" t="n">
        <f aca="false">IFERROR(SUMIFS(Payments!$E$5:$E$504,Payments!$D$5:$D$504,A230,Payments!$C$5:$C$504,"Out"),"")</f>
        <v>0</v>
      </c>
      <c r="N230" s="9" t="n">
        <f aca="false">IFERROR(L230-M230,"")</f>
        <v>0</v>
      </c>
    </row>
    <row r="231" customFormat="false" ht="15" hidden="false" customHeight="false" outlineLevel="0" collapsed="false">
      <c r="A231" s="10"/>
      <c r="B231" s="12"/>
      <c r="C231" s="10"/>
      <c r="D231" s="14" t="str">
        <f aca="false">IFERROR(IF(C231="","",INDEX(Suppliers!$B$5:$B$504,MATCH(C231,Suppliers!$A$5:$A$504,0))),"")</f>
        <v/>
      </c>
      <c r="E231" s="10" t="s">
        <v>24</v>
      </c>
      <c r="F231" s="12"/>
      <c r="G231" s="12"/>
      <c r="H231" s="10"/>
      <c r="I231" s="10"/>
      <c r="J231" s="9" t="n">
        <f aca="false">IFERROR(SUMIFS(PurchaseOrderLines!$H$5:$H$504,PurchaseOrderLines!$B$5:$B$504,A231),"")</f>
        <v>0</v>
      </c>
      <c r="K231" s="9" t="n">
        <f aca="false">IFERROR(SUMIFS(PurchaseOrderLines!$I$5:$I$504,PurchaseOrderLines!$B$5:$B$504,A231),"")</f>
        <v>0</v>
      </c>
      <c r="L231" s="9" t="n">
        <f aca="false">IFERROR(J231+K231,"")</f>
        <v>0</v>
      </c>
      <c r="M231" s="9" t="n">
        <f aca="false">IFERROR(SUMIFS(Payments!$E$5:$E$504,Payments!$D$5:$D$504,A231,Payments!$C$5:$C$504,"Out"),"")</f>
        <v>0</v>
      </c>
      <c r="N231" s="9" t="n">
        <f aca="false">IFERROR(L231-M231,"")</f>
        <v>0</v>
      </c>
    </row>
    <row r="232" customFormat="false" ht="15" hidden="false" customHeight="false" outlineLevel="0" collapsed="false">
      <c r="A232" s="10"/>
      <c r="B232" s="12"/>
      <c r="C232" s="10"/>
      <c r="D232" s="14" t="str">
        <f aca="false">IFERROR(IF(C232="","",INDEX(Suppliers!$B$5:$B$504,MATCH(C232,Suppliers!$A$5:$A$504,0))),"")</f>
        <v/>
      </c>
      <c r="E232" s="10" t="s">
        <v>24</v>
      </c>
      <c r="F232" s="12"/>
      <c r="G232" s="12"/>
      <c r="H232" s="10"/>
      <c r="I232" s="10"/>
      <c r="J232" s="9" t="n">
        <f aca="false">IFERROR(SUMIFS(PurchaseOrderLines!$H$5:$H$504,PurchaseOrderLines!$B$5:$B$504,A232),"")</f>
        <v>0</v>
      </c>
      <c r="K232" s="9" t="n">
        <f aca="false">IFERROR(SUMIFS(PurchaseOrderLines!$I$5:$I$504,PurchaseOrderLines!$B$5:$B$504,A232),"")</f>
        <v>0</v>
      </c>
      <c r="L232" s="9" t="n">
        <f aca="false">IFERROR(J232+K232,"")</f>
        <v>0</v>
      </c>
      <c r="M232" s="9" t="n">
        <f aca="false">IFERROR(SUMIFS(Payments!$E$5:$E$504,Payments!$D$5:$D$504,A232,Payments!$C$5:$C$504,"Out"),"")</f>
        <v>0</v>
      </c>
      <c r="N232" s="9" t="n">
        <f aca="false">IFERROR(L232-M232,"")</f>
        <v>0</v>
      </c>
    </row>
    <row r="233" customFormat="false" ht="15" hidden="false" customHeight="false" outlineLevel="0" collapsed="false">
      <c r="A233" s="10"/>
      <c r="B233" s="12"/>
      <c r="C233" s="10"/>
      <c r="D233" s="14" t="str">
        <f aca="false">IFERROR(IF(C233="","",INDEX(Suppliers!$B$5:$B$504,MATCH(C233,Suppliers!$A$5:$A$504,0))),"")</f>
        <v/>
      </c>
      <c r="E233" s="10" t="s">
        <v>24</v>
      </c>
      <c r="F233" s="12"/>
      <c r="G233" s="12"/>
      <c r="H233" s="10"/>
      <c r="I233" s="10"/>
      <c r="J233" s="9" t="n">
        <f aca="false">IFERROR(SUMIFS(PurchaseOrderLines!$H$5:$H$504,PurchaseOrderLines!$B$5:$B$504,A233),"")</f>
        <v>0</v>
      </c>
      <c r="K233" s="9" t="n">
        <f aca="false">IFERROR(SUMIFS(PurchaseOrderLines!$I$5:$I$504,PurchaseOrderLines!$B$5:$B$504,A233),"")</f>
        <v>0</v>
      </c>
      <c r="L233" s="9" t="n">
        <f aca="false">IFERROR(J233+K233,"")</f>
        <v>0</v>
      </c>
      <c r="M233" s="9" t="n">
        <f aca="false">IFERROR(SUMIFS(Payments!$E$5:$E$504,Payments!$D$5:$D$504,A233,Payments!$C$5:$C$504,"Out"),"")</f>
        <v>0</v>
      </c>
      <c r="N233" s="9" t="n">
        <f aca="false">IFERROR(L233-M233,"")</f>
        <v>0</v>
      </c>
    </row>
    <row r="234" customFormat="false" ht="15" hidden="false" customHeight="false" outlineLevel="0" collapsed="false">
      <c r="A234" s="10"/>
      <c r="B234" s="12"/>
      <c r="C234" s="10"/>
      <c r="D234" s="14" t="str">
        <f aca="false">IFERROR(IF(C234="","",INDEX(Suppliers!$B$5:$B$504,MATCH(C234,Suppliers!$A$5:$A$504,0))),"")</f>
        <v/>
      </c>
      <c r="E234" s="10" t="s">
        <v>24</v>
      </c>
      <c r="F234" s="12"/>
      <c r="G234" s="12"/>
      <c r="H234" s="10"/>
      <c r="I234" s="10"/>
      <c r="J234" s="9" t="n">
        <f aca="false">IFERROR(SUMIFS(PurchaseOrderLines!$H$5:$H$504,PurchaseOrderLines!$B$5:$B$504,A234),"")</f>
        <v>0</v>
      </c>
      <c r="K234" s="9" t="n">
        <f aca="false">IFERROR(SUMIFS(PurchaseOrderLines!$I$5:$I$504,PurchaseOrderLines!$B$5:$B$504,A234),"")</f>
        <v>0</v>
      </c>
      <c r="L234" s="9" t="n">
        <f aca="false">IFERROR(J234+K234,"")</f>
        <v>0</v>
      </c>
      <c r="M234" s="9" t="n">
        <f aca="false">IFERROR(SUMIFS(Payments!$E$5:$E$504,Payments!$D$5:$D$504,A234,Payments!$C$5:$C$504,"Out"),"")</f>
        <v>0</v>
      </c>
      <c r="N234" s="9" t="n">
        <f aca="false">IFERROR(L234-M234,"")</f>
        <v>0</v>
      </c>
    </row>
    <row r="235" customFormat="false" ht="15" hidden="false" customHeight="false" outlineLevel="0" collapsed="false">
      <c r="A235" s="10"/>
      <c r="B235" s="12"/>
      <c r="C235" s="10"/>
      <c r="D235" s="14" t="str">
        <f aca="false">IFERROR(IF(C235="","",INDEX(Suppliers!$B$5:$B$504,MATCH(C235,Suppliers!$A$5:$A$504,0))),"")</f>
        <v/>
      </c>
      <c r="E235" s="10" t="s">
        <v>24</v>
      </c>
      <c r="F235" s="12"/>
      <c r="G235" s="12"/>
      <c r="H235" s="10"/>
      <c r="I235" s="10"/>
      <c r="J235" s="9" t="n">
        <f aca="false">IFERROR(SUMIFS(PurchaseOrderLines!$H$5:$H$504,PurchaseOrderLines!$B$5:$B$504,A235),"")</f>
        <v>0</v>
      </c>
      <c r="K235" s="9" t="n">
        <f aca="false">IFERROR(SUMIFS(PurchaseOrderLines!$I$5:$I$504,PurchaseOrderLines!$B$5:$B$504,A235),"")</f>
        <v>0</v>
      </c>
      <c r="L235" s="9" t="n">
        <f aca="false">IFERROR(J235+K235,"")</f>
        <v>0</v>
      </c>
      <c r="M235" s="9" t="n">
        <f aca="false">IFERROR(SUMIFS(Payments!$E$5:$E$504,Payments!$D$5:$D$504,A235,Payments!$C$5:$C$504,"Out"),"")</f>
        <v>0</v>
      </c>
      <c r="N235" s="9" t="n">
        <f aca="false">IFERROR(L235-M235,"")</f>
        <v>0</v>
      </c>
    </row>
    <row r="236" customFormat="false" ht="15" hidden="false" customHeight="false" outlineLevel="0" collapsed="false">
      <c r="A236" s="10"/>
      <c r="B236" s="12"/>
      <c r="C236" s="10"/>
      <c r="D236" s="14" t="str">
        <f aca="false">IFERROR(IF(C236="","",INDEX(Suppliers!$B$5:$B$504,MATCH(C236,Suppliers!$A$5:$A$504,0))),"")</f>
        <v/>
      </c>
      <c r="E236" s="10" t="s">
        <v>24</v>
      </c>
      <c r="F236" s="12"/>
      <c r="G236" s="12"/>
      <c r="H236" s="10"/>
      <c r="I236" s="10"/>
      <c r="J236" s="9" t="n">
        <f aca="false">IFERROR(SUMIFS(PurchaseOrderLines!$H$5:$H$504,PurchaseOrderLines!$B$5:$B$504,A236),"")</f>
        <v>0</v>
      </c>
      <c r="K236" s="9" t="n">
        <f aca="false">IFERROR(SUMIFS(PurchaseOrderLines!$I$5:$I$504,PurchaseOrderLines!$B$5:$B$504,A236),"")</f>
        <v>0</v>
      </c>
      <c r="L236" s="9" t="n">
        <f aca="false">IFERROR(J236+K236,"")</f>
        <v>0</v>
      </c>
      <c r="M236" s="9" t="n">
        <f aca="false">IFERROR(SUMIFS(Payments!$E$5:$E$504,Payments!$D$5:$D$504,A236,Payments!$C$5:$C$504,"Out"),"")</f>
        <v>0</v>
      </c>
      <c r="N236" s="9" t="n">
        <f aca="false">IFERROR(L236-M236,"")</f>
        <v>0</v>
      </c>
    </row>
    <row r="237" customFormat="false" ht="15" hidden="false" customHeight="false" outlineLevel="0" collapsed="false">
      <c r="A237" s="10"/>
      <c r="B237" s="12"/>
      <c r="C237" s="10"/>
      <c r="D237" s="14" t="str">
        <f aca="false">IFERROR(IF(C237="","",INDEX(Suppliers!$B$5:$B$504,MATCH(C237,Suppliers!$A$5:$A$504,0))),"")</f>
        <v/>
      </c>
      <c r="E237" s="10" t="s">
        <v>24</v>
      </c>
      <c r="F237" s="12"/>
      <c r="G237" s="12"/>
      <c r="H237" s="10"/>
      <c r="I237" s="10"/>
      <c r="J237" s="9" t="n">
        <f aca="false">IFERROR(SUMIFS(PurchaseOrderLines!$H$5:$H$504,PurchaseOrderLines!$B$5:$B$504,A237),"")</f>
        <v>0</v>
      </c>
      <c r="K237" s="9" t="n">
        <f aca="false">IFERROR(SUMIFS(PurchaseOrderLines!$I$5:$I$504,PurchaseOrderLines!$B$5:$B$504,A237),"")</f>
        <v>0</v>
      </c>
      <c r="L237" s="9" t="n">
        <f aca="false">IFERROR(J237+K237,"")</f>
        <v>0</v>
      </c>
      <c r="M237" s="9" t="n">
        <f aca="false">IFERROR(SUMIFS(Payments!$E$5:$E$504,Payments!$D$5:$D$504,A237,Payments!$C$5:$C$504,"Out"),"")</f>
        <v>0</v>
      </c>
      <c r="N237" s="9" t="n">
        <f aca="false">IFERROR(L237-M237,"")</f>
        <v>0</v>
      </c>
    </row>
    <row r="238" customFormat="false" ht="15" hidden="false" customHeight="false" outlineLevel="0" collapsed="false">
      <c r="A238" s="10"/>
      <c r="B238" s="12"/>
      <c r="C238" s="10"/>
      <c r="D238" s="14" t="str">
        <f aca="false">IFERROR(IF(C238="","",INDEX(Suppliers!$B$5:$B$504,MATCH(C238,Suppliers!$A$5:$A$504,0))),"")</f>
        <v/>
      </c>
      <c r="E238" s="10" t="s">
        <v>24</v>
      </c>
      <c r="F238" s="12"/>
      <c r="G238" s="12"/>
      <c r="H238" s="10"/>
      <c r="I238" s="10"/>
      <c r="J238" s="9" t="n">
        <f aca="false">IFERROR(SUMIFS(PurchaseOrderLines!$H$5:$H$504,PurchaseOrderLines!$B$5:$B$504,A238),"")</f>
        <v>0</v>
      </c>
      <c r="K238" s="9" t="n">
        <f aca="false">IFERROR(SUMIFS(PurchaseOrderLines!$I$5:$I$504,PurchaseOrderLines!$B$5:$B$504,A238),"")</f>
        <v>0</v>
      </c>
      <c r="L238" s="9" t="n">
        <f aca="false">IFERROR(J238+K238,"")</f>
        <v>0</v>
      </c>
      <c r="M238" s="9" t="n">
        <f aca="false">IFERROR(SUMIFS(Payments!$E$5:$E$504,Payments!$D$5:$D$504,A238,Payments!$C$5:$C$504,"Out"),"")</f>
        <v>0</v>
      </c>
      <c r="N238" s="9" t="n">
        <f aca="false">IFERROR(L238-M238,"")</f>
        <v>0</v>
      </c>
    </row>
    <row r="239" customFormat="false" ht="15" hidden="false" customHeight="false" outlineLevel="0" collapsed="false">
      <c r="A239" s="10"/>
      <c r="B239" s="12"/>
      <c r="C239" s="10"/>
      <c r="D239" s="14" t="str">
        <f aca="false">IFERROR(IF(C239="","",INDEX(Suppliers!$B$5:$B$504,MATCH(C239,Suppliers!$A$5:$A$504,0))),"")</f>
        <v/>
      </c>
      <c r="E239" s="10" t="s">
        <v>24</v>
      </c>
      <c r="F239" s="12"/>
      <c r="G239" s="12"/>
      <c r="H239" s="10"/>
      <c r="I239" s="10"/>
      <c r="J239" s="9" t="n">
        <f aca="false">IFERROR(SUMIFS(PurchaseOrderLines!$H$5:$H$504,PurchaseOrderLines!$B$5:$B$504,A239),"")</f>
        <v>0</v>
      </c>
      <c r="K239" s="9" t="n">
        <f aca="false">IFERROR(SUMIFS(PurchaseOrderLines!$I$5:$I$504,PurchaseOrderLines!$B$5:$B$504,A239),"")</f>
        <v>0</v>
      </c>
      <c r="L239" s="9" t="n">
        <f aca="false">IFERROR(J239+K239,"")</f>
        <v>0</v>
      </c>
      <c r="M239" s="9" t="n">
        <f aca="false">IFERROR(SUMIFS(Payments!$E$5:$E$504,Payments!$D$5:$D$504,A239,Payments!$C$5:$C$504,"Out"),"")</f>
        <v>0</v>
      </c>
      <c r="N239" s="9" t="n">
        <f aca="false">IFERROR(L239-M239,"")</f>
        <v>0</v>
      </c>
    </row>
    <row r="240" customFormat="false" ht="15" hidden="false" customHeight="false" outlineLevel="0" collapsed="false">
      <c r="A240" s="10"/>
      <c r="B240" s="12"/>
      <c r="C240" s="10"/>
      <c r="D240" s="14" t="str">
        <f aca="false">IFERROR(IF(C240="","",INDEX(Suppliers!$B$5:$B$504,MATCH(C240,Suppliers!$A$5:$A$504,0))),"")</f>
        <v/>
      </c>
      <c r="E240" s="10" t="s">
        <v>24</v>
      </c>
      <c r="F240" s="12"/>
      <c r="G240" s="12"/>
      <c r="H240" s="10"/>
      <c r="I240" s="10"/>
      <c r="J240" s="9" t="n">
        <f aca="false">IFERROR(SUMIFS(PurchaseOrderLines!$H$5:$H$504,PurchaseOrderLines!$B$5:$B$504,A240),"")</f>
        <v>0</v>
      </c>
      <c r="K240" s="9" t="n">
        <f aca="false">IFERROR(SUMIFS(PurchaseOrderLines!$I$5:$I$504,PurchaseOrderLines!$B$5:$B$504,A240),"")</f>
        <v>0</v>
      </c>
      <c r="L240" s="9" t="n">
        <f aca="false">IFERROR(J240+K240,"")</f>
        <v>0</v>
      </c>
      <c r="M240" s="9" t="n">
        <f aca="false">IFERROR(SUMIFS(Payments!$E$5:$E$504,Payments!$D$5:$D$504,A240,Payments!$C$5:$C$504,"Out"),"")</f>
        <v>0</v>
      </c>
      <c r="N240" s="9" t="n">
        <f aca="false">IFERROR(L240-M240,"")</f>
        <v>0</v>
      </c>
    </row>
    <row r="241" customFormat="false" ht="15" hidden="false" customHeight="false" outlineLevel="0" collapsed="false">
      <c r="A241" s="10"/>
      <c r="B241" s="12"/>
      <c r="C241" s="10"/>
      <c r="D241" s="14" t="str">
        <f aca="false">IFERROR(IF(C241="","",INDEX(Suppliers!$B$5:$B$504,MATCH(C241,Suppliers!$A$5:$A$504,0))),"")</f>
        <v/>
      </c>
      <c r="E241" s="10" t="s">
        <v>24</v>
      </c>
      <c r="F241" s="12"/>
      <c r="G241" s="12"/>
      <c r="H241" s="10"/>
      <c r="I241" s="10"/>
      <c r="J241" s="9" t="n">
        <f aca="false">IFERROR(SUMIFS(PurchaseOrderLines!$H$5:$H$504,PurchaseOrderLines!$B$5:$B$504,A241),"")</f>
        <v>0</v>
      </c>
      <c r="K241" s="9" t="n">
        <f aca="false">IFERROR(SUMIFS(PurchaseOrderLines!$I$5:$I$504,PurchaseOrderLines!$B$5:$B$504,A241),"")</f>
        <v>0</v>
      </c>
      <c r="L241" s="9" t="n">
        <f aca="false">IFERROR(J241+K241,"")</f>
        <v>0</v>
      </c>
      <c r="M241" s="9" t="n">
        <f aca="false">IFERROR(SUMIFS(Payments!$E$5:$E$504,Payments!$D$5:$D$504,A241,Payments!$C$5:$C$504,"Out"),"")</f>
        <v>0</v>
      </c>
      <c r="N241" s="9" t="n">
        <f aca="false">IFERROR(L241-M241,"")</f>
        <v>0</v>
      </c>
    </row>
    <row r="242" customFormat="false" ht="15" hidden="false" customHeight="false" outlineLevel="0" collapsed="false">
      <c r="A242" s="10"/>
      <c r="B242" s="12"/>
      <c r="C242" s="10"/>
      <c r="D242" s="14" t="str">
        <f aca="false">IFERROR(IF(C242="","",INDEX(Suppliers!$B$5:$B$504,MATCH(C242,Suppliers!$A$5:$A$504,0))),"")</f>
        <v/>
      </c>
      <c r="E242" s="10" t="s">
        <v>24</v>
      </c>
      <c r="F242" s="12"/>
      <c r="G242" s="12"/>
      <c r="H242" s="10"/>
      <c r="I242" s="10"/>
      <c r="J242" s="9" t="n">
        <f aca="false">IFERROR(SUMIFS(PurchaseOrderLines!$H$5:$H$504,PurchaseOrderLines!$B$5:$B$504,A242),"")</f>
        <v>0</v>
      </c>
      <c r="K242" s="9" t="n">
        <f aca="false">IFERROR(SUMIFS(PurchaseOrderLines!$I$5:$I$504,PurchaseOrderLines!$B$5:$B$504,A242),"")</f>
        <v>0</v>
      </c>
      <c r="L242" s="9" t="n">
        <f aca="false">IFERROR(J242+K242,"")</f>
        <v>0</v>
      </c>
      <c r="M242" s="9" t="n">
        <f aca="false">IFERROR(SUMIFS(Payments!$E$5:$E$504,Payments!$D$5:$D$504,A242,Payments!$C$5:$C$504,"Out"),"")</f>
        <v>0</v>
      </c>
      <c r="N242" s="9" t="n">
        <f aca="false">IFERROR(L242-M242,"")</f>
        <v>0</v>
      </c>
    </row>
    <row r="243" customFormat="false" ht="15" hidden="false" customHeight="false" outlineLevel="0" collapsed="false">
      <c r="A243" s="10"/>
      <c r="B243" s="12"/>
      <c r="C243" s="10"/>
      <c r="D243" s="14" t="str">
        <f aca="false">IFERROR(IF(C243="","",INDEX(Suppliers!$B$5:$B$504,MATCH(C243,Suppliers!$A$5:$A$504,0))),"")</f>
        <v/>
      </c>
      <c r="E243" s="10" t="s">
        <v>24</v>
      </c>
      <c r="F243" s="12"/>
      <c r="G243" s="12"/>
      <c r="H243" s="10"/>
      <c r="I243" s="10"/>
      <c r="J243" s="9" t="n">
        <f aca="false">IFERROR(SUMIFS(PurchaseOrderLines!$H$5:$H$504,PurchaseOrderLines!$B$5:$B$504,A243),"")</f>
        <v>0</v>
      </c>
      <c r="K243" s="9" t="n">
        <f aca="false">IFERROR(SUMIFS(PurchaseOrderLines!$I$5:$I$504,PurchaseOrderLines!$B$5:$B$504,A243),"")</f>
        <v>0</v>
      </c>
      <c r="L243" s="9" t="n">
        <f aca="false">IFERROR(J243+K243,"")</f>
        <v>0</v>
      </c>
      <c r="M243" s="9" t="n">
        <f aca="false">IFERROR(SUMIFS(Payments!$E$5:$E$504,Payments!$D$5:$D$504,A243,Payments!$C$5:$C$504,"Out"),"")</f>
        <v>0</v>
      </c>
      <c r="N243" s="9" t="n">
        <f aca="false">IFERROR(L243-M243,"")</f>
        <v>0</v>
      </c>
    </row>
    <row r="244" customFormat="false" ht="15" hidden="false" customHeight="false" outlineLevel="0" collapsed="false">
      <c r="A244" s="10"/>
      <c r="B244" s="12"/>
      <c r="C244" s="10"/>
      <c r="D244" s="14" t="str">
        <f aca="false">IFERROR(IF(C244="","",INDEX(Suppliers!$B$5:$B$504,MATCH(C244,Suppliers!$A$5:$A$504,0))),"")</f>
        <v/>
      </c>
      <c r="E244" s="10" t="s">
        <v>24</v>
      </c>
      <c r="F244" s="12"/>
      <c r="G244" s="12"/>
      <c r="H244" s="10"/>
      <c r="I244" s="10"/>
      <c r="J244" s="9" t="n">
        <f aca="false">IFERROR(SUMIFS(PurchaseOrderLines!$H$5:$H$504,PurchaseOrderLines!$B$5:$B$504,A244),"")</f>
        <v>0</v>
      </c>
      <c r="K244" s="9" t="n">
        <f aca="false">IFERROR(SUMIFS(PurchaseOrderLines!$I$5:$I$504,PurchaseOrderLines!$B$5:$B$504,A244),"")</f>
        <v>0</v>
      </c>
      <c r="L244" s="9" t="n">
        <f aca="false">IFERROR(J244+K244,"")</f>
        <v>0</v>
      </c>
      <c r="M244" s="9" t="n">
        <f aca="false">IFERROR(SUMIFS(Payments!$E$5:$E$504,Payments!$D$5:$D$504,A244,Payments!$C$5:$C$504,"Out"),"")</f>
        <v>0</v>
      </c>
      <c r="N244" s="9" t="n">
        <f aca="false">IFERROR(L244-M244,"")</f>
        <v>0</v>
      </c>
    </row>
    <row r="245" customFormat="false" ht="15" hidden="false" customHeight="false" outlineLevel="0" collapsed="false">
      <c r="A245" s="10"/>
      <c r="B245" s="12"/>
      <c r="C245" s="10"/>
      <c r="D245" s="14" t="str">
        <f aca="false">IFERROR(IF(C245="","",INDEX(Suppliers!$B$5:$B$504,MATCH(C245,Suppliers!$A$5:$A$504,0))),"")</f>
        <v/>
      </c>
      <c r="E245" s="10" t="s">
        <v>24</v>
      </c>
      <c r="F245" s="12"/>
      <c r="G245" s="12"/>
      <c r="H245" s="10"/>
      <c r="I245" s="10"/>
      <c r="J245" s="9" t="n">
        <f aca="false">IFERROR(SUMIFS(PurchaseOrderLines!$H$5:$H$504,PurchaseOrderLines!$B$5:$B$504,A245),"")</f>
        <v>0</v>
      </c>
      <c r="K245" s="9" t="n">
        <f aca="false">IFERROR(SUMIFS(PurchaseOrderLines!$I$5:$I$504,PurchaseOrderLines!$B$5:$B$504,A245),"")</f>
        <v>0</v>
      </c>
      <c r="L245" s="9" t="n">
        <f aca="false">IFERROR(J245+K245,"")</f>
        <v>0</v>
      </c>
      <c r="M245" s="9" t="n">
        <f aca="false">IFERROR(SUMIFS(Payments!$E$5:$E$504,Payments!$D$5:$D$504,A245,Payments!$C$5:$C$504,"Out"),"")</f>
        <v>0</v>
      </c>
      <c r="N245" s="9" t="n">
        <f aca="false">IFERROR(L245-M245,"")</f>
        <v>0</v>
      </c>
    </row>
    <row r="246" customFormat="false" ht="15" hidden="false" customHeight="false" outlineLevel="0" collapsed="false">
      <c r="A246" s="10"/>
      <c r="B246" s="12"/>
      <c r="C246" s="10"/>
      <c r="D246" s="14" t="str">
        <f aca="false">IFERROR(IF(C246="","",INDEX(Suppliers!$B$5:$B$504,MATCH(C246,Suppliers!$A$5:$A$504,0))),"")</f>
        <v/>
      </c>
      <c r="E246" s="10" t="s">
        <v>24</v>
      </c>
      <c r="F246" s="12"/>
      <c r="G246" s="12"/>
      <c r="H246" s="10"/>
      <c r="I246" s="10"/>
      <c r="J246" s="9" t="n">
        <f aca="false">IFERROR(SUMIFS(PurchaseOrderLines!$H$5:$H$504,PurchaseOrderLines!$B$5:$B$504,A246),"")</f>
        <v>0</v>
      </c>
      <c r="K246" s="9" t="n">
        <f aca="false">IFERROR(SUMIFS(PurchaseOrderLines!$I$5:$I$504,PurchaseOrderLines!$B$5:$B$504,A246),"")</f>
        <v>0</v>
      </c>
      <c r="L246" s="9" t="n">
        <f aca="false">IFERROR(J246+K246,"")</f>
        <v>0</v>
      </c>
      <c r="M246" s="9" t="n">
        <f aca="false">IFERROR(SUMIFS(Payments!$E$5:$E$504,Payments!$D$5:$D$504,A246,Payments!$C$5:$C$504,"Out"),"")</f>
        <v>0</v>
      </c>
      <c r="N246" s="9" t="n">
        <f aca="false">IFERROR(L246-M246,"")</f>
        <v>0</v>
      </c>
    </row>
    <row r="247" customFormat="false" ht="15" hidden="false" customHeight="false" outlineLevel="0" collapsed="false">
      <c r="A247" s="10"/>
      <c r="B247" s="12"/>
      <c r="C247" s="10"/>
      <c r="D247" s="14" t="str">
        <f aca="false">IFERROR(IF(C247="","",INDEX(Suppliers!$B$5:$B$504,MATCH(C247,Suppliers!$A$5:$A$504,0))),"")</f>
        <v/>
      </c>
      <c r="E247" s="10" t="s">
        <v>24</v>
      </c>
      <c r="F247" s="12"/>
      <c r="G247" s="12"/>
      <c r="H247" s="10"/>
      <c r="I247" s="10"/>
      <c r="J247" s="9" t="n">
        <f aca="false">IFERROR(SUMIFS(PurchaseOrderLines!$H$5:$H$504,PurchaseOrderLines!$B$5:$B$504,A247),"")</f>
        <v>0</v>
      </c>
      <c r="K247" s="9" t="n">
        <f aca="false">IFERROR(SUMIFS(PurchaseOrderLines!$I$5:$I$504,PurchaseOrderLines!$B$5:$B$504,A247),"")</f>
        <v>0</v>
      </c>
      <c r="L247" s="9" t="n">
        <f aca="false">IFERROR(J247+K247,"")</f>
        <v>0</v>
      </c>
      <c r="M247" s="9" t="n">
        <f aca="false">IFERROR(SUMIFS(Payments!$E$5:$E$504,Payments!$D$5:$D$504,A247,Payments!$C$5:$C$504,"Out"),"")</f>
        <v>0</v>
      </c>
      <c r="N247" s="9" t="n">
        <f aca="false">IFERROR(L247-M247,"")</f>
        <v>0</v>
      </c>
    </row>
    <row r="248" customFormat="false" ht="15" hidden="false" customHeight="false" outlineLevel="0" collapsed="false">
      <c r="A248" s="10"/>
      <c r="B248" s="12"/>
      <c r="C248" s="10"/>
      <c r="D248" s="14" t="str">
        <f aca="false">IFERROR(IF(C248="","",INDEX(Suppliers!$B$5:$B$504,MATCH(C248,Suppliers!$A$5:$A$504,0))),"")</f>
        <v/>
      </c>
      <c r="E248" s="10" t="s">
        <v>24</v>
      </c>
      <c r="F248" s="12"/>
      <c r="G248" s="12"/>
      <c r="H248" s="10"/>
      <c r="I248" s="10"/>
      <c r="J248" s="9" t="n">
        <f aca="false">IFERROR(SUMIFS(PurchaseOrderLines!$H$5:$H$504,PurchaseOrderLines!$B$5:$B$504,A248),"")</f>
        <v>0</v>
      </c>
      <c r="K248" s="9" t="n">
        <f aca="false">IFERROR(SUMIFS(PurchaseOrderLines!$I$5:$I$504,PurchaseOrderLines!$B$5:$B$504,A248),"")</f>
        <v>0</v>
      </c>
      <c r="L248" s="9" t="n">
        <f aca="false">IFERROR(J248+K248,"")</f>
        <v>0</v>
      </c>
      <c r="M248" s="9" t="n">
        <f aca="false">IFERROR(SUMIFS(Payments!$E$5:$E$504,Payments!$D$5:$D$504,A248,Payments!$C$5:$C$504,"Out"),"")</f>
        <v>0</v>
      </c>
      <c r="N248" s="9" t="n">
        <f aca="false">IFERROR(L248-M248,"")</f>
        <v>0</v>
      </c>
    </row>
    <row r="249" customFormat="false" ht="15" hidden="false" customHeight="false" outlineLevel="0" collapsed="false">
      <c r="A249" s="10"/>
      <c r="B249" s="12"/>
      <c r="C249" s="10"/>
      <c r="D249" s="14" t="str">
        <f aca="false">IFERROR(IF(C249="","",INDEX(Suppliers!$B$5:$B$504,MATCH(C249,Suppliers!$A$5:$A$504,0))),"")</f>
        <v/>
      </c>
      <c r="E249" s="10" t="s">
        <v>24</v>
      </c>
      <c r="F249" s="12"/>
      <c r="G249" s="12"/>
      <c r="H249" s="10"/>
      <c r="I249" s="10"/>
      <c r="J249" s="9" t="n">
        <f aca="false">IFERROR(SUMIFS(PurchaseOrderLines!$H$5:$H$504,PurchaseOrderLines!$B$5:$B$504,A249),"")</f>
        <v>0</v>
      </c>
      <c r="K249" s="9" t="n">
        <f aca="false">IFERROR(SUMIFS(PurchaseOrderLines!$I$5:$I$504,PurchaseOrderLines!$B$5:$B$504,A249),"")</f>
        <v>0</v>
      </c>
      <c r="L249" s="9" t="n">
        <f aca="false">IFERROR(J249+K249,"")</f>
        <v>0</v>
      </c>
      <c r="M249" s="9" t="n">
        <f aca="false">IFERROR(SUMIFS(Payments!$E$5:$E$504,Payments!$D$5:$D$504,A249,Payments!$C$5:$C$504,"Out"),"")</f>
        <v>0</v>
      </c>
      <c r="N249" s="9" t="n">
        <f aca="false">IFERROR(L249-M249,"")</f>
        <v>0</v>
      </c>
    </row>
    <row r="250" customFormat="false" ht="15" hidden="false" customHeight="false" outlineLevel="0" collapsed="false">
      <c r="A250" s="10"/>
      <c r="B250" s="12"/>
      <c r="C250" s="10"/>
      <c r="D250" s="14" t="str">
        <f aca="false">IFERROR(IF(C250="","",INDEX(Suppliers!$B$5:$B$504,MATCH(C250,Suppliers!$A$5:$A$504,0))),"")</f>
        <v/>
      </c>
      <c r="E250" s="10" t="s">
        <v>24</v>
      </c>
      <c r="F250" s="12"/>
      <c r="G250" s="12"/>
      <c r="H250" s="10"/>
      <c r="I250" s="10"/>
      <c r="J250" s="9" t="n">
        <f aca="false">IFERROR(SUMIFS(PurchaseOrderLines!$H$5:$H$504,PurchaseOrderLines!$B$5:$B$504,A250),"")</f>
        <v>0</v>
      </c>
      <c r="K250" s="9" t="n">
        <f aca="false">IFERROR(SUMIFS(PurchaseOrderLines!$I$5:$I$504,PurchaseOrderLines!$B$5:$B$504,A250),"")</f>
        <v>0</v>
      </c>
      <c r="L250" s="9" t="n">
        <f aca="false">IFERROR(J250+K250,"")</f>
        <v>0</v>
      </c>
      <c r="M250" s="9" t="n">
        <f aca="false">IFERROR(SUMIFS(Payments!$E$5:$E$504,Payments!$D$5:$D$504,A250,Payments!$C$5:$C$504,"Out"),"")</f>
        <v>0</v>
      </c>
      <c r="N250" s="9" t="n">
        <f aca="false">IFERROR(L250-M250,"")</f>
        <v>0</v>
      </c>
    </row>
    <row r="251" customFormat="false" ht="15" hidden="false" customHeight="false" outlineLevel="0" collapsed="false">
      <c r="A251" s="10"/>
      <c r="B251" s="12"/>
      <c r="C251" s="10"/>
      <c r="D251" s="14" t="str">
        <f aca="false">IFERROR(IF(C251="","",INDEX(Suppliers!$B$5:$B$504,MATCH(C251,Suppliers!$A$5:$A$504,0))),"")</f>
        <v/>
      </c>
      <c r="E251" s="10" t="s">
        <v>24</v>
      </c>
      <c r="F251" s="12"/>
      <c r="G251" s="12"/>
      <c r="H251" s="10"/>
      <c r="I251" s="10"/>
      <c r="J251" s="9" t="n">
        <f aca="false">IFERROR(SUMIFS(PurchaseOrderLines!$H$5:$H$504,PurchaseOrderLines!$B$5:$B$504,A251),"")</f>
        <v>0</v>
      </c>
      <c r="K251" s="9" t="n">
        <f aca="false">IFERROR(SUMIFS(PurchaseOrderLines!$I$5:$I$504,PurchaseOrderLines!$B$5:$B$504,A251),"")</f>
        <v>0</v>
      </c>
      <c r="L251" s="9" t="n">
        <f aca="false">IFERROR(J251+K251,"")</f>
        <v>0</v>
      </c>
      <c r="M251" s="9" t="n">
        <f aca="false">IFERROR(SUMIFS(Payments!$E$5:$E$504,Payments!$D$5:$D$504,A251,Payments!$C$5:$C$504,"Out"),"")</f>
        <v>0</v>
      </c>
      <c r="N251" s="9" t="n">
        <f aca="false">IFERROR(L251-M251,"")</f>
        <v>0</v>
      </c>
    </row>
    <row r="252" customFormat="false" ht="15" hidden="false" customHeight="false" outlineLevel="0" collapsed="false">
      <c r="A252" s="10"/>
      <c r="B252" s="12"/>
      <c r="C252" s="10"/>
      <c r="D252" s="14" t="str">
        <f aca="false">IFERROR(IF(C252="","",INDEX(Suppliers!$B$5:$B$504,MATCH(C252,Suppliers!$A$5:$A$504,0))),"")</f>
        <v/>
      </c>
      <c r="E252" s="10" t="s">
        <v>24</v>
      </c>
      <c r="F252" s="12"/>
      <c r="G252" s="12"/>
      <c r="H252" s="10"/>
      <c r="I252" s="10"/>
      <c r="J252" s="9" t="n">
        <f aca="false">IFERROR(SUMIFS(PurchaseOrderLines!$H$5:$H$504,PurchaseOrderLines!$B$5:$B$504,A252),"")</f>
        <v>0</v>
      </c>
      <c r="K252" s="9" t="n">
        <f aca="false">IFERROR(SUMIFS(PurchaseOrderLines!$I$5:$I$504,PurchaseOrderLines!$B$5:$B$504,A252),"")</f>
        <v>0</v>
      </c>
      <c r="L252" s="9" t="n">
        <f aca="false">IFERROR(J252+K252,"")</f>
        <v>0</v>
      </c>
      <c r="M252" s="9" t="n">
        <f aca="false">IFERROR(SUMIFS(Payments!$E$5:$E$504,Payments!$D$5:$D$504,A252,Payments!$C$5:$C$504,"Out"),"")</f>
        <v>0</v>
      </c>
      <c r="N252" s="9" t="n">
        <f aca="false">IFERROR(L252-M252,"")</f>
        <v>0</v>
      </c>
    </row>
    <row r="253" customFormat="false" ht="15" hidden="false" customHeight="false" outlineLevel="0" collapsed="false">
      <c r="A253" s="10"/>
      <c r="B253" s="12"/>
      <c r="C253" s="10"/>
      <c r="D253" s="14" t="str">
        <f aca="false">IFERROR(IF(C253="","",INDEX(Suppliers!$B$5:$B$504,MATCH(C253,Suppliers!$A$5:$A$504,0))),"")</f>
        <v/>
      </c>
      <c r="E253" s="10" t="s">
        <v>24</v>
      </c>
      <c r="F253" s="12"/>
      <c r="G253" s="12"/>
      <c r="H253" s="10"/>
      <c r="I253" s="10"/>
      <c r="J253" s="9" t="n">
        <f aca="false">IFERROR(SUMIFS(PurchaseOrderLines!$H$5:$H$504,PurchaseOrderLines!$B$5:$B$504,A253),"")</f>
        <v>0</v>
      </c>
      <c r="K253" s="9" t="n">
        <f aca="false">IFERROR(SUMIFS(PurchaseOrderLines!$I$5:$I$504,PurchaseOrderLines!$B$5:$B$504,A253),"")</f>
        <v>0</v>
      </c>
      <c r="L253" s="9" t="n">
        <f aca="false">IFERROR(J253+K253,"")</f>
        <v>0</v>
      </c>
      <c r="M253" s="9" t="n">
        <f aca="false">IFERROR(SUMIFS(Payments!$E$5:$E$504,Payments!$D$5:$D$504,A253,Payments!$C$5:$C$504,"Out"),"")</f>
        <v>0</v>
      </c>
      <c r="N253" s="9" t="n">
        <f aca="false">IFERROR(L253-M253,"")</f>
        <v>0</v>
      </c>
    </row>
    <row r="254" customFormat="false" ht="15" hidden="false" customHeight="false" outlineLevel="0" collapsed="false">
      <c r="A254" s="10"/>
      <c r="B254" s="12"/>
      <c r="C254" s="10"/>
      <c r="D254" s="14" t="str">
        <f aca="false">IFERROR(IF(C254="","",INDEX(Suppliers!$B$5:$B$504,MATCH(C254,Suppliers!$A$5:$A$504,0))),"")</f>
        <v/>
      </c>
      <c r="E254" s="10" t="s">
        <v>24</v>
      </c>
      <c r="F254" s="12"/>
      <c r="G254" s="12"/>
      <c r="H254" s="10"/>
      <c r="I254" s="10"/>
      <c r="J254" s="9" t="n">
        <f aca="false">IFERROR(SUMIFS(PurchaseOrderLines!$H$5:$H$504,PurchaseOrderLines!$B$5:$B$504,A254),"")</f>
        <v>0</v>
      </c>
      <c r="K254" s="9" t="n">
        <f aca="false">IFERROR(SUMIFS(PurchaseOrderLines!$I$5:$I$504,PurchaseOrderLines!$B$5:$B$504,A254),"")</f>
        <v>0</v>
      </c>
      <c r="L254" s="9" t="n">
        <f aca="false">IFERROR(J254+K254,"")</f>
        <v>0</v>
      </c>
      <c r="M254" s="9" t="n">
        <f aca="false">IFERROR(SUMIFS(Payments!$E$5:$E$504,Payments!$D$5:$D$504,A254,Payments!$C$5:$C$504,"Out"),"")</f>
        <v>0</v>
      </c>
      <c r="N254" s="9" t="n">
        <f aca="false">IFERROR(L254-M254,"")</f>
        <v>0</v>
      </c>
    </row>
    <row r="255" customFormat="false" ht="15" hidden="false" customHeight="false" outlineLevel="0" collapsed="false">
      <c r="A255" s="10"/>
      <c r="B255" s="12"/>
      <c r="C255" s="10"/>
      <c r="D255" s="14" t="str">
        <f aca="false">IFERROR(IF(C255="","",INDEX(Suppliers!$B$5:$B$504,MATCH(C255,Suppliers!$A$5:$A$504,0))),"")</f>
        <v/>
      </c>
      <c r="E255" s="10" t="s">
        <v>24</v>
      </c>
      <c r="F255" s="12"/>
      <c r="G255" s="12"/>
      <c r="H255" s="10"/>
      <c r="I255" s="10"/>
      <c r="J255" s="9" t="n">
        <f aca="false">IFERROR(SUMIFS(PurchaseOrderLines!$H$5:$H$504,PurchaseOrderLines!$B$5:$B$504,A255),"")</f>
        <v>0</v>
      </c>
      <c r="K255" s="9" t="n">
        <f aca="false">IFERROR(SUMIFS(PurchaseOrderLines!$I$5:$I$504,PurchaseOrderLines!$B$5:$B$504,A255),"")</f>
        <v>0</v>
      </c>
      <c r="L255" s="9" t="n">
        <f aca="false">IFERROR(J255+K255,"")</f>
        <v>0</v>
      </c>
      <c r="M255" s="9" t="n">
        <f aca="false">IFERROR(SUMIFS(Payments!$E$5:$E$504,Payments!$D$5:$D$504,A255,Payments!$C$5:$C$504,"Out"),"")</f>
        <v>0</v>
      </c>
      <c r="N255" s="9" t="n">
        <f aca="false">IFERROR(L255-M255,"")</f>
        <v>0</v>
      </c>
    </row>
    <row r="256" customFormat="false" ht="15" hidden="false" customHeight="false" outlineLevel="0" collapsed="false">
      <c r="A256" s="10"/>
      <c r="B256" s="12"/>
      <c r="C256" s="10"/>
      <c r="D256" s="14" t="str">
        <f aca="false">IFERROR(IF(C256="","",INDEX(Suppliers!$B$5:$B$504,MATCH(C256,Suppliers!$A$5:$A$504,0))),"")</f>
        <v/>
      </c>
      <c r="E256" s="10" t="s">
        <v>24</v>
      </c>
      <c r="F256" s="12"/>
      <c r="G256" s="12"/>
      <c r="H256" s="10"/>
      <c r="I256" s="10"/>
      <c r="J256" s="9" t="n">
        <f aca="false">IFERROR(SUMIFS(PurchaseOrderLines!$H$5:$H$504,PurchaseOrderLines!$B$5:$B$504,A256),"")</f>
        <v>0</v>
      </c>
      <c r="K256" s="9" t="n">
        <f aca="false">IFERROR(SUMIFS(PurchaseOrderLines!$I$5:$I$504,PurchaseOrderLines!$B$5:$B$504,A256),"")</f>
        <v>0</v>
      </c>
      <c r="L256" s="9" t="n">
        <f aca="false">IFERROR(J256+K256,"")</f>
        <v>0</v>
      </c>
      <c r="M256" s="9" t="n">
        <f aca="false">IFERROR(SUMIFS(Payments!$E$5:$E$504,Payments!$D$5:$D$504,A256,Payments!$C$5:$C$504,"Out"),"")</f>
        <v>0</v>
      </c>
      <c r="N256" s="9" t="n">
        <f aca="false">IFERROR(L256-M256,"")</f>
        <v>0</v>
      </c>
    </row>
    <row r="257" customFormat="false" ht="15" hidden="false" customHeight="false" outlineLevel="0" collapsed="false">
      <c r="A257" s="10"/>
      <c r="B257" s="12"/>
      <c r="C257" s="10"/>
      <c r="D257" s="14" t="str">
        <f aca="false">IFERROR(IF(C257="","",INDEX(Suppliers!$B$5:$B$504,MATCH(C257,Suppliers!$A$5:$A$504,0))),"")</f>
        <v/>
      </c>
      <c r="E257" s="10" t="s">
        <v>24</v>
      </c>
      <c r="F257" s="12"/>
      <c r="G257" s="12"/>
      <c r="H257" s="10"/>
      <c r="I257" s="10"/>
      <c r="J257" s="9" t="n">
        <f aca="false">IFERROR(SUMIFS(PurchaseOrderLines!$H$5:$H$504,PurchaseOrderLines!$B$5:$B$504,A257),"")</f>
        <v>0</v>
      </c>
      <c r="K257" s="9" t="n">
        <f aca="false">IFERROR(SUMIFS(PurchaseOrderLines!$I$5:$I$504,PurchaseOrderLines!$B$5:$B$504,A257),"")</f>
        <v>0</v>
      </c>
      <c r="L257" s="9" t="n">
        <f aca="false">IFERROR(J257+K257,"")</f>
        <v>0</v>
      </c>
      <c r="M257" s="9" t="n">
        <f aca="false">IFERROR(SUMIFS(Payments!$E$5:$E$504,Payments!$D$5:$D$504,A257,Payments!$C$5:$C$504,"Out"),"")</f>
        <v>0</v>
      </c>
      <c r="N257" s="9" t="n">
        <f aca="false">IFERROR(L257-M257,"")</f>
        <v>0</v>
      </c>
    </row>
    <row r="258" customFormat="false" ht="15" hidden="false" customHeight="false" outlineLevel="0" collapsed="false">
      <c r="A258" s="10"/>
      <c r="B258" s="12"/>
      <c r="C258" s="10"/>
      <c r="D258" s="14" t="str">
        <f aca="false">IFERROR(IF(C258="","",INDEX(Suppliers!$B$5:$B$504,MATCH(C258,Suppliers!$A$5:$A$504,0))),"")</f>
        <v/>
      </c>
      <c r="E258" s="10" t="s">
        <v>24</v>
      </c>
      <c r="F258" s="12"/>
      <c r="G258" s="12"/>
      <c r="H258" s="10"/>
      <c r="I258" s="10"/>
      <c r="J258" s="9" t="n">
        <f aca="false">IFERROR(SUMIFS(PurchaseOrderLines!$H$5:$H$504,PurchaseOrderLines!$B$5:$B$504,A258),"")</f>
        <v>0</v>
      </c>
      <c r="K258" s="9" t="n">
        <f aca="false">IFERROR(SUMIFS(PurchaseOrderLines!$I$5:$I$504,PurchaseOrderLines!$B$5:$B$504,A258),"")</f>
        <v>0</v>
      </c>
      <c r="L258" s="9" t="n">
        <f aca="false">IFERROR(J258+K258,"")</f>
        <v>0</v>
      </c>
      <c r="M258" s="9" t="n">
        <f aca="false">IFERROR(SUMIFS(Payments!$E$5:$E$504,Payments!$D$5:$D$504,A258,Payments!$C$5:$C$504,"Out"),"")</f>
        <v>0</v>
      </c>
      <c r="N258" s="9" t="n">
        <f aca="false">IFERROR(L258-M258,"")</f>
        <v>0</v>
      </c>
    </row>
    <row r="259" customFormat="false" ht="15" hidden="false" customHeight="false" outlineLevel="0" collapsed="false">
      <c r="A259" s="10"/>
      <c r="B259" s="12"/>
      <c r="C259" s="10"/>
      <c r="D259" s="14" t="str">
        <f aca="false">IFERROR(IF(C259="","",INDEX(Suppliers!$B$5:$B$504,MATCH(C259,Suppliers!$A$5:$A$504,0))),"")</f>
        <v/>
      </c>
      <c r="E259" s="10" t="s">
        <v>24</v>
      </c>
      <c r="F259" s="12"/>
      <c r="G259" s="12"/>
      <c r="H259" s="10"/>
      <c r="I259" s="10"/>
      <c r="J259" s="9" t="n">
        <f aca="false">IFERROR(SUMIFS(PurchaseOrderLines!$H$5:$H$504,PurchaseOrderLines!$B$5:$B$504,A259),"")</f>
        <v>0</v>
      </c>
      <c r="K259" s="9" t="n">
        <f aca="false">IFERROR(SUMIFS(PurchaseOrderLines!$I$5:$I$504,PurchaseOrderLines!$B$5:$B$504,A259),"")</f>
        <v>0</v>
      </c>
      <c r="L259" s="9" t="n">
        <f aca="false">IFERROR(J259+K259,"")</f>
        <v>0</v>
      </c>
      <c r="M259" s="9" t="n">
        <f aca="false">IFERROR(SUMIFS(Payments!$E$5:$E$504,Payments!$D$5:$D$504,A259,Payments!$C$5:$C$504,"Out"),"")</f>
        <v>0</v>
      </c>
      <c r="N259" s="9" t="n">
        <f aca="false">IFERROR(L259-M259,"")</f>
        <v>0</v>
      </c>
    </row>
    <row r="260" customFormat="false" ht="15" hidden="false" customHeight="false" outlineLevel="0" collapsed="false">
      <c r="A260" s="10"/>
      <c r="B260" s="12"/>
      <c r="C260" s="10"/>
      <c r="D260" s="14" t="str">
        <f aca="false">IFERROR(IF(C260="","",INDEX(Suppliers!$B$5:$B$504,MATCH(C260,Suppliers!$A$5:$A$504,0))),"")</f>
        <v/>
      </c>
      <c r="E260" s="10" t="s">
        <v>24</v>
      </c>
      <c r="F260" s="12"/>
      <c r="G260" s="12"/>
      <c r="H260" s="10"/>
      <c r="I260" s="10"/>
      <c r="J260" s="9" t="n">
        <f aca="false">IFERROR(SUMIFS(PurchaseOrderLines!$H$5:$H$504,PurchaseOrderLines!$B$5:$B$504,A260),"")</f>
        <v>0</v>
      </c>
      <c r="K260" s="9" t="n">
        <f aca="false">IFERROR(SUMIFS(PurchaseOrderLines!$I$5:$I$504,PurchaseOrderLines!$B$5:$B$504,A260),"")</f>
        <v>0</v>
      </c>
      <c r="L260" s="9" t="n">
        <f aca="false">IFERROR(J260+K260,"")</f>
        <v>0</v>
      </c>
      <c r="M260" s="9" t="n">
        <f aca="false">IFERROR(SUMIFS(Payments!$E$5:$E$504,Payments!$D$5:$D$504,A260,Payments!$C$5:$C$504,"Out"),"")</f>
        <v>0</v>
      </c>
      <c r="N260" s="9" t="n">
        <f aca="false">IFERROR(L260-M260,"")</f>
        <v>0</v>
      </c>
    </row>
    <row r="261" customFormat="false" ht="15" hidden="false" customHeight="false" outlineLevel="0" collapsed="false">
      <c r="A261" s="10"/>
      <c r="B261" s="12"/>
      <c r="C261" s="10"/>
      <c r="D261" s="14" t="str">
        <f aca="false">IFERROR(IF(C261="","",INDEX(Suppliers!$B$5:$B$504,MATCH(C261,Suppliers!$A$5:$A$504,0))),"")</f>
        <v/>
      </c>
      <c r="E261" s="10" t="s">
        <v>24</v>
      </c>
      <c r="F261" s="12"/>
      <c r="G261" s="12"/>
      <c r="H261" s="10"/>
      <c r="I261" s="10"/>
      <c r="J261" s="9" t="n">
        <f aca="false">IFERROR(SUMIFS(PurchaseOrderLines!$H$5:$H$504,PurchaseOrderLines!$B$5:$B$504,A261),"")</f>
        <v>0</v>
      </c>
      <c r="K261" s="9" t="n">
        <f aca="false">IFERROR(SUMIFS(PurchaseOrderLines!$I$5:$I$504,PurchaseOrderLines!$B$5:$B$504,A261),"")</f>
        <v>0</v>
      </c>
      <c r="L261" s="9" t="n">
        <f aca="false">IFERROR(J261+K261,"")</f>
        <v>0</v>
      </c>
      <c r="M261" s="9" t="n">
        <f aca="false">IFERROR(SUMIFS(Payments!$E$5:$E$504,Payments!$D$5:$D$504,A261,Payments!$C$5:$C$504,"Out"),"")</f>
        <v>0</v>
      </c>
      <c r="N261" s="9" t="n">
        <f aca="false">IFERROR(L261-M261,"")</f>
        <v>0</v>
      </c>
    </row>
    <row r="262" customFormat="false" ht="15" hidden="false" customHeight="false" outlineLevel="0" collapsed="false">
      <c r="A262" s="10"/>
      <c r="B262" s="12"/>
      <c r="C262" s="10"/>
      <c r="D262" s="14" t="str">
        <f aca="false">IFERROR(IF(C262="","",INDEX(Suppliers!$B$5:$B$504,MATCH(C262,Suppliers!$A$5:$A$504,0))),"")</f>
        <v/>
      </c>
      <c r="E262" s="10" t="s">
        <v>24</v>
      </c>
      <c r="F262" s="12"/>
      <c r="G262" s="12"/>
      <c r="H262" s="10"/>
      <c r="I262" s="10"/>
      <c r="J262" s="9" t="n">
        <f aca="false">IFERROR(SUMIFS(PurchaseOrderLines!$H$5:$H$504,PurchaseOrderLines!$B$5:$B$504,A262),"")</f>
        <v>0</v>
      </c>
      <c r="K262" s="9" t="n">
        <f aca="false">IFERROR(SUMIFS(PurchaseOrderLines!$I$5:$I$504,PurchaseOrderLines!$B$5:$B$504,A262),"")</f>
        <v>0</v>
      </c>
      <c r="L262" s="9" t="n">
        <f aca="false">IFERROR(J262+K262,"")</f>
        <v>0</v>
      </c>
      <c r="M262" s="9" t="n">
        <f aca="false">IFERROR(SUMIFS(Payments!$E$5:$E$504,Payments!$D$5:$D$504,A262,Payments!$C$5:$C$504,"Out"),"")</f>
        <v>0</v>
      </c>
      <c r="N262" s="9" t="n">
        <f aca="false">IFERROR(L262-M262,"")</f>
        <v>0</v>
      </c>
    </row>
    <row r="263" customFormat="false" ht="15" hidden="false" customHeight="false" outlineLevel="0" collapsed="false">
      <c r="A263" s="10"/>
      <c r="B263" s="12"/>
      <c r="C263" s="10"/>
      <c r="D263" s="14" t="str">
        <f aca="false">IFERROR(IF(C263="","",INDEX(Suppliers!$B$5:$B$504,MATCH(C263,Suppliers!$A$5:$A$504,0))),"")</f>
        <v/>
      </c>
      <c r="E263" s="10" t="s">
        <v>24</v>
      </c>
      <c r="F263" s="12"/>
      <c r="G263" s="12"/>
      <c r="H263" s="10"/>
      <c r="I263" s="10"/>
      <c r="J263" s="9" t="n">
        <f aca="false">IFERROR(SUMIFS(PurchaseOrderLines!$H$5:$H$504,PurchaseOrderLines!$B$5:$B$504,A263),"")</f>
        <v>0</v>
      </c>
      <c r="K263" s="9" t="n">
        <f aca="false">IFERROR(SUMIFS(PurchaseOrderLines!$I$5:$I$504,PurchaseOrderLines!$B$5:$B$504,A263),"")</f>
        <v>0</v>
      </c>
      <c r="L263" s="9" t="n">
        <f aca="false">IFERROR(J263+K263,"")</f>
        <v>0</v>
      </c>
      <c r="M263" s="9" t="n">
        <f aca="false">IFERROR(SUMIFS(Payments!$E$5:$E$504,Payments!$D$5:$D$504,A263,Payments!$C$5:$C$504,"Out"),"")</f>
        <v>0</v>
      </c>
      <c r="N263" s="9" t="n">
        <f aca="false">IFERROR(L263-M263,"")</f>
        <v>0</v>
      </c>
    </row>
    <row r="264" customFormat="false" ht="15" hidden="false" customHeight="false" outlineLevel="0" collapsed="false">
      <c r="A264" s="10"/>
      <c r="B264" s="12"/>
      <c r="C264" s="10"/>
      <c r="D264" s="14" t="str">
        <f aca="false">IFERROR(IF(C264="","",INDEX(Suppliers!$B$5:$B$504,MATCH(C264,Suppliers!$A$5:$A$504,0))),"")</f>
        <v/>
      </c>
      <c r="E264" s="10" t="s">
        <v>24</v>
      </c>
      <c r="F264" s="12"/>
      <c r="G264" s="12"/>
      <c r="H264" s="10"/>
      <c r="I264" s="10"/>
      <c r="J264" s="9" t="n">
        <f aca="false">IFERROR(SUMIFS(PurchaseOrderLines!$H$5:$H$504,PurchaseOrderLines!$B$5:$B$504,A264),"")</f>
        <v>0</v>
      </c>
      <c r="K264" s="9" t="n">
        <f aca="false">IFERROR(SUMIFS(PurchaseOrderLines!$I$5:$I$504,PurchaseOrderLines!$B$5:$B$504,A264),"")</f>
        <v>0</v>
      </c>
      <c r="L264" s="9" t="n">
        <f aca="false">IFERROR(J264+K264,"")</f>
        <v>0</v>
      </c>
      <c r="M264" s="9" t="n">
        <f aca="false">IFERROR(SUMIFS(Payments!$E$5:$E$504,Payments!$D$5:$D$504,A264,Payments!$C$5:$C$504,"Out"),"")</f>
        <v>0</v>
      </c>
      <c r="N264" s="9" t="n">
        <f aca="false">IFERROR(L264-M264,"")</f>
        <v>0</v>
      </c>
    </row>
    <row r="265" customFormat="false" ht="15" hidden="false" customHeight="false" outlineLevel="0" collapsed="false">
      <c r="A265" s="10"/>
      <c r="B265" s="12"/>
      <c r="C265" s="10"/>
      <c r="D265" s="14" t="str">
        <f aca="false">IFERROR(IF(C265="","",INDEX(Suppliers!$B$5:$B$504,MATCH(C265,Suppliers!$A$5:$A$504,0))),"")</f>
        <v/>
      </c>
      <c r="E265" s="10" t="s">
        <v>24</v>
      </c>
      <c r="F265" s="12"/>
      <c r="G265" s="12"/>
      <c r="H265" s="10"/>
      <c r="I265" s="10"/>
      <c r="J265" s="9" t="n">
        <f aca="false">IFERROR(SUMIFS(PurchaseOrderLines!$H$5:$H$504,PurchaseOrderLines!$B$5:$B$504,A265),"")</f>
        <v>0</v>
      </c>
      <c r="K265" s="9" t="n">
        <f aca="false">IFERROR(SUMIFS(PurchaseOrderLines!$I$5:$I$504,PurchaseOrderLines!$B$5:$B$504,A265),"")</f>
        <v>0</v>
      </c>
      <c r="L265" s="9" t="n">
        <f aca="false">IFERROR(J265+K265,"")</f>
        <v>0</v>
      </c>
      <c r="M265" s="9" t="n">
        <f aca="false">IFERROR(SUMIFS(Payments!$E$5:$E$504,Payments!$D$5:$D$504,A265,Payments!$C$5:$C$504,"Out"),"")</f>
        <v>0</v>
      </c>
      <c r="N265" s="9" t="n">
        <f aca="false">IFERROR(L265-M265,"")</f>
        <v>0</v>
      </c>
    </row>
    <row r="266" customFormat="false" ht="15" hidden="false" customHeight="false" outlineLevel="0" collapsed="false">
      <c r="A266" s="10"/>
      <c r="B266" s="12"/>
      <c r="C266" s="10"/>
      <c r="D266" s="14" t="str">
        <f aca="false">IFERROR(IF(C266="","",INDEX(Suppliers!$B$5:$B$504,MATCH(C266,Suppliers!$A$5:$A$504,0))),"")</f>
        <v/>
      </c>
      <c r="E266" s="10" t="s">
        <v>24</v>
      </c>
      <c r="F266" s="12"/>
      <c r="G266" s="12"/>
      <c r="H266" s="10"/>
      <c r="I266" s="10"/>
      <c r="J266" s="9" t="n">
        <f aca="false">IFERROR(SUMIFS(PurchaseOrderLines!$H$5:$H$504,PurchaseOrderLines!$B$5:$B$504,A266),"")</f>
        <v>0</v>
      </c>
      <c r="K266" s="9" t="n">
        <f aca="false">IFERROR(SUMIFS(PurchaseOrderLines!$I$5:$I$504,PurchaseOrderLines!$B$5:$B$504,A266),"")</f>
        <v>0</v>
      </c>
      <c r="L266" s="9" t="n">
        <f aca="false">IFERROR(J266+K266,"")</f>
        <v>0</v>
      </c>
      <c r="M266" s="9" t="n">
        <f aca="false">IFERROR(SUMIFS(Payments!$E$5:$E$504,Payments!$D$5:$D$504,A266,Payments!$C$5:$C$504,"Out"),"")</f>
        <v>0</v>
      </c>
      <c r="N266" s="9" t="n">
        <f aca="false">IFERROR(L266-M266,"")</f>
        <v>0</v>
      </c>
    </row>
    <row r="267" customFormat="false" ht="15" hidden="false" customHeight="false" outlineLevel="0" collapsed="false">
      <c r="A267" s="10"/>
      <c r="B267" s="12"/>
      <c r="C267" s="10"/>
      <c r="D267" s="14" t="str">
        <f aca="false">IFERROR(IF(C267="","",INDEX(Suppliers!$B$5:$B$504,MATCH(C267,Suppliers!$A$5:$A$504,0))),"")</f>
        <v/>
      </c>
      <c r="E267" s="10" t="s">
        <v>24</v>
      </c>
      <c r="F267" s="12"/>
      <c r="G267" s="12"/>
      <c r="H267" s="10"/>
      <c r="I267" s="10"/>
      <c r="J267" s="9" t="n">
        <f aca="false">IFERROR(SUMIFS(PurchaseOrderLines!$H$5:$H$504,PurchaseOrderLines!$B$5:$B$504,A267),"")</f>
        <v>0</v>
      </c>
      <c r="K267" s="9" t="n">
        <f aca="false">IFERROR(SUMIFS(PurchaseOrderLines!$I$5:$I$504,PurchaseOrderLines!$B$5:$B$504,A267),"")</f>
        <v>0</v>
      </c>
      <c r="L267" s="9" t="n">
        <f aca="false">IFERROR(J267+K267,"")</f>
        <v>0</v>
      </c>
      <c r="M267" s="9" t="n">
        <f aca="false">IFERROR(SUMIFS(Payments!$E$5:$E$504,Payments!$D$5:$D$504,A267,Payments!$C$5:$C$504,"Out"),"")</f>
        <v>0</v>
      </c>
      <c r="N267" s="9" t="n">
        <f aca="false">IFERROR(L267-M267,"")</f>
        <v>0</v>
      </c>
    </row>
    <row r="268" customFormat="false" ht="15" hidden="false" customHeight="false" outlineLevel="0" collapsed="false">
      <c r="A268" s="10"/>
      <c r="B268" s="12"/>
      <c r="C268" s="10"/>
      <c r="D268" s="14" t="str">
        <f aca="false">IFERROR(IF(C268="","",INDEX(Suppliers!$B$5:$B$504,MATCH(C268,Suppliers!$A$5:$A$504,0))),"")</f>
        <v/>
      </c>
      <c r="E268" s="10" t="s">
        <v>24</v>
      </c>
      <c r="F268" s="12"/>
      <c r="G268" s="12"/>
      <c r="H268" s="10"/>
      <c r="I268" s="10"/>
      <c r="J268" s="9" t="n">
        <f aca="false">IFERROR(SUMIFS(PurchaseOrderLines!$H$5:$H$504,PurchaseOrderLines!$B$5:$B$504,A268),"")</f>
        <v>0</v>
      </c>
      <c r="K268" s="9" t="n">
        <f aca="false">IFERROR(SUMIFS(PurchaseOrderLines!$I$5:$I$504,PurchaseOrderLines!$B$5:$B$504,A268),"")</f>
        <v>0</v>
      </c>
      <c r="L268" s="9" t="n">
        <f aca="false">IFERROR(J268+K268,"")</f>
        <v>0</v>
      </c>
      <c r="M268" s="9" t="n">
        <f aca="false">IFERROR(SUMIFS(Payments!$E$5:$E$504,Payments!$D$5:$D$504,A268,Payments!$C$5:$C$504,"Out"),"")</f>
        <v>0</v>
      </c>
      <c r="N268" s="9" t="n">
        <f aca="false">IFERROR(L268-M268,"")</f>
        <v>0</v>
      </c>
    </row>
    <row r="269" customFormat="false" ht="15" hidden="false" customHeight="false" outlineLevel="0" collapsed="false">
      <c r="A269" s="10"/>
      <c r="B269" s="12"/>
      <c r="C269" s="10"/>
      <c r="D269" s="14" t="str">
        <f aca="false">IFERROR(IF(C269="","",INDEX(Suppliers!$B$5:$B$504,MATCH(C269,Suppliers!$A$5:$A$504,0))),"")</f>
        <v/>
      </c>
      <c r="E269" s="10" t="s">
        <v>24</v>
      </c>
      <c r="F269" s="12"/>
      <c r="G269" s="12"/>
      <c r="H269" s="10"/>
      <c r="I269" s="10"/>
      <c r="J269" s="9" t="n">
        <f aca="false">IFERROR(SUMIFS(PurchaseOrderLines!$H$5:$H$504,PurchaseOrderLines!$B$5:$B$504,A269),"")</f>
        <v>0</v>
      </c>
      <c r="K269" s="9" t="n">
        <f aca="false">IFERROR(SUMIFS(PurchaseOrderLines!$I$5:$I$504,PurchaseOrderLines!$B$5:$B$504,A269),"")</f>
        <v>0</v>
      </c>
      <c r="L269" s="9" t="n">
        <f aca="false">IFERROR(J269+K269,"")</f>
        <v>0</v>
      </c>
      <c r="M269" s="9" t="n">
        <f aca="false">IFERROR(SUMIFS(Payments!$E$5:$E$504,Payments!$D$5:$D$504,A269,Payments!$C$5:$C$504,"Out"),"")</f>
        <v>0</v>
      </c>
      <c r="N269" s="9" t="n">
        <f aca="false">IFERROR(L269-M269,"")</f>
        <v>0</v>
      </c>
    </row>
    <row r="270" customFormat="false" ht="15" hidden="false" customHeight="false" outlineLevel="0" collapsed="false">
      <c r="A270" s="10"/>
      <c r="B270" s="12"/>
      <c r="C270" s="10"/>
      <c r="D270" s="14" t="str">
        <f aca="false">IFERROR(IF(C270="","",INDEX(Suppliers!$B$5:$B$504,MATCH(C270,Suppliers!$A$5:$A$504,0))),"")</f>
        <v/>
      </c>
      <c r="E270" s="10" t="s">
        <v>24</v>
      </c>
      <c r="F270" s="12"/>
      <c r="G270" s="12"/>
      <c r="H270" s="10"/>
      <c r="I270" s="10"/>
      <c r="J270" s="9" t="n">
        <f aca="false">IFERROR(SUMIFS(PurchaseOrderLines!$H$5:$H$504,PurchaseOrderLines!$B$5:$B$504,A270),"")</f>
        <v>0</v>
      </c>
      <c r="K270" s="9" t="n">
        <f aca="false">IFERROR(SUMIFS(PurchaseOrderLines!$I$5:$I$504,PurchaseOrderLines!$B$5:$B$504,A270),"")</f>
        <v>0</v>
      </c>
      <c r="L270" s="9" t="n">
        <f aca="false">IFERROR(J270+K270,"")</f>
        <v>0</v>
      </c>
      <c r="M270" s="9" t="n">
        <f aca="false">IFERROR(SUMIFS(Payments!$E$5:$E$504,Payments!$D$5:$D$504,A270,Payments!$C$5:$C$504,"Out"),"")</f>
        <v>0</v>
      </c>
      <c r="N270" s="9" t="n">
        <f aca="false">IFERROR(L270-M270,"")</f>
        <v>0</v>
      </c>
    </row>
    <row r="271" customFormat="false" ht="15" hidden="false" customHeight="false" outlineLevel="0" collapsed="false">
      <c r="A271" s="10"/>
      <c r="B271" s="12"/>
      <c r="C271" s="10"/>
      <c r="D271" s="14" t="str">
        <f aca="false">IFERROR(IF(C271="","",INDEX(Suppliers!$B$5:$B$504,MATCH(C271,Suppliers!$A$5:$A$504,0))),"")</f>
        <v/>
      </c>
      <c r="E271" s="10" t="s">
        <v>24</v>
      </c>
      <c r="F271" s="12"/>
      <c r="G271" s="12"/>
      <c r="H271" s="10"/>
      <c r="I271" s="10"/>
      <c r="J271" s="9" t="n">
        <f aca="false">IFERROR(SUMIFS(PurchaseOrderLines!$H$5:$H$504,PurchaseOrderLines!$B$5:$B$504,A271),"")</f>
        <v>0</v>
      </c>
      <c r="K271" s="9" t="n">
        <f aca="false">IFERROR(SUMIFS(PurchaseOrderLines!$I$5:$I$504,PurchaseOrderLines!$B$5:$B$504,A271),"")</f>
        <v>0</v>
      </c>
      <c r="L271" s="9" t="n">
        <f aca="false">IFERROR(J271+K271,"")</f>
        <v>0</v>
      </c>
      <c r="M271" s="9" t="n">
        <f aca="false">IFERROR(SUMIFS(Payments!$E$5:$E$504,Payments!$D$5:$D$504,A271,Payments!$C$5:$C$504,"Out"),"")</f>
        <v>0</v>
      </c>
      <c r="N271" s="9" t="n">
        <f aca="false">IFERROR(L271-M271,"")</f>
        <v>0</v>
      </c>
    </row>
    <row r="272" customFormat="false" ht="15" hidden="false" customHeight="false" outlineLevel="0" collapsed="false">
      <c r="A272" s="10"/>
      <c r="B272" s="12"/>
      <c r="C272" s="10"/>
      <c r="D272" s="14" t="str">
        <f aca="false">IFERROR(IF(C272="","",INDEX(Suppliers!$B$5:$B$504,MATCH(C272,Suppliers!$A$5:$A$504,0))),"")</f>
        <v/>
      </c>
      <c r="E272" s="10" t="s">
        <v>24</v>
      </c>
      <c r="F272" s="12"/>
      <c r="G272" s="12"/>
      <c r="H272" s="10"/>
      <c r="I272" s="10"/>
      <c r="J272" s="9" t="n">
        <f aca="false">IFERROR(SUMIFS(PurchaseOrderLines!$H$5:$H$504,PurchaseOrderLines!$B$5:$B$504,A272),"")</f>
        <v>0</v>
      </c>
      <c r="K272" s="9" t="n">
        <f aca="false">IFERROR(SUMIFS(PurchaseOrderLines!$I$5:$I$504,PurchaseOrderLines!$B$5:$B$504,A272),"")</f>
        <v>0</v>
      </c>
      <c r="L272" s="9" t="n">
        <f aca="false">IFERROR(J272+K272,"")</f>
        <v>0</v>
      </c>
      <c r="M272" s="9" t="n">
        <f aca="false">IFERROR(SUMIFS(Payments!$E$5:$E$504,Payments!$D$5:$D$504,A272,Payments!$C$5:$C$504,"Out"),"")</f>
        <v>0</v>
      </c>
      <c r="N272" s="9" t="n">
        <f aca="false">IFERROR(L272-M272,"")</f>
        <v>0</v>
      </c>
    </row>
    <row r="273" customFormat="false" ht="15" hidden="false" customHeight="false" outlineLevel="0" collapsed="false">
      <c r="A273" s="10"/>
      <c r="B273" s="12"/>
      <c r="C273" s="10"/>
      <c r="D273" s="14" t="str">
        <f aca="false">IFERROR(IF(C273="","",INDEX(Suppliers!$B$5:$B$504,MATCH(C273,Suppliers!$A$5:$A$504,0))),"")</f>
        <v/>
      </c>
      <c r="E273" s="10" t="s">
        <v>24</v>
      </c>
      <c r="F273" s="12"/>
      <c r="G273" s="12"/>
      <c r="H273" s="10"/>
      <c r="I273" s="10"/>
      <c r="J273" s="9" t="n">
        <f aca="false">IFERROR(SUMIFS(PurchaseOrderLines!$H$5:$H$504,PurchaseOrderLines!$B$5:$B$504,A273),"")</f>
        <v>0</v>
      </c>
      <c r="K273" s="9" t="n">
        <f aca="false">IFERROR(SUMIFS(PurchaseOrderLines!$I$5:$I$504,PurchaseOrderLines!$B$5:$B$504,A273),"")</f>
        <v>0</v>
      </c>
      <c r="L273" s="9" t="n">
        <f aca="false">IFERROR(J273+K273,"")</f>
        <v>0</v>
      </c>
      <c r="M273" s="9" t="n">
        <f aca="false">IFERROR(SUMIFS(Payments!$E$5:$E$504,Payments!$D$5:$D$504,A273,Payments!$C$5:$C$504,"Out"),"")</f>
        <v>0</v>
      </c>
      <c r="N273" s="9" t="n">
        <f aca="false">IFERROR(L273-M273,"")</f>
        <v>0</v>
      </c>
    </row>
    <row r="274" customFormat="false" ht="15" hidden="false" customHeight="false" outlineLevel="0" collapsed="false">
      <c r="A274" s="10"/>
      <c r="B274" s="12"/>
      <c r="C274" s="10"/>
      <c r="D274" s="14" t="str">
        <f aca="false">IFERROR(IF(C274="","",INDEX(Suppliers!$B$5:$B$504,MATCH(C274,Suppliers!$A$5:$A$504,0))),"")</f>
        <v/>
      </c>
      <c r="E274" s="10" t="s">
        <v>24</v>
      </c>
      <c r="F274" s="12"/>
      <c r="G274" s="12"/>
      <c r="H274" s="10"/>
      <c r="I274" s="10"/>
      <c r="J274" s="9" t="n">
        <f aca="false">IFERROR(SUMIFS(PurchaseOrderLines!$H$5:$H$504,PurchaseOrderLines!$B$5:$B$504,A274),"")</f>
        <v>0</v>
      </c>
      <c r="K274" s="9" t="n">
        <f aca="false">IFERROR(SUMIFS(PurchaseOrderLines!$I$5:$I$504,PurchaseOrderLines!$B$5:$B$504,A274),"")</f>
        <v>0</v>
      </c>
      <c r="L274" s="9" t="n">
        <f aca="false">IFERROR(J274+K274,"")</f>
        <v>0</v>
      </c>
      <c r="M274" s="9" t="n">
        <f aca="false">IFERROR(SUMIFS(Payments!$E$5:$E$504,Payments!$D$5:$D$504,A274,Payments!$C$5:$C$504,"Out"),"")</f>
        <v>0</v>
      </c>
      <c r="N274" s="9" t="n">
        <f aca="false">IFERROR(L274-M274,"")</f>
        <v>0</v>
      </c>
    </row>
    <row r="275" customFormat="false" ht="15" hidden="false" customHeight="false" outlineLevel="0" collapsed="false">
      <c r="A275" s="10"/>
      <c r="B275" s="12"/>
      <c r="C275" s="10"/>
      <c r="D275" s="14" t="str">
        <f aca="false">IFERROR(IF(C275="","",INDEX(Suppliers!$B$5:$B$504,MATCH(C275,Suppliers!$A$5:$A$504,0))),"")</f>
        <v/>
      </c>
      <c r="E275" s="10" t="s">
        <v>24</v>
      </c>
      <c r="F275" s="12"/>
      <c r="G275" s="12"/>
      <c r="H275" s="10"/>
      <c r="I275" s="10"/>
      <c r="J275" s="9" t="n">
        <f aca="false">IFERROR(SUMIFS(PurchaseOrderLines!$H$5:$H$504,PurchaseOrderLines!$B$5:$B$504,A275),"")</f>
        <v>0</v>
      </c>
      <c r="K275" s="9" t="n">
        <f aca="false">IFERROR(SUMIFS(PurchaseOrderLines!$I$5:$I$504,PurchaseOrderLines!$B$5:$B$504,A275),"")</f>
        <v>0</v>
      </c>
      <c r="L275" s="9" t="n">
        <f aca="false">IFERROR(J275+K275,"")</f>
        <v>0</v>
      </c>
      <c r="M275" s="9" t="n">
        <f aca="false">IFERROR(SUMIFS(Payments!$E$5:$E$504,Payments!$D$5:$D$504,A275,Payments!$C$5:$C$504,"Out"),"")</f>
        <v>0</v>
      </c>
      <c r="N275" s="9" t="n">
        <f aca="false">IFERROR(L275-M275,"")</f>
        <v>0</v>
      </c>
    </row>
    <row r="276" customFormat="false" ht="15" hidden="false" customHeight="false" outlineLevel="0" collapsed="false">
      <c r="A276" s="10"/>
      <c r="B276" s="12"/>
      <c r="C276" s="10"/>
      <c r="D276" s="14" t="str">
        <f aca="false">IFERROR(IF(C276="","",INDEX(Suppliers!$B$5:$B$504,MATCH(C276,Suppliers!$A$5:$A$504,0))),"")</f>
        <v/>
      </c>
      <c r="E276" s="10" t="s">
        <v>24</v>
      </c>
      <c r="F276" s="12"/>
      <c r="G276" s="12"/>
      <c r="H276" s="10"/>
      <c r="I276" s="10"/>
      <c r="J276" s="9" t="n">
        <f aca="false">IFERROR(SUMIFS(PurchaseOrderLines!$H$5:$H$504,PurchaseOrderLines!$B$5:$B$504,A276),"")</f>
        <v>0</v>
      </c>
      <c r="K276" s="9" t="n">
        <f aca="false">IFERROR(SUMIFS(PurchaseOrderLines!$I$5:$I$504,PurchaseOrderLines!$B$5:$B$504,A276),"")</f>
        <v>0</v>
      </c>
      <c r="L276" s="9" t="n">
        <f aca="false">IFERROR(J276+K276,"")</f>
        <v>0</v>
      </c>
      <c r="M276" s="9" t="n">
        <f aca="false">IFERROR(SUMIFS(Payments!$E$5:$E$504,Payments!$D$5:$D$504,A276,Payments!$C$5:$C$504,"Out"),"")</f>
        <v>0</v>
      </c>
      <c r="N276" s="9" t="n">
        <f aca="false">IFERROR(L276-M276,"")</f>
        <v>0</v>
      </c>
    </row>
    <row r="277" customFormat="false" ht="15" hidden="false" customHeight="false" outlineLevel="0" collapsed="false">
      <c r="A277" s="10"/>
      <c r="B277" s="12"/>
      <c r="C277" s="10"/>
      <c r="D277" s="14" t="str">
        <f aca="false">IFERROR(IF(C277="","",INDEX(Suppliers!$B$5:$B$504,MATCH(C277,Suppliers!$A$5:$A$504,0))),"")</f>
        <v/>
      </c>
      <c r="E277" s="10" t="s">
        <v>24</v>
      </c>
      <c r="F277" s="12"/>
      <c r="G277" s="12"/>
      <c r="H277" s="10"/>
      <c r="I277" s="10"/>
      <c r="J277" s="9" t="n">
        <f aca="false">IFERROR(SUMIFS(PurchaseOrderLines!$H$5:$H$504,PurchaseOrderLines!$B$5:$B$504,A277),"")</f>
        <v>0</v>
      </c>
      <c r="K277" s="9" t="n">
        <f aca="false">IFERROR(SUMIFS(PurchaseOrderLines!$I$5:$I$504,PurchaseOrderLines!$B$5:$B$504,A277),"")</f>
        <v>0</v>
      </c>
      <c r="L277" s="9" t="n">
        <f aca="false">IFERROR(J277+K277,"")</f>
        <v>0</v>
      </c>
      <c r="M277" s="9" t="n">
        <f aca="false">IFERROR(SUMIFS(Payments!$E$5:$E$504,Payments!$D$5:$D$504,A277,Payments!$C$5:$C$504,"Out"),"")</f>
        <v>0</v>
      </c>
      <c r="N277" s="9" t="n">
        <f aca="false">IFERROR(L277-M277,"")</f>
        <v>0</v>
      </c>
    </row>
    <row r="278" customFormat="false" ht="15" hidden="false" customHeight="false" outlineLevel="0" collapsed="false">
      <c r="A278" s="10"/>
      <c r="B278" s="12"/>
      <c r="C278" s="10"/>
      <c r="D278" s="14" t="str">
        <f aca="false">IFERROR(IF(C278="","",INDEX(Suppliers!$B$5:$B$504,MATCH(C278,Suppliers!$A$5:$A$504,0))),"")</f>
        <v/>
      </c>
      <c r="E278" s="10" t="s">
        <v>24</v>
      </c>
      <c r="F278" s="12"/>
      <c r="G278" s="12"/>
      <c r="H278" s="10"/>
      <c r="I278" s="10"/>
      <c r="J278" s="9" t="n">
        <f aca="false">IFERROR(SUMIFS(PurchaseOrderLines!$H$5:$H$504,PurchaseOrderLines!$B$5:$B$504,A278),"")</f>
        <v>0</v>
      </c>
      <c r="K278" s="9" t="n">
        <f aca="false">IFERROR(SUMIFS(PurchaseOrderLines!$I$5:$I$504,PurchaseOrderLines!$B$5:$B$504,A278),"")</f>
        <v>0</v>
      </c>
      <c r="L278" s="9" t="n">
        <f aca="false">IFERROR(J278+K278,"")</f>
        <v>0</v>
      </c>
      <c r="M278" s="9" t="n">
        <f aca="false">IFERROR(SUMIFS(Payments!$E$5:$E$504,Payments!$D$5:$D$504,A278,Payments!$C$5:$C$504,"Out"),"")</f>
        <v>0</v>
      </c>
      <c r="N278" s="9" t="n">
        <f aca="false">IFERROR(L278-M278,"")</f>
        <v>0</v>
      </c>
    </row>
    <row r="279" customFormat="false" ht="15" hidden="false" customHeight="false" outlineLevel="0" collapsed="false">
      <c r="A279" s="10"/>
      <c r="B279" s="12"/>
      <c r="C279" s="10"/>
      <c r="D279" s="14" t="str">
        <f aca="false">IFERROR(IF(C279="","",INDEX(Suppliers!$B$5:$B$504,MATCH(C279,Suppliers!$A$5:$A$504,0))),"")</f>
        <v/>
      </c>
      <c r="E279" s="10" t="s">
        <v>24</v>
      </c>
      <c r="F279" s="12"/>
      <c r="G279" s="12"/>
      <c r="H279" s="10"/>
      <c r="I279" s="10"/>
      <c r="J279" s="9" t="n">
        <f aca="false">IFERROR(SUMIFS(PurchaseOrderLines!$H$5:$H$504,PurchaseOrderLines!$B$5:$B$504,A279),"")</f>
        <v>0</v>
      </c>
      <c r="K279" s="9" t="n">
        <f aca="false">IFERROR(SUMIFS(PurchaseOrderLines!$I$5:$I$504,PurchaseOrderLines!$B$5:$B$504,A279),"")</f>
        <v>0</v>
      </c>
      <c r="L279" s="9" t="n">
        <f aca="false">IFERROR(J279+K279,"")</f>
        <v>0</v>
      </c>
      <c r="M279" s="9" t="n">
        <f aca="false">IFERROR(SUMIFS(Payments!$E$5:$E$504,Payments!$D$5:$D$504,A279,Payments!$C$5:$C$504,"Out"),"")</f>
        <v>0</v>
      </c>
      <c r="N279" s="9" t="n">
        <f aca="false">IFERROR(L279-M279,"")</f>
        <v>0</v>
      </c>
    </row>
    <row r="280" customFormat="false" ht="15" hidden="false" customHeight="false" outlineLevel="0" collapsed="false">
      <c r="A280" s="10"/>
      <c r="B280" s="12"/>
      <c r="C280" s="10"/>
      <c r="D280" s="14" t="str">
        <f aca="false">IFERROR(IF(C280="","",INDEX(Suppliers!$B$5:$B$504,MATCH(C280,Suppliers!$A$5:$A$504,0))),"")</f>
        <v/>
      </c>
      <c r="E280" s="10" t="s">
        <v>24</v>
      </c>
      <c r="F280" s="12"/>
      <c r="G280" s="12"/>
      <c r="H280" s="10"/>
      <c r="I280" s="10"/>
      <c r="J280" s="9" t="n">
        <f aca="false">IFERROR(SUMIFS(PurchaseOrderLines!$H$5:$H$504,PurchaseOrderLines!$B$5:$B$504,A280),"")</f>
        <v>0</v>
      </c>
      <c r="K280" s="9" t="n">
        <f aca="false">IFERROR(SUMIFS(PurchaseOrderLines!$I$5:$I$504,PurchaseOrderLines!$B$5:$B$504,A280),"")</f>
        <v>0</v>
      </c>
      <c r="L280" s="9" t="n">
        <f aca="false">IFERROR(J280+K280,"")</f>
        <v>0</v>
      </c>
      <c r="M280" s="9" t="n">
        <f aca="false">IFERROR(SUMIFS(Payments!$E$5:$E$504,Payments!$D$5:$D$504,A280,Payments!$C$5:$C$504,"Out"),"")</f>
        <v>0</v>
      </c>
      <c r="N280" s="9" t="n">
        <f aca="false">IFERROR(L280-M280,"")</f>
        <v>0</v>
      </c>
    </row>
    <row r="281" customFormat="false" ht="15" hidden="false" customHeight="false" outlineLevel="0" collapsed="false">
      <c r="A281" s="10"/>
      <c r="B281" s="12"/>
      <c r="C281" s="10"/>
      <c r="D281" s="14" t="str">
        <f aca="false">IFERROR(IF(C281="","",INDEX(Suppliers!$B$5:$B$504,MATCH(C281,Suppliers!$A$5:$A$504,0))),"")</f>
        <v/>
      </c>
      <c r="E281" s="10" t="s">
        <v>24</v>
      </c>
      <c r="F281" s="12"/>
      <c r="G281" s="12"/>
      <c r="H281" s="10"/>
      <c r="I281" s="10"/>
      <c r="J281" s="9" t="n">
        <f aca="false">IFERROR(SUMIFS(PurchaseOrderLines!$H$5:$H$504,PurchaseOrderLines!$B$5:$B$504,A281),"")</f>
        <v>0</v>
      </c>
      <c r="K281" s="9" t="n">
        <f aca="false">IFERROR(SUMIFS(PurchaseOrderLines!$I$5:$I$504,PurchaseOrderLines!$B$5:$B$504,A281),"")</f>
        <v>0</v>
      </c>
      <c r="L281" s="9" t="n">
        <f aca="false">IFERROR(J281+K281,"")</f>
        <v>0</v>
      </c>
      <c r="M281" s="9" t="n">
        <f aca="false">IFERROR(SUMIFS(Payments!$E$5:$E$504,Payments!$D$5:$D$504,A281,Payments!$C$5:$C$504,"Out"),"")</f>
        <v>0</v>
      </c>
      <c r="N281" s="9" t="n">
        <f aca="false">IFERROR(L281-M281,"")</f>
        <v>0</v>
      </c>
    </row>
    <row r="282" customFormat="false" ht="15" hidden="false" customHeight="false" outlineLevel="0" collapsed="false">
      <c r="A282" s="10"/>
      <c r="B282" s="12"/>
      <c r="C282" s="10"/>
      <c r="D282" s="14" t="str">
        <f aca="false">IFERROR(IF(C282="","",INDEX(Suppliers!$B$5:$B$504,MATCH(C282,Suppliers!$A$5:$A$504,0))),"")</f>
        <v/>
      </c>
      <c r="E282" s="10" t="s">
        <v>24</v>
      </c>
      <c r="F282" s="12"/>
      <c r="G282" s="12"/>
      <c r="H282" s="10"/>
      <c r="I282" s="10"/>
      <c r="J282" s="9" t="n">
        <f aca="false">IFERROR(SUMIFS(PurchaseOrderLines!$H$5:$H$504,PurchaseOrderLines!$B$5:$B$504,A282),"")</f>
        <v>0</v>
      </c>
      <c r="K282" s="9" t="n">
        <f aca="false">IFERROR(SUMIFS(PurchaseOrderLines!$I$5:$I$504,PurchaseOrderLines!$B$5:$B$504,A282),"")</f>
        <v>0</v>
      </c>
      <c r="L282" s="9" t="n">
        <f aca="false">IFERROR(J282+K282,"")</f>
        <v>0</v>
      </c>
      <c r="M282" s="9" t="n">
        <f aca="false">IFERROR(SUMIFS(Payments!$E$5:$E$504,Payments!$D$5:$D$504,A282,Payments!$C$5:$C$504,"Out"),"")</f>
        <v>0</v>
      </c>
      <c r="N282" s="9" t="n">
        <f aca="false">IFERROR(L282-M282,"")</f>
        <v>0</v>
      </c>
    </row>
    <row r="283" customFormat="false" ht="15" hidden="false" customHeight="false" outlineLevel="0" collapsed="false">
      <c r="A283" s="10"/>
      <c r="B283" s="12"/>
      <c r="C283" s="10"/>
      <c r="D283" s="14" t="str">
        <f aca="false">IFERROR(IF(C283="","",INDEX(Suppliers!$B$5:$B$504,MATCH(C283,Suppliers!$A$5:$A$504,0))),"")</f>
        <v/>
      </c>
      <c r="E283" s="10" t="s">
        <v>24</v>
      </c>
      <c r="F283" s="12"/>
      <c r="G283" s="12"/>
      <c r="H283" s="10"/>
      <c r="I283" s="10"/>
      <c r="J283" s="9" t="n">
        <f aca="false">IFERROR(SUMIFS(PurchaseOrderLines!$H$5:$H$504,PurchaseOrderLines!$B$5:$B$504,A283),"")</f>
        <v>0</v>
      </c>
      <c r="K283" s="9" t="n">
        <f aca="false">IFERROR(SUMIFS(PurchaseOrderLines!$I$5:$I$504,PurchaseOrderLines!$B$5:$B$504,A283),"")</f>
        <v>0</v>
      </c>
      <c r="L283" s="9" t="n">
        <f aca="false">IFERROR(J283+K283,"")</f>
        <v>0</v>
      </c>
      <c r="M283" s="9" t="n">
        <f aca="false">IFERROR(SUMIFS(Payments!$E$5:$E$504,Payments!$D$5:$D$504,A283,Payments!$C$5:$C$504,"Out"),"")</f>
        <v>0</v>
      </c>
      <c r="N283" s="9" t="n">
        <f aca="false">IFERROR(L283-M283,"")</f>
        <v>0</v>
      </c>
    </row>
    <row r="284" customFormat="false" ht="15" hidden="false" customHeight="false" outlineLevel="0" collapsed="false">
      <c r="A284" s="10"/>
      <c r="B284" s="12"/>
      <c r="C284" s="10"/>
      <c r="D284" s="14" t="str">
        <f aca="false">IFERROR(IF(C284="","",INDEX(Suppliers!$B$5:$B$504,MATCH(C284,Suppliers!$A$5:$A$504,0))),"")</f>
        <v/>
      </c>
      <c r="E284" s="10" t="s">
        <v>24</v>
      </c>
      <c r="F284" s="12"/>
      <c r="G284" s="12"/>
      <c r="H284" s="10"/>
      <c r="I284" s="10"/>
      <c r="J284" s="9" t="n">
        <f aca="false">IFERROR(SUMIFS(PurchaseOrderLines!$H$5:$H$504,PurchaseOrderLines!$B$5:$B$504,A284),"")</f>
        <v>0</v>
      </c>
      <c r="K284" s="9" t="n">
        <f aca="false">IFERROR(SUMIFS(PurchaseOrderLines!$I$5:$I$504,PurchaseOrderLines!$B$5:$B$504,A284),"")</f>
        <v>0</v>
      </c>
      <c r="L284" s="9" t="n">
        <f aca="false">IFERROR(J284+K284,"")</f>
        <v>0</v>
      </c>
      <c r="M284" s="9" t="n">
        <f aca="false">IFERROR(SUMIFS(Payments!$E$5:$E$504,Payments!$D$5:$D$504,A284,Payments!$C$5:$C$504,"Out"),"")</f>
        <v>0</v>
      </c>
      <c r="N284" s="9" t="n">
        <f aca="false">IFERROR(L284-M284,"")</f>
        <v>0</v>
      </c>
    </row>
    <row r="285" customFormat="false" ht="15" hidden="false" customHeight="false" outlineLevel="0" collapsed="false">
      <c r="A285" s="10"/>
      <c r="B285" s="12"/>
      <c r="C285" s="10"/>
      <c r="D285" s="14" t="str">
        <f aca="false">IFERROR(IF(C285="","",INDEX(Suppliers!$B$5:$B$504,MATCH(C285,Suppliers!$A$5:$A$504,0))),"")</f>
        <v/>
      </c>
      <c r="E285" s="10" t="s">
        <v>24</v>
      </c>
      <c r="F285" s="12"/>
      <c r="G285" s="12"/>
      <c r="H285" s="10"/>
      <c r="I285" s="10"/>
      <c r="J285" s="9" t="n">
        <f aca="false">IFERROR(SUMIFS(PurchaseOrderLines!$H$5:$H$504,PurchaseOrderLines!$B$5:$B$504,A285),"")</f>
        <v>0</v>
      </c>
      <c r="K285" s="9" t="n">
        <f aca="false">IFERROR(SUMIFS(PurchaseOrderLines!$I$5:$I$504,PurchaseOrderLines!$B$5:$B$504,A285),"")</f>
        <v>0</v>
      </c>
      <c r="L285" s="9" t="n">
        <f aca="false">IFERROR(J285+K285,"")</f>
        <v>0</v>
      </c>
      <c r="M285" s="9" t="n">
        <f aca="false">IFERROR(SUMIFS(Payments!$E$5:$E$504,Payments!$D$5:$D$504,A285,Payments!$C$5:$C$504,"Out"),"")</f>
        <v>0</v>
      </c>
      <c r="N285" s="9" t="n">
        <f aca="false">IFERROR(L285-M285,"")</f>
        <v>0</v>
      </c>
    </row>
    <row r="286" customFormat="false" ht="15" hidden="false" customHeight="false" outlineLevel="0" collapsed="false">
      <c r="A286" s="10"/>
      <c r="B286" s="12"/>
      <c r="C286" s="10"/>
      <c r="D286" s="14" t="str">
        <f aca="false">IFERROR(IF(C286="","",INDEX(Suppliers!$B$5:$B$504,MATCH(C286,Suppliers!$A$5:$A$504,0))),"")</f>
        <v/>
      </c>
      <c r="E286" s="10" t="s">
        <v>24</v>
      </c>
      <c r="F286" s="12"/>
      <c r="G286" s="12"/>
      <c r="H286" s="10"/>
      <c r="I286" s="10"/>
      <c r="J286" s="9" t="n">
        <f aca="false">IFERROR(SUMIFS(PurchaseOrderLines!$H$5:$H$504,PurchaseOrderLines!$B$5:$B$504,A286),"")</f>
        <v>0</v>
      </c>
      <c r="K286" s="9" t="n">
        <f aca="false">IFERROR(SUMIFS(PurchaseOrderLines!$I$5:$I$504,PurchaseOrderLines!$B$5:$B$504,A286),"")</f>
        <v>0</v>
      </c>
      <c r="L286" s="9" t="n">
        <f aca="false">IFERROR(J286+K286,"")</f>
        <v>0</v>
      </c>
      <c r="M286" s="9" t="n">
        <f aca="false">IFERROR(SUMIFS(Payments!$E$5:$E$504,Payments!$D$5:$D$504,A286,Payments!$C$5:$C$504,"Out"),"")</f>
        <v>0</v>
      </c>
      <c r="N286" s="9" t="n">
        <f aca="false">IFERROR(L286-M286,"")</f>
        <v>0</v>
      </c>
    </row>
    <row r="287" customFormat="false" ht="15" hidden="false" customHeight="false" outlineLevel="0" collapsed="false">
      <c r="A287" s="10"/>
      <c r="B287" s="12"/>
      <c r="C287" s="10"/>
      <c r="D287" s="14" t="str">
        <f aca="false">IFERROR(IF(C287="","",INDEX(Suppliers!$B$5:$B$504,MATCH(C287,Suppliers!$A$5:$A$504,0))),"")</f>
        <v/>
      </c>
      <c r="E287" s="10" t="s">
        <v>24</v>
      </c>
      <c r="F287" s="12"/>
      <c r="G287" s="12"/>
      <c r="H287" s="10"/>
      <c r="I287" s="10"/>
      <c r="J287" s="9" t="n">
        <f aca="false">IFERROR(SUMIFS(PurchaseOrderLines!$H$5:$H$504,PurchaseOrderLines!$B$5:$B$504,A287),"")</f>
        <v>0</v>
      </c>
      <c r="K287" s="9" t="n">
        <f aca="false">IFERROR(SUMIFS(PurchaseOrderLines!$I$5:$I$504,PurchaseOrderLines!$B$5:$B$504,A287),"")</f>
        <v>0</v>
      </c>
      <c r="L287" s="9" t="n">
        <f aca="false">IFERROR(J287+K287,"")</f>
        <v>0</v>
      </c>
      <c r="M287" s="9" t="n">
        <f aca="false">IFERROR(SUMIFS(Payments!$E$5:$E$504,Payments!$D$5:$D$504,A287,Payments!$C$5:$C$504,"Out"),"")</f>
        <v>0</v>
      </c>
      <c r="N287" s="9" t="n">
        <f aca="false">IFERROR(L287-M287,"")</f>
        <v>0</v>
      </c>
    </row>
    <row r="288" customFormat="false" ht="15" hidden="false" customHeight="false" outlineLevel="0" collapsed="false">
      <c r="A288" s="10"/>
      <c r="B288" s="12"/>
      <c r="C288" s="10"/>
      <c r="D288" s="14" t="str">
        <f aca="false">IFERROR(IF(C288="","",INDEX(Suppliers!$B$5:$B$504,MATCH(C288,Suppliers!$A$5:$A$504,0))),"")</f>
        <v/>
      </c>
      <c r="E288" s="10" t="s">
        <v>24</v>
      </c>
      <c r="F288" s="12"/>
      <c r="G288" s="12"/>
      <c r="H288" s="10"/>
      <c r="I288" s="10"/>
      <c r="J288" s="9" t="n">
        <f aca="false">IFERROR(SUMIFS(PurchaseOrderLines!$H$5:$H$504,PurchaseOrderLines!$B$5:$B$504,A288),"")</f>
        <v>0</v>
      </c>
      <c r="K288" s="9" t="n">
        <f aca="false">IFERROR(SUMIFS(PurchaseOrderLines!$I$5:$I$504,PurchaseOrderLines!$B$5:$B$504,A288),"")</f>
        <v>0</v>
      </c>
      <c r="L288" s="9" t="n">
        <f aca="false">IFERROR(J288+K288,"")</f>
        <v>0</v>
      </c>
      <c r="M288" s="9" t="n">
        <f aca="false">IFERROR(SUMIFS(Payments!$E$5:$E$504,Payments!$D$5:$D$504,A288,Payments!$C$5:$C$504,"Out"),"")</f>
        <v>0</v>
      </c>
      <c r="N288" s="9" t="n">
        <f aca="false">IFERROR(L288-M288,"")</f>
        <v>0</v>
      </c>
    </row>
    <row r="289" customFormat="false" ht="15" hidden="false" customHeight="false" outlineLevel="0" collapsed="false">
      <c r="A289" s="10"/>
      <c r="B289" s="12"/>
      <c r="C289" s="10"/>
      <c r="D289" s="14" t="str">
        <f aca="false">IFERROR(IF(C289="","",INDEX(Suppliers!$B$5:$B$504,MATCH(C289,Suppliers!$A$5:$A$504,0))),"")</f>
        <v/>
      </c>
      <c r="E289" s="10" t="s">
        <v>24</v>
      </c>
      <c r="F289" s="12"/>
      <c r="G289" s="12"/>
      <c r="H289" s="10"/>
      <c r="I289" s="10"/>
      <c r="J289" s="9" t="n">
        <f aca="false">IFERROR(SUMIFS(PurchaseOrderLines!$H$5:$H$504,PurchaseOrderLines!$B$5:$B$504,A289),"")</f>
        <v>0</v>
      </c>
      <c r="K289" s="9" t="n">
        <f aca="false">IFERROR(SUMIFS(PurchaseOrderLines!$I$5:$I$504,PurchaseOrderLines!$B$5:$B$504,A289),"")</f>
        <v>0</v>
      </c>
      <c r="L289" s="9" t="n">
        <f aca="false">IFERROR(J289+K289,"")</f>
        <v>0</v>
      </c>
      <c r="M289" s="9" t="n">
        <f aca="false">IFERROR(SUMIFS(Payments!$E$5:$E$504,Payments!$D$5:$D$504,A289,Payments!$C$5:$C$504,"Out"),"")</f>
        <v>0</v>
      </c>
      <c r="N289" s="9" t="n">
        <f aca="false">IFERROR(L289-M289,"")</f>
        <v>0</v>
      </c>
    </row>
    <row r="290" customFormat="false" ht="15" hidden="false" customHeight="false" outlineLevel="0" collapsed="false">
      <c r="A290" s="10"/>
      <c r="B290" s="12"/>
      <c r="C290" s="10"/>
      <c r="D290" s="14" t="str">
        <f aca="false">IFERROR(IF(C290="","",INDEX(Suppliers!$B$5:$B$504,MATCH(C290,Suppliers!$A$5:$A$504,0))),"")</f>
        <v/>
      </c>
      <c r="E290" s="10" t="s">
        <v>24</v>
      </c>
      <c r="F290" s="12"/>
      <c r="G290" s="12"/>
      <c r="H290" s="10"/>
      <c r="I290" s="10"/>
      <c r="J290" s="9" t="n">
        <f aca="false">IFERROR(SUMIFS(PurchaseOrderLines!$H$5:$H$504,PurchaseOrderLines!$B$5:$B$504,A290),"")</f>
        <v>0</v>
      </c>
      <c r="K290" s="9" t="n">
        <f aca="false">IFERROR(SUMIFS(PurchaseOrderLines!$I$5:$I$504,PurchaseOrderLines!$B$5:$B$504,A290),"")</f>
        <v>0</v>
      </c>
      <c r="L290" s="9" t="n">
        <f aca="false">IFERROR(J290+K290,"")</f>
        <v>0</v>
      </c>
      <c r="M290" s="9" t="n">
        <f aca="false">IFERROR(SUMIFS(Payments!$E$5:$E$504,Payments!$D$5:$D$504,A290,Payments!$C$5:$C$504,"Out"),"")</f>
        <v>0</v>
      </c>
      <c r="N290" s="9" t="n">
        <f aca="false">IFERROR(L290-M290,"")</f>
        <v>0</v>
      </c>
    </row>
    <row r="291" customFormat="false" ht="15" hidden="false" customHeight="false" outlineLevel="0" collapsed="false">
      <c r="A291" s="10"/>
      <c r="B291" s="12"/>
      <c r="C291" s="10"/>
      <c r="D291" s="14" t="str">
        <f aca="false">IFERROR(IF(C291="","",INDEX(Suppliers!$B$5:$B$504,MATCH(C291,Suppliers!$A$5:$A$504,0))),"")</f>
        <v/>
      </c>
      <c r="E291" s="10" t="s">
        <v>24</v>
      </c>
      <c r="F291" s="12"/>
      <c r="G291" s="12"/>
      <c r="H291" s="10"/>
      <c r="I291" s="10"/>
      <c r="J291" s="9" t="n">
        <f aca="false">IFERROR(SUMIFS(PurchaseOrderLines!$H$5:$H$504,PurchaseOrderLines!$B$5:$B$504,A291),"")</f>
        <v>0</v>
      </c>
      <c r="K291" s="9" t="n">
        <f aca="false">IFERROR(SUMIFS(PurchaseOrderLines!$I$5:$I$504,PurchaseOrderLines!$B$5:$B$504,A291),"")</f>
        <v>0</v>
      </c>
      <c r="L291" s="9" t="n">
        <f aca="false">IFERROR(J291+K291,"")</f>
        <v>0</v>
      </c>
      <c r="M291" s="9" t="n">
        <f aca="false">IFERROR(SUMIFS(Payments!$E$5:$E$504,Payments!$D$5:$D$504,A291,Payments!$C$5:$C$504,"Out"),"")</f>
        <v>0</v>
      </c>
      <c r="N291" s="9" t="n">
        <f aca="false">IFERROR(L291-M291,"")</f>
        <v>0</v>
      </c>
    </row>
    <row r="292" customFormat="false" ht="15" hidden="false" customHeight="false" outlineLevel="0" collapsed="false">
      <c r="A292" s="10"/>
      <c r="B292" s="12"/>
      <c r="C292" s="10"/>
      <c r="D292" s="14" t="str">
        <f aca="false">IFERROR(IF(C292="","",INDEX(Suppliers!$B$5:$B$504,MATCH(C292,Suppliers!$A$5:$A$504,0))),"")</f>
        <v/>
      </c>
      <c r="E292" s="10" t="s">
        <v>24</v>
      </c>
      <c r="F292" s="12"/>
      <c r="G292" s="12"/>
      <c r="H292" s="10"/>
      <c r="I292" s="10"/>
      <c r="J292" s="9" t="n">
        <f aca="false">IFERROR(SUMIFS(PurchaseOrderLines!$H$5:$H$504,PurchaseOrderLines!$B$5:$B$504,A292),"")</f>
        <v>0</v>
      </c>
      <c r="K292" s="9" t="n">
        <f aca="false">IFERROR(SUMIFS(PurchaseOrderLines!$I$5:$I$504,PurchaseOrderLines!$B$5:$B$504,A292),"")</f>
        <v>0</v>
      </c>
      <c r="L292" s="9" t="n">
        <f aca="false">IFERROR(J292+K292,"")</f>
        <v>0</v>
      </c>
      <c r="M292" s="9" t="n">
        <f aca="false">IFERROR(SUMIFS(Payments!$E$5:$E$504,Payments!$D$5:$D$504,A292,Payments!$C$5:$C$504,"Out"),"")</f>
        <v>0</v>
      </c>
      <c r="N292" s="9" t="n">
        <f aca="false">IFERROR(L292-M292,"")</f>
        <v>0</v>
      </c>
    </row>
    <row r="293" customFormat="false" ht="15" hidden="false" customHeight="false" outlineLevel="0" collapsed="false">
      <c r="A293" s="10"/>
      <c r="B293" s="12"/>
      <c r="C293" s="10"/>
      <c r="D293" s="14" t="str">
        <f aca="false">IFERROR(IF(C293="","",INDEX(Suppliers!$B$5:$B$504,MATCH(C293,Suppliers!$A$5:$A$504,0))),"")</f>
        <v/>
      </c>
      <c r="E293" s="10" t="s">
        <v>24</v>
      </c>
      <c r="F293" s="12"/>
      <c r="G293" s="12"/>
      <c r="H293" s="10"/>
      <c r="I293" s="10"/>
      <c r="J293" s="9" t="n">
        <f aca="false">IFERROR(SUMIFS(PurchaseOrderLines!$H$5:$H$504,PurchaseOrderLines!$B$5:$B$504,A293),"")</f>
        <v>0</v>
      </c>
      <c r="K293" s="9" t="n">
        <f aca="false">IFERROR(SUMIFS(PurchaseOrderLines!$I$5:$I$504,PurchaseOrderLines!$B$5:$B$504,A293),"")</f>
        <v>0</v>
      </c>
      <c r="L293" s="9" t="n">
        <f aca="false">IFERROR(J293+K293,"")</f>
        <v>0</v>
      </c>
      <c r="M293" s="9" t="n">
        <f aca="false">IFERROR(SUMIFS(Payments!$E$5:$E$504,Payments!$D$5:$D$504,A293,Payments!$C$5:$C$504,"Out"),"")</f>
        <v>0</v>
      </c>
      <c r="N293" s="9" t="n">
        <f aca="false">IFERROR(L293-M293,"")</f>
        <v>0</v>
      </c>
    </row>
    <row r="294" customFormat="false" ht="15" hidden="false" customHeight="false" outlineLevel="0" collapsed="false">
      <c r="A294" s="10"/>
      <c r="B294" s="12"/>
      <c r="C294" s="10"/>
      <c r="D294" s="14" t="str">
        <f aca="false">IFERROR(IF(C294="","",INDEX(Suppliers!$B$5:$B$504,MATCH(C294,Suppliers!$A$5:$A$504,0))),"")</f>
        <v/>
      </c>
      <c r="E294" s="10" t="s">
        <v>24</v>
      </c>
      <c r="F294" s="12"/>
      <c r="G294" s="12"/>
      <c r="H294" s="10"/>
      <c r="I294" s="10"/>
      <c r="J294" s="9" t="n">
        <f aca="false">IFERROR(SUMIFS(PurchaseOrderLines!$H$5:$H$504,PurchaseOrderLines!$B$5:$B$504,A294),"")</f>
        <v>0</v>
      </c>
      <c r="K294" s="9" t="n">
        <f aca="false">IFERROR(SUMIFS(PurchaseOrderLines!$I$5:$I$504,PurchaseOrderLines!$B$5:$B$504,A294),"")</f>
        <v>0</v>
      </c>
      <c r="L294" s="9" t="n">
        <f aca="false">IFERROR(J294+K294,"")</f>
        <v>0</v>
      </c>
      <c r="M294" s="9" t="n">
        <f aca="false">IFERROR(SUMIFS(Payments!$E$5:$E$504,Payments!$D$5:$D$504,A294,Payments!$C$5:$C$504,"Out"),"")</f>
        <v>0</v>
      </c>
      <c r="N294" s="9" t="n">
        <f aca="false">IFERROR(L294-M294,"")</f>
        <v>0</v>
      </c>
    </row>
    <row r="295" customFormat="false" ht="15" hidden="false" customHeight="false" outlineLevel="0" collapsed="false">
      <c r="A295" s="10"/>
      <c r="B295" s="12"/>
      <c r="C295" s="10"/>
      <c r="D295" s="14" t="str">
        <f aca="false">IFERROR(IF(C295="","",INDEX(Suppliers!$B$5:$B$504,MATCH(C295,Suppliers!$A$5:$A$504,0))),"")</f>
        <v/>
      </c>
      <c r="E295" s="10" t="s">
        <v>24</v>
      </c>
      <c r="F295" s="12"/>
      <c r="G295" s="12"/>
      <c r="H295" s="10"/>
      <c r="I295" s="10"/>
      <c r="J295" s="9" t="n">
        <f aca="false">IFERROR(SUMIFS(PurchaseOrderLines!$H$5:$H$504,PurchaseOrderLines!$B$5:$B$504,A295),"")</f>
        <v>0</v>
      </c>
      <c r="K295" s="9" t="n">
        <f aca="false">IFERROR(SUMIFS(PurchaseOrderLines!$I$5:$I$504,PurchaseOrderLines!$B$5:$B$504,A295),"")</f>
        <v>0</v>
      </c>
      <c r="L295" s="9" t="n">
        <f aca="false">IFERROR(J295+K295,"")</f>
        <v>0</v>
      </c>
      <c r="M295" s="9" t="n">
        <f aca="false">IFERROR(SUMIFS(Payments!$E$5:$E$504,Payments!$D$5:$D$504,A295,Payments!$C$5:$C$504,"Out"),"")</f>
        <v>0</v>
      </c>
      <c r="N295" s="9" t="n">
        <f aca="false">IFERROR(L295-M295,"")</f>
        <v>0</v>
      </c>
    </row>
    <row r="296" customFormat="false" ht="15" hidden="false" customHeight="false" outlineLevel="0" collapsed="false">
      <c r="A296" s="10"/>
      <c r="B296" s="12"/>
      <c r="C296" s="10"/>
      <c r="D296" s="14" t="str">
        <f aca="false">IFERROR(IF(C296="","",INDEX(Suppliers!$B$5:$B$504,MATCH(C296,Suppliers!$A$5:$A$504,0))),"")</f>
        <v/>
      </c>
      <c r="E296" s="10" t="s">
        <v>24</v>
      </c>
      <c r="F296" s="12"/>
      <c r="G296" s="12"/>
      <c r="H296" s="10"/>
      <c r="I296" s="10"/>
      <c r="J296" s="9" t="n">
        <f aca="false">IFERROR(SUMIFS(PurchaseOrderLines!$H$5:$H$504,PurchaseOrderLines!$B$5:$B$504,A296),"")</f>
        <v>0</v>
      </c>
      <c r="K296" s="9" t="n">
        <f aca="false">IFERROR(SUMIFS(PurchaseOrderLines!$I$5:$I$504,PurchaseOrderLines!$B$5:$B$504,A296),"")</f>
        <v>0</v>
      </c>
      <c r="L296" s="9" t="n">
        <f aca="false">IFERROR(J296+K296,"")</f>
        <v>0</v>
      </c>
      <c r="M296" s="9" t="n">
        <f aca="false">IFERROR(SUMIFS(Payments!$E$5:$E$504,Payments!$D$5:$D$504,A296,Payments!$C$5:$C$504,"Out"),"")</f>
        <v>0</v>
      </c>
      <c r="N296" s="9" t="n">
        <f aca="false">IFERROR(L296-M296,"")</f>
        <v>0</v>
      </c>
    </row>
    <row r="297" customFormat="false" ht="15" hidden="false" customHeight="false" outlineLevel="0" collapsed="false">
      <c r="A297" s="10"/>
      <c r="B297" s="12"/>
      <c r="C297" s="10"/>
      <c r="D297" s="14" t="str">
        <f aca="false">IFERROR(IF(C297="","",INDEX(Suppliers!$B$5:$B$504,MATCH(C297,Suppliers!$A$5:$A$504,0))),"")</f>
        <v/>
      </c>
      <c r="E297" s="10" t="s">
        <v>24</v>
      </c>
      <c r="F297" s="12"/>
      <c r="G297" s="12"/>
      <c r="H297" s="10"/>
      <c r="I297" s="10"/>
      <c r="J297" s="9" t="n">
        <f aca="false">IFERROR(SUMIFS(PurchaseOrderLines!$H$5:$H$504,PurchaseOrderLines!$B$5:$B$504,A297),"")</f>
        <v>0</v>
      </c>
      <c r="K297" s="9" t="n">
        <f aca="false">IFERROR(SUMIFS(PurchaseOrderLines!$I$5:$I$504,PurchaseOrderLines!$B$5:$B$504,A297),"")</f>
        <v>0</v>
      </c>
      <c r="L297" s="9" t="n">
        <f aca="false">IFERROR(J297+K297,"")</f>
        <v>0</v>
      </c>
      <c r="M297" s="9" t="n">
        <f aca="false">IFERROR(SUMIFS(Payments!$E$5:$E$504,Payments!$D$5:$D$504,A297,Payments!$C$5:$C$504,"Out"),"")</f>
        <v>0</v>
      </c>
      <c r="N297" s="9" t="n">
        <f aca="false">IFERROR(L297-M297,"")</f>
        <v>0</v>
      </c>
    </row>
    <row r="298" customFormat="false" ht="15" hidden="false" customHeight="false" outlineLevel="0" collapsed="false">
      <c r="A298" s="10"/>
      <c r="B298" s="12"/>
      <c r="C298" s="10"/>
      <c r="D298" s="14" t="str">
        <f aca="false">IFERROR(IF(C298="","",INDEX(Suppliers!$B$5:$B$504,MATCH(C298,Suppliers!$A$5:$A$504,0))),"")</f>
        <v/>
      </c>
      <c r="E298" s="10" t="s">
        <v>24</v>
      </c>
      <c r="F298" s="12"/>
      <c r="G298" s="12"/>
      <c r="H298" s="10"/>
      <c r="I298" s="10"/>
      <c r="J298" s="9" t="n">
        <f aca="false">IFERROR(SUMIFS(PurchaseOrderLines!$H$5:$H$504,PurchaseOrderLines!$B$5:$B$504,A298),"")</f>
        <v>0</v>
      </c>
      <c r="K298" s="9" t="n">
        <f aca="false">IFERROR(SUMIFS(PurchaseOrderLines!$I$5:$I$504,PurchaseOrderLines!$B$5:$B$504,A298),"")</f>
        <v>0</v>
      </c>
      <c r="L298" s="9" t="n">
        <f aca="false">IFERROR(J298+K298,"")</f>
        <v>0</v>
      </c>
      <c r="M298" s="9" t="n">
        <f aca="false">IFERROR(SUMIFS(Payments!$E$5:$E$504,Payments!$D$5:$D$504,A298,Payments!$C$5:$C$504,"Out"),"")</f>
        <v>0</v>
      </c>
      <c r="N298" s="9" t="n">
        <f aca="false">IFERROR(L298-M298,"")</f>
        <v>0</v>
      </c>
    </row>
    <row r="299" customFormat="false" ht="15" hidden="false" customHeight="false" outlineLevel="0" collapsed="false">
      <c r="A299" s="10"/>
      <c r="B299" s="12"/>
      <c r="C299" s="10"/>
      <c r="D299" s="14" t="str">
        <f aca="false">IFERROR(IF(C299="","",INDEX(Suppliers!$B$5:$B$504,MATCH(C299,Suppliers!$A$5:$A$504,0))),"")</f>
        <v/>
      </c>
      <c r="E299" s="10" t="s">
        <v>24</v>
      </c>
      <c r="F299" s="12"/>
      <c r="G299" s="12"/>
      <c r="H299" s="10"/>
      <c r="I299" s="10"/>
      <c r="J299" s="9" t="n">
        <f aca="false">IFERROR(SUMIFS(PurchaseOrderLines!$H$5:$H$504,PurchaseOrderLines!$B$5:$B$504,A299),"")</f>
        <v>0</v>
      </c>
      <c r="K299" s="9" t="n">
        <f aca="false">IFERROR(SUMIFS(PurchaseOrderLines!$I$5:$I$504,PurchaseOrderLines!$B$5:$B$504,A299),"")</f>
        <v>0</v>
      </c>
      <c r="L299" s="9" t="n">
        <f aca="false">IFERROR(J299+K299,"")</f>
        <v>0</v>
      </c>
      <c r="M299" s="9" t="n">
        <f aca="false">IFERROR(SUMIFS(Payments!$E$5:$E$504,Payments!$D$5:$D$504,A299,Payments!$C$5:$C$504,"Out"),"")</f>
        <v>0</v>
      </c>
      <c r="N299" s="9" t="n">
        <f aca="false">IFERROR(L299-M299,"")</f>
        <v>0</v>
      </c>
    </row>
    <row r="300" customFormat="false" ht="15" hidden="false" customHeight="false" outlineLevel="0" collapsed="false">
      <c r="A300" s="10"/>
      <c r="B300" s="12"/>
      <c r="C300" s="10"/>
      <c r="D300" s="14" t="str">
        <f aca="false">IFERROR(IF(C300="","",INDEX(Suppliers!$B$5:$B$504,MATCH(C300,Suppliers!$A$5:$A$504,0))),"")</f>
        <v/>
      </c>
      <c r="E300" s="10" t="s">
        <v>24</v>
      </c>
      <c r="F300" s="12"/>
      <c r="G300" s="12"/>
      <c r="H300" s="10"/>
      <c r="I300" s="10"/>
      <c r="J300" s="9" t="n">
        <f aca="false">IFERROR(SUMIFS(PurchaseOrderLines!$H$5:$H$504,PurchaseOrderLines!$B$5:$B$504,A300),"")</f>
        <v>0</v>
      </c>
      <c r="K300" s="9" t="n">
        <f aca="false">IFERROR(SUMIFS(PurchaseOrderLines!$I$5:$I$504,PurchaseOrderLines!$B$5:$B$504,A300),"")</f>
        <v>0</v>
      </c>
      <c r="L300" s="9" t="n">
        <f aca="false">IFERROR(J300+K300,"")</f>
        <v>0</v>
      </c>
      <c r="M300" s="9" t="n">
        <f aca="false">IFERROR(SUMIFS(Payments!$E$5:$E$504,Payments!$D$5:$D$504,A300,Payments!$C$5:$C$504,"Out"),"")</f>
        <v>0</v>
      </c>
      <c r="N300" s="9" t="n">
        <f aca="false">IFERROR(L300-M300,"")</f>
        <v>0</v>
      </c>
    </row>
    <row r="301" customFormat="false" ht="15" hidden="false" customHeight="false" outlineLevel="0" collapsed="false">
      <c r="A301" s="10"/>
      <c r="B301" s="12"/>
      <c r="C301" s="10"/>
      <c r="D301" s="14" t="str">
        <f aca="false">IFERROR(IF(C301="","",INDEX(Suppliers!$B$5:$B$504,MATCH(C301,Suppliers!$A$5:$A$504,0))),"")</f>
        <v/>
      </c>
      <c r="E301" s="10" t="s">
        <v>24</v>
      </c>
      <c r="F301" s="12"/>
      <c r="G301" s="12"/>
      <c r="H301" s="10"/>
      <c r="I301" s="10"/>
      <c r="J301" s="9" t="n">
        <f aca="false">IFERROR(SUMIFS(PurchaseOrderLines!$H$5:$H$504,PurchaseOrderLines!$B$5:$B$504,A301),"")</f>
        <v>0</v>
      </c>
      <c r="K301" s="9" t="n">
        <f aca="false">IFERROR(SUMIFS(PurchaseOrderLines!$I$5:$I$504,PurchaseOrderLines!$B$5:$B$504,A301),"")</f>
        <v>0</v>
      </c>
      <c r="L301" s="9" t="n">
        <f aca="false">IFERROR(J301+K301,"")</f>
        <v>0</v>
      </c>
      <c r="M301" s="9" t="n">
        <f aca="false">IFERROR(SUMIFS(Payments!$E$5:$E$504,Payments!$D$5:$D$504,A301,Payments!$C$5:$C$504,"Out"),"")</f>
        <v>0</v>
      </c>
      <c r="N301" s="9" t="n">
        <f aca="false">IFERROR(L301-M301,"")</f>
        <v>0</v>
      </c>
    </row>
    <row r="302" customFormat="false" ht="15" hidden="false" customHeight="false" outlineLevel="0" collapsed="false">
      <c r="A302" s="10"/>
      <c r="B302" s="12"/>
      <c r="C302" s="10"/>
      <c r="D302" s="14" t="str">
        <f aca="false">IFERROR(IF(C302="","",INDEX(Suppliers!$B$5:$B$504,MATCH(C302,Suppliers!$A$5:$A$504,0))),"")</f>
        <v/>
      </c>
      <c r="E302" s="10" t="s">
        <v>24</v>
      </c>
      <c r="F302" s="12"/>
      <c r="G302" s="12"/>
      <c r="H302" s="10"/>
      <c r="I302" s="10"/>
      <c r="J302" s="9" t="n">
        <f aca="false">IFERROR(SUMIFS(PurchaseOrderLines!$H$5:$H$504,PurchaseOrderLines!$B$5:$B$504,A302),"")</f>
        <v>0</v>
      </c>
      <c r="K302" s="9" t="n">
        <f aca="false">IFERROR(SUMIFS(PurchaseOrderLines!$I$5:$I$504,PurchaseOrderLines!$B$5:$B$504,A302),"")</f>
        <v>0</v>
      </c>
      <c r="L302" s="9" t="n">
        <f aca="false">IFERROR(J302+K302,"")</f>
        <v>0</v>
      </c>
      <c r="M302" s="9" t="n">
        <f aca="false">IFERROR(SUMIFS(Payments!$E$5:$E$504,Payments!$D$5:$D$504,A302,Payments!$C$5:$C$504,"Out"),"")</f>
        <v>0</v>
      </c>
      <c r="N302" s="9" t="n">
        <f aca="false">IFERROR(L302-M302,"")</f>
        <v>0</v>
      </c>
    </row>
    <row r="303" customFormat="false" ht="15" hidden="false" customHeight="false" outlineLevel="0" collapsed="false">
      <c r="A303" s="10"/>
      <c r="B303" s="12"/>
      <c r="C303" s="10"/>
      <c r="D303" s="14" t="str">
        <f aca="false">IFERROR(IF(C303="","",INDEX(Suppliers!$B$5:$B$504,MATCH(C303,Suppliers!$A$5:$A$504,0))),"")</f>
        <v/>
      </c>
      <c r="E303" s="10" t="s">
        <v>24</v>
      </c>
      <c r="F303" s="12"/>
      <c r="G303" s="12"/>
      <c r="H303" s="10"/>
      <c r="I303" s="10"/>
      <c r="J303" s="9" t="n">
        <f aca="false">IFERROR(SUMIFS(PurchaseOrderLines!$H$5:$H$504,PurchaseOrderLines!$B$5:$B$504,A303),"")</f>
        <v>0</v>
      </c>
      <c r="K303" s="9" t="n">
        <f aca="false">IFERROR(SUMIFS(PurchaseOrderLines!$I$5:$I$504,PurchaseOrderLines!$B$5:$B$504,A303),"")</f>
        <v>0</v>
      </c>
      <c r="L303" s="9" t="n">
        <f aca="false">IFERROR(J303+K303,"")</f>
        <v>0</v>
      </c>
      <c r="M303" s="9" t="n">
        <f aca="false">IFERROR(SUMIFS(Payments!$E$5:$E$504,Payments!$D$5:$D$504,A303,Payments!$C$5:$C$504,"Out"),"")</f>
        <v>0</v>
      </c>
      <c r="N303" s="9" t="n">
        <f aca="false">IFERROR(L303-M303,"")</f>
        <v>0</v>
      </c>
    </row>
    <row r="304" customFormat="false" ht="15" hidden="false" customHeight="false" outlineLevel="0" collapsed="false">
      <c r="A304" s="10"/>
      <c r="B304" s="12"/>
      <c r="C304" s="10"/>
      <c r="D304" s="14" t="str">
        <f aca="false">IFERROR(IF(C304="","",INDEX(Suppliers!$B$5:$B$504,MATCH(C304,Suppliers!$A$5:$A$504,0))),"")</f>
        <v/>
      </c>
      <c r="E304" s="10" t="s">
        <v>24</v>
      </c>
      <c r="F304" s="12"/>
      <c r="G304" s="12"/>
      <c r="H304" s="10"/>
      <c r="I304" s="10"/>
      <c r="J304" s="9" t="n">
        <f aca="false">IFERROR(SUMIFS(PurchaseOrderLines!$H$5:$H$504,PurchaseOrderLines!$B$5:$B$504,A304),"")</f>
        <v>0</v>
      </c>
      <c r="K304" s="9" t="n">
        <f aca="false">IFERROR(SUMIFS(PurchaseOrderLines!$I$5:$I$504,PurchaseOrderLines!$B$5:$B$504,A304),"")</f>
        <v>0</v>
      </c>
      <c r="L304" s="9" t="n">
        <f aca="false">IFERROR(J304+K304,"")</f>
        <v>0</v>
      </c>
      <c r="M304" s="9" t="n">
        <f aca="false">IFERROR(SUMIFS(Payments!$E$5:$E$504,Payments!$D$5:$D$504,A304,Payments!$C$5:$C$504,"Out"),"")</f>
        <v>0</v>
      </c>
      <c r="N304" s="9" t="n">
        <f aca="false">IFERROR(L304-M304,"")</f>
        <v>0</v>
      </c>
    </row>
    <row r="305" customFormat="false" ht="15" hidden="false" customHeight="false" outlineLevel="0" collapsed="false">
      <c r="A305" s="10"/>
      <c r="B305" s="12"/>
      <c r="C305" s="10"/>
      <c r="D305" s="14" t="str">
        <f aca="false">IFERROR(IF(C305="","",INDEX(Suppliers!$B$5:$B$504,MATCH(C305,Suppliers!$A$5:$A$504,0))),"")</f>
        <v/>
      </c>
      <c r="E305" s="10" t="s">
        <v>24</v>
      </c>
      <c r="F305" s="12"/>
      <c r="G305" s="12"/>
      <c r="H305" s="10"/>
      <c r="I305" s="10"/>
      <c r="J305" s="9" t="n">
        <f aca="false">IFERROR(SUMIFS(PurchaseOrderLines!$H$5:$H$504,PurchaseOrderLines!$B$5:$B$504,A305),"")</f>
        <v>0</v>
      </c>
      <c r="K305" s="9" t="n">
        <f aca="false">IFERROR(SUMIFS(PurchaseOrderLines!$I$5:$I$504,PurchaseOrderLines!$B$5:$B$504,A305),"")</f>
        <v>0</v>
      </c>
      <c r="L305" s="9" t="n">
        <f aca="false">IFERROR(J305+K305,"")</f>
        <v>0</v>
      </c>
      <c r="M305" s="9" t="n">
        <f aca="false">IFERROR(SUMIFS(Payments!$E$5:$E$504,Payments!$D$5:$D$504,A305,Payments!$C$5:$C$504,"Out"),"")</f>
        <v>0</v>
      </c>
      <c r="N305" s="9" t="n">
        <f aca="false">IFERROR(L305-M305,"")</f>
        <v>0</v>
      </c>
    </row>
    <row r="306" customFormat="false" ht="15" hidden="false" customHeight="false" outlineLevel="0" collapsed="false">
      <c r="A306" s="10"/>
      <c r="B306" s="12"/>
      <c r="C306" s="10"/>
      <c r="D306" s="14" t="str">
        <f aca="false">IFERROR(IF(C306="","",INDEX(Suppliers!$B$5:$B$504,MATCH(C306,Suppliers!$A$5:$A$504,0))),"")</f>
        <v/>
      </c>
      <c r="E306" s="10" t="s">
        <v>24</v>
      </c>
      <c r="F306" s="12"/>
      <c r="G306" s="12"/>
      <c r="H306" s="10"/>
      <c r="I306" s="10"/>
      <c r="J306" s="9" t="n">
        <f aca="false">IFERROR(SUMIFS(PurchaseOrderLines!$H$5:$H$504,PurchaseOrderLines!$B$5:$B$504,A306),"")</f>
        <v>0</v>
      </c>
      <c r="K306" s="9" t="n">
        <f aca="false">IFERROR(SUMIFS(PurchaseOrderLines!$I$5:$I$504,PurchaseOrderLines!$B$5:$B$504,A306),"")</f>
        <v>0</v>
      </c>
      <c r="L306" s="9" t="n">
        <f aca="false">IFERROR(J306+K306,"")</f>
        <v>0</v>
      </c>
      <c r="M306" s="9" t="n">
        <f aca="false">IFERROR(SUMIFS(Payments!$E$5:$E$504,Payments!$D$5:$D$504,A306,Payments!$C$5:$C$504,"Out"),"")</f>
        <v>0</v>
      </c>
      <c r="N306" s="9" t="n">
        <f aca="false">IFERROR(L306-M306,"")</f>
        <v>0</v>
      </c>
    </row>
    <row r="307" customFormat="false" ht="15" hidden="false" customHeight="false" outlineLevel="0" collapsed="false">
      <c r="A307" s="10"/>
      <c r="B307" s="12"/>
      <c r="C307" s="10"/>
      <c r="D307" s="14" t="str">
        <f aca="false">IFERROR(IF(C307="","",INDEX(Suppliers!$B$5:$B$504,MATCH(C307,Suppliers!$A$5:$A$504,0))),"")</f>
        <v/>
      </c>
      <c r="E307" s="10" t="s">
        <v>24</v>
      </c>
      <c r="F307" s="12"/>
      <c r="G307" s="12"/>
      <c r="H307" s="10"/>
      <c r="I307" s="10"/>
      <c r="J307" s="9" t="n">
        <f aca="false">IFERROR(SUMIFS(PurchaseOrderLines!$H$5:$H$504,PurchaseOrderLines!$B$5:$B$504,A307),"")</f>
        <v>0</v>
      </c>
      <c r="K307" s="9" t="n">
        <f aca="false">IFERROR(SUMIFS(PurchaseOrderLines!$I$5:$I$504,PurchaseOrderLines!$B$5:$B$504,A307),"")</f>
        <v>0</v>
      </c>
      <c r="L307" s="9" t="n">
        <f aca="false">IFERROR(J307+K307,"")</f>
        <v>0</v>
      </c>
      <c r="M307" s="9" t="n">
        <f aca="false">IFERROR(SUMIFS(Payments!$E$5:$E$504,Payments!$D$5:$D$504,A307,Payments!$C$5:$C$504,"Out"),"")</f>
        <v>0</v>
      </c>
      <c r="N307" s="9" t="n">
        <f aca="false">IFERROR(L307-M307,"")</f>
        <v>0</v>
      </c>
    </row>
    <row r="308" customFormat="false" ht="15" hidden="false" customHeight="false" outlineLevel="0" collapsed="false">
      <c r="A308" s="10"/>
      <c r="B308" s="12"/>
      <c r="C308" s="10"/>
      <c r="D308" s="14" t="str">
        <f aca="false">IFERROR(IF(C308="","",INDEX(Suppliers!$B$5:$B$504,MATCH(C308,Suppliers!$A$5:$A$504,0))),"")</f>
        <v/>
      </c>
      <c r="E308" s="10" t="s">
        <v>24</v>
      </c>
      <c r="F308" s="12"/>
      <c r="G308" s="12"/>
      <c r="H308" s="10"/>
      <c r="I308" s="10"/>
      <c r="J308" s="9" t="n">
        <f aca="false">IFERROR(SUMIFS(PurchaseOrderLines!$H$5:$H$504,PurchaseOrderLines!$B$5:$B$504,A308),"")</f>
        <v>0</v>
      </c>
      <c r="K308" s="9" t="n">
        <f aca="false">IFERROR(SUMIFS(PurchaseOrderLines!$I$5:$I$504,PurchaseOrderLines!$B$5:$B$504,A308),"")</f>
        <v>0</v>
      </c>
      <c r="L308" s="9" t="n">
        <f aca="false">IFERROR(J308+K308,"")</f>
        <v>0</v>
      </c>
      <c r="M308" s="9" t="n">
        <f aca="false">IFERROR(SUMIFS(Payments!$E$5:$E$504,Payments!$D$5:$D$504,A308,Payments!$C$5:$C$504,"Out"),"")</f>
        <v>0</v>
      </c>
      <c r="N308" s="9" t="n">
        <f aca="false">IFERROR(L308-M308,"")</f>
        <v>0</v>
      </c>
    </row>
    <row r="309" customFormat="false" ht="15" hidden="false" customHeight="false" outlineLevel="0" collapsed="false">
      <c r="A309" s="10"/>
      <c r="B309" s="12"/>
      <c r="C309" s="10"/>
      <c r="D309" s="14" t="str">
        <f aca="false">IFERROR(IF(C309="","",INDEX(Suppliers!$B$5:$B$504,MATCH(C309,Suppliers!$A$5:$A$504,0))),"")</f>
        <v/>
      </c>
      <c r="E309" s="10" t="s">
        <v>24</v>
      </c>
      <c r="F309" s="12"/>
      <c r="G309" s="12"/>
      <c r="H309" s="10"/>
      <c r="I309" s="10"/>
      <c r="J309" s="9" t="n">
        <f aca="false">IFERROR(SUMIFS(PurchaseOrderLines!$H$5:$H$504,PurchaseOrderLines!$B$5:$B$504,A309),"")</f>
        <v>0</v>
      </c>
      <c r="K309" s="9" t="n">
        <f aca="false">IFERROR(SUMIFS(PurchaseOrderLines!$I$5:$I$504,PurchaseOrderLines!$B$5:$B$504,A309),"")</f>
        <v>0</v>
      </c>
      <c r="L309" s="9" t="n">
        <f aca="false">IFERROR(J309+K309,"")</f>
        <v>0</v>
      </c>
      <c r="M309" s="9" t="n">
        <f aca="false">IFERROR(SUMIFS(Payments!$E$5:$E$504,Payments!$D$5:$D$504,A309,Payments!$C$5:$C$504,"Out"),"")</f>
        <v>0</v>
      </c>
      <c r="N309" s="9" t="n">
        <f aca="false">IFERROR(L309-M309,"")</f>
        <v>0</v>
      </c>
    </row>
    <row r="310" customFormat="false" ht="15" hidden="false" customHeight="false" outlineLevel="0" collapsed="false">
      <c r="A310" s="10"/>
      <c r="B310" s="12"/>
      <c r="C310" s="10"/>
      <c r="D310" s="14" t="str">
        <f aca="false">IFERROR(IF(C310="","",INDEX(Suppliers!$B$5:$B$504,MATCH(C310,Suppliers!$A$5:$A$504,0))),"")</f>
        <v/>
      </c>
      <c r="E310" s="10" t="s">
        <v>24</v>
      </c>
      <c r="F310" s="12"/>
      <c r="G310" s="12"/>
      <c r="H310" s="10"/>
      <c r="I310" s="10"/>
      <c r="J310" s="9" t="n">
        <f aca="false">IFERROR(SUMIFS(PurchaseOrderLines!$H$5:$H$504,PurchaseOrderLines!$B$5:$B$504,A310),"")</f>
        <v>0</v>
      </c>
      <c r="K310" s="9" t="n">
        <f aca="false">IFERROR(SUMIFS(PurchaseOrderLines!$I$5:$I$504,PurchaseOrderLines!$B$5:$B$504,A310),"")</f>
        <v>0</v>
      </c>
      <c r="L310" s="9" t="n">
        <f aca="false">IFERROR(J310+K310,"")</f>
        <v>0</v>
      </c>
      <c r="M310" s="9" t="n">
        <f aca="false">IFERROR(SUMIFS(Payments!$E$5:$E$504,Payments!$D$5:$D$504,A310,Payments!$C$5:$C$504,"Out"),"")</f>
        <v>0</v>
      </c>
      <c r="N310" s="9" t="n">
        <f aca="false">IFERROR(L310-M310,"")</f>
        <v>0</v>
      </c>
    </row>
    <row r="311" customFormat="false" ht="15" hidden="false" customHeight="false" outlineLevel="0" collapsed="false">
      <c r="A311" s="10"/>
      <c r="B311" s="12"/>
      <c r="C311" s="10"/>
      <c r="D311" s="14" t="str">
        <f aca="false">IFERROR(IF(C311="","",INDEX(Suppliers!$B$5:$B$504,MATCH(C311,Suppliers!$A$5:$A$504,0))),"")</f>
        <v/>
      </c>
      <c r="E311" s="10" t="s">
        <v>24</v>
      </c>
      <c r="F311" s="12"/>
      <c r="G311" s="12"/>
      <c r="H311" s="10"/>
      <c r="I311" s="10"/>
      <c r="J311" s="9" t="n">
        <f aca="false">IFERROR(SUMIFS(PurchaseOrderLines!$H$5:$H$504,PurchaseOrderLines!$B$5:$B$504,A311),"")</f>
        <v>0</v>
      </c>
      <c r="K311" s="9" t="n">
        <f aca="false">IFERROR(SUMIFS(PurchaseOrderLines!$I$5:$I$504,PurchaseOrderLines!$B$5:$B$504,A311),"")</f>
        <v>0</v>
      </c>
      <c r="L311" s="9" t="n">
        <f aca="false">IFERROR(J311+K311,"")</f>
        <v>0</v>
      </c>
      <c r="M311" s="9" t="n">
        <f aca="false">IFERROR(SUMIFS(Payments!$E$5:$E$504,Payments!$D$5:$D$504,A311,Payments!$C$5:$C$504,"Out"),"")</f>
        <v>0</v>
      </c>
      <c r="N311" s="9" t="n">
        <f aca="false">IFERROR(L311-M311,"")</f>
        <v>0</v>
      </c>
    </row>
    <row r="312" customFormat="false" ht="15" hidden="false" customHeight="false" outlineLevel="0" collapsed="false">
      <c r="A312" s="10"/>
      <c r="B312" s="12"/>
      <c r="C312" s="10"/>
      <c r="D312" s="14" t="str">
        <f aca="false">IFERROR(IF(C312="","",INDEX(Suppliers!$B$5:$B$504,MATCH(C312,Suppliers!$A$5:$A$504,0))),"")</f>
        <v/>
      </c>
      <c r="E312" s="10" t="s">
        <v>24</v>
      </c>
      <c r="F312" s="12"/>
      <c r="G312" s="12"/>
      <c r="H312" s="10"/>
      <c r="I312" s="10"/>
      <c r="J312" s="9" t="n">
        <f aca="false">IFERROR(SUMIFS(PurchaseOrderLines!$H$5:$H$504,PurchaseOrderLines!$B$5:$B$504,A312),"")</f>
        <v>0</v>
      </c>
      <c r="K312" s="9" t="n">
        <f aca="false">IFERROR(SUMIFS(PurchaseOrderLines!$I$5:$I$504,PurchaseOrderLines!$B$5:$B$504,A312),"")</f>
        <v>0</v>
      </c>
      <c r="L312" s="9" t="n">
        <f aca="false">IFERROR(J312+K312,"")</f>
        <v>0</v>
      </c>
      <c r="M312" s="9" t="n">
        <f aca="false">IFERROR(SUMIFS(Payments!$E$5:$E$504,Payments!$D$5:$D$504,A312,Payments!$C$5:$C$504,"Out"),"")</f>
        <v>0</v>
      </c>
      <c r="N312" s="9" t="n">
        <f aca="false">IFERROR(L312-M312,"")</f>
        <v>0</v>
      </c>
    </row>
    <row r="313" customFormat="false" ht="15" hidden="false" customHeight="false" outlineLevel="0" collapsed="false">
      <c r="A313" s="10"/>
      <c r="B313" s="12"/>
      <c r="C313" s="10"/>
      <c r="D313" s="14" t="str">
        <f aca="false">IFERROR(IF(C313="","",INDEX(Suppliers!$B$5:$B$504,MATCH(C313,Suppliers!$A$5:$A$504,0))),"")</f>
        <v/>
      </c>
      <c r="E313" s="10" t="s">
        <v>24</v>
      </c>
      <c r="F313" s="12"/>
      <c r="G313" s="12"/>
      <c r="H313" s="10"/>
      <c r="I313" s="10"/>
      <c r="J313" s="9" t="n">
        <f aca="false">IFERROR(SUMIFS(PurchaseOrderLines!$H$5:$H$504,PurchaseOrderLines!$B$5:$B$504,A313),"")</f>
        <v>0</v>
      </c>
      <c r="K313" s="9" t="n">
        <f aca="false">IFERROR(SUMIFS(PurchaseOrderLines!$I$5:$I$504,PurchaseOrderLines!$B$5:$B$504,A313),"")</f>
        <v>0</v>
      </c>
      <c r="L313" s="9" t="n">
        <f aca="false">IFERROR(J313+K313,"")</f>
        <v>0</v>
      </c>
      <c r="M313" s="9" t="n">
        <f aca="false">IFERROR(SUMIFS(Payments!$E$5:$E$504,Payments!$D$5:$D$504,A313,Payments!$C$5:$C$504,"Out"),"")</f>
        <v>0</v>
      </c>
      <c r="N313" s="9" t="n">
        <f aca="false">IFERROR(L313-M313,"")</f>
        <v>0</v>
      </c>
    </row>
    <row r="314" customFormat="false" ht="15" hidden="false" customHeight="false" outlineLevel="0" collapsed="false">
      <c r="A314" s="10"/>
      <c r="B314" s="12"/>
      <c r="C314" s="10"/>
      <c r="D314" s="14" t="str">
        <f aca="false">IFERROR(IF(C314="","",INDEX(Suppliers!$B$5:$B$504,MATCH(C314,Suppliers!$A$5:$A$504,0))),"")</f>
        <v/>
      </c>
      <c r="E314" s="10" t="s">
        <v>24</v>
      </c>
      <c r="F314" s="12"/>
      <c r="G314" s="12"/>
      <c r="H314" s="10"/>
      <c r="I314" s="10"/>
      <c r="J314" s="9" t="n">
        <f aca="false">IFERROR(SUMIFS(PurchaseOrderLines!$H$5:$H$504,PurchaseOrderLines!$B$5:$B$504,A314),"")</f>
        <v>0</v>
      </c>
      <c r="K314" s="9" t="n">
        <f aca="false">IFERROR(SUMIFS(PurchaseOrderLines!$I$5:$I$504,PurchaseOrderLines!$B$5:$B$504,A314),"")</f>
        <v>0</v>
      </c>
      <c r="L314" s="9" t="n">
        <f aca="false">IFERROR(J314+K314,"")</f>
        <v>0</v>
      </c>
      <c r="M314" s="9" t="n">
        <f aca="false">IFERROR(SUMIFS(Payments!$E$5:$E$504,Payments!$D$5:$D$504,A314,Payments!$C$5:$C$504,"Out"),"")</f>
        <v>0</v>
      </c>
      <c r="N314" s="9" t="n">
        <f aca="false">IFERROR(L314-M314,"")</f>
        <v>0</v>
      </c>
    </row>
    <row r="315" customFormat="false" ht="15" hidden="false" customHeight="false" outlineLevel="0" collapsed="false">
      <c r="A315" s="10"/>
      <c r="B315" s="12"/>
      <c r="C315" s="10"/>
      <c r="D315" s="14" t="str">
        <f aca="false">IFERROR(IF(C315="","",INDEX(Suppliers!$B$5:$B$504,MATCH(C315,Suppliers!$A$5:$A$504,0))),"")</f>
        <v/>
      </c>
      <c r="E315" s="10" t="s">
        <v>24</v>
      </c>
      <c r="F315" s="12"/>
      <c r="G315" s="12"/>
      <c r="H315" s="10"/>
      <c r="I315" s="10"/>
      <c r="J315" s="9" t="n">
        <f aca="false">IFERROR(SUMIFS(PurchaseOrderLines!$H$5:$H$504,PurchaseOrderLines!$B$5:$B$504,A315),"")</f>
        <v>0</v>
      </c>
      <c r="K315" s="9" t="n">
        <f aca="false">IFERROR(SUMIFS(PurchaseOrderLines!$I$5:$I$504,PurchaseOrderLines!$B$5:$B$504,A315),"")</f>
        <v>0</v>
      </c>
      <c r="L315" s="9" t="n">
        <f aca="false">IFERROR(J315+K315,"")</f>
        <v>0</v>
      </c>
      <c r="M315" s="9" t="n">
        <f aca="false">IFERROR(SUMIFS(Payments!$E$5:$E$504,Payments!$D$5:$D$504,A315,Payments!$C$5:$C$504,"Out"),"")</f>
        <v>0</v>
      </c>
      <c r="N315" s="9" t="n">
        <f aca="false">IFERROR(L315-M315,"")</f>
        <v>0</v>
      </c>
    </row>
    <row r="316" customFormat="false" ht="15" hidden="false" customHeight="false" outlineLevel="0" collapsed="false">
      <c r="A316" s="10"/>
      <c r="B316" s="12"/>
      <c r="C316" s="10"/>
      <c r="D316" s="14" t="str">
        <f aca="false">IFERROR(IF(C316="","",INDEX(Suppliers!$B$5:$B$504,MATCH(C316,Suppliers!$A$5:$A$504,0))),"")</f>
        <v/>
      </c>
      <c r="E316" s="10" t="s">
        <v>24</v>
      </c>
      <c r="F316" s="12"/>
      <c r="G316" s="12"/>
      <c r="H316" s="10"/>
      <c r="I316" s="10"/>
      <c r="J316" s="9" t="n">
        <f aca="false">IFERROR(SUMIFS(PurchaseOrderLines!$H$5:$H$504,PurchaseOrderLines!$B$5:$B$504,A316),"")</f>
        <v>0</v>
      </c>
      <c r="K316" s="9" t="n">
        <f aca="false">IFERROR(SUMIFS(PurchaseOrderLines!$I$5:$I$504,PurchaseOrderLines!$B$5:$B$504,A316),"")</f>
        <v>0</v>
      </c>
      <c r="L316" s="9" t="n">
        <f aca="false">IFERROR(J316+K316,"")</f>
        <v>0</v>
      </c>
      <c r="M316" s="9" t="n">
        <f aca="false">IFERROR(SUMIFS(Payments!$E$5:$E$504,Payments!$D$5:$D$504,A316,Payments!$C$5:$C$504,"Out"),"")</f>
        <v>0</v>
      </c>
      <c r="N316" s="9" t="n">
        <f aca="false">IFERROR(L316-M316,"")</f>
        <v>0</v>
      </c>
    </row>
    <row r="317" customFormat="false" ht="15" hidden="false" customHeight="false" outlineLevel="0" collapsed="false">
      <c r="A317" s="10"/>
      <c r="B317" s="12"/>
      <c r="C317" s="10"/>
      <c r="D317" s="14" t="str">
        <f aca="false">IFERROR(IF(C317="","",INDEX(Suppliers!$B$5:$B$504,MATCH(C317,Suppliers!$A$5:$A$504,0))),"")</f>
        <v/>
      </c>
      <c r="E317" s="10" t="s">
        <v>24</v>
      </c>
      <c r="F317" s="12"/>
      <c r="G317" s="12"/>
      <c r="H317" s="10"/>
      <c r="I317" s="10"/>
      <c r="J317" s="9" t="n">
        <f aca="false">IFERROR(SUMIFS(PurchaseOrderLines!$H$5:$H$504,PurchaseOrderLines!$B$5:$B$504,A317),"")</f>
        <v>0</v>
      </c>
      <c r="K317" s="9" t="n">
        <f aca="false">IFERROR(SUMIFS(PurchaseOrderLines!$I$5:$I$504,PurchaseOrderLines!$B$5:$B$504,A317),"")</f>
        <v>0</v>
      </c>
      <c r="L317" s="9" t="n">
        <f aca="false">IFERROR(J317+K317,"")</f>
        <v>0</v>
      </c>
      <c r="M317" s="9" t="n">
        <f aca="false">IFERROR(SUMIFS(Payments!$E$5:$E$504,Payments!$D$5:$D$504,A317,Payments!$C$5:$C$504,"Out"),"")</f>
        <v>0</v>
      </c>
      <c r="N317" s="9" t="n">
        <f aca="false">IFERROR(L317-M317,"")</f>
        <v>0</v>
      </c>
    </row>
    <row r="318" customFormat="false" ht="15" hidden="false" customHeight="false" outlineLevel="0" collapsed="false">
      <c r="A318" s="10"/>
      <c r="B318" s="12"/>
      <c r="C318" s="10"/>
      <c r="D318" s="14" t="str">
        <f aca="false">IFERROR(IF(C318="","",INDEX(Suppliers!$B$5:$B$504,MATCH(C318,Suppliers!$A$5:$A$504,0))),"")</f>
        <v/>
      </c>
      <c r="E318" s="10" t="s">
        <v>24</v>
      </c>
      <c r="F318" s="12"/>
      <c r="G318" s="12"/>
      <c r="H318" s="10"/>
      <c r="I318" s="10"/>
      <c r="J318" s="9" t="n">
        <f aca="false">IFERROR(SUMIFS(PurchaseOrderLines!$H$5:$H$504,PurchaseOrderLines!$B$5:$B$504,A318),"")</f>
        <v>0</v>
      </c>
      <c r="K318" s="9" t="n">
        <f aca="false">IFERROR(SUMIFS(PurchaseOrderLines!$I$5:$I$504,PurchaseOrderLines!$B$5:$B$504,A318),"")</f>
        <v>0</v>
      </c>
      <c r="L318" s="9" t="n">
        <f aca="false">IFERROR(J318+K318,"")</f>
        <v>0</v>
      </c>
      <c r="M318" s="9" t="n">
        <f aca="false">IFERROR(SUMIFS(Payments!$E$5:$E$504,Payments!$D$5:$D$504,A318,Payments!$C$5:$C$504,"Out"),"")</f>
        <v>0</v>
      </c>
      <c r="N318" s="9" t="n">
        <f aca="false">IFERROR(L318-M318,"")</f>
        <v>0</v>
      </c>
    </row>
    <row r="319" customFormat="false" ht="15" hidden="false" customHeight="false" outlineLevel="0" collapsed="false">
      <c r="A319" s="10"/>
      <c r="B319" s="12"/>
      <c r="C319" s="10"/>
      <c r="D319" s="14" t="str">
        <f aca="false">IFERROR(IF(C319="","",INDEX(Suppliers!$B$5:$B$504,MATCH(C319,Suppliers!$A$5:$A$504,0))),"")</f>
        <v/>
      </c>
      <c r="E319" s="10" t="s">
        <v>24</v>
      </c>
      <c r="F319" s="12"/>
      <c r="G319" s="12"/>
      <c r="H319" s="10"/>
      <c r="I319" s="10"/>
      <c r="J319" s="9" t="n">
        <f aca="false">IFERROR(SUMIFS(PurchaseOrderLines!$H$5:$H$504,PurchaseOrderLines!$B$5:$B$504,A319),"")</f>
        <v>0</v>
      </c>
      <c r="K319" s="9" t="n">
        <f aca="false">IFERROR(SUMIFS(PurchaseOrderLines!$I$5:$I$504,PurchaseOrderLines!$B$5:$B$504,A319),"")</f>
        <v>0</v>
      </c>
      <c r="L319" s="9" t="n">
        <f aca="false">IFERROR(J319+K319,"")</f>
        <v>0</v>
      </c>
      <c r="M319" s="9" t="n">
        <f aca="false">IFERROR(SUMIFS(Payments!$E$5:$E$504,Payments!$D$5:$D$504,A319,Payments!$C$5:$C$504,"Out"),"")</f>
        <v>0</v>
      </c>
      <c r="N319" s="9" t="n">
        <f aca="false">IFERROR(L319-M319,"")</f>
        <v>0</v>
      </c>
    </row>
    <row r="320" customFormat="false" ht="15" hidden="false" customHeight="false" outlineLevel="0" collapsed="false">
      <c r="A320" s="10"/>
      <c r="B320" s="12"/>
      <c r="C320" s="10"/>
      <c r="D320" s="14" t="str">
        <f aca="false">IFERROR(IF(C320="","",INDEX(Suppliers!$B$5:$B$504,MATCH(C320,Suppliers!$A$5:$A$504,0))),"")</f>
        <v/>
      </c>
      <c r="E320" s="10" t="s">
        <v>24</v>
      </c>
      <c r="F320" s="12"/>
      <c r="G320" s="12"/>
      <c r="H320" s="10"/>
      <c r="I320" s="10"/>
      <c r="J320" s="9" t="n">
        <f aca="false">IFERROR(SUMIFS(PurchaseOrderLines!$H$5:$H$504,PurchaseOrderLines!$B$5:$B$504,A320),"")</f>
        <v>0</v>
      </c>
      <c r="K320" s="9" t="n">
        <f aca="false">IFERROR(SUMIFS(PurchaseOrderLines!$I$5:$I$504,PurchaseOrderLines!$B$5:$B$504,A320),"")</f>
        <v>0</v>
      </c>
      <c r="L320" s="9" t="n">
        <f aca="false">IFERROR(J320+K320,"")</f>
        <v>0</v>
      </c>
      <c r="M320" s="9" t="n">
        <f aca="false">IFERROR(SUMIFS(Payments!$E$5:$E$504,Payments!$D$5:$D$504,A320,Payments!$C$5:$C$504,"Out"),"")</f>
        <v>0</v>
      </c>
      <c r="N320" s="9" t="n">
        <f aca="false">IFERROR(L320-M320,"")</f>
        <v>0</v>
      </c>
    </row>
    <row r="321" customFormat="false" ht="15" hidden="false" customHeight="false" outlineLevel="0" collapsed="false">
      <c r="A321" s="10"/>
      <c r="B321" s="12"/>
      <c r="C321" s="10"/>
      <c r="D321" s="14" t="str">
        <f aca="false">IFERROR(IF(C321="","",INDEX(Suppliers!$B$5:$B$504,MATCH(C321,Suppliers!$A$5:$A$504,0))),"")</f>
        <v/>
      </c>
      <c r="E321" s="10" t="s">
        <v>24</v>
      </c>
      <c r="F321" s="12"/>
      <c r="G321" s="12"/>
      <c r="H321" s="10"/>
      <c r="I321" s="10"/>
      <c r="J321" s="9" t="n">
        <f aca="false">IFERROR(SUMIFS(PurchaseOrderLines!$H$5:$H$504,PurchaseOrderLines!$B$5:$B$504,A321),"")</f>
        <v>0</v>
      </c>
      <c r="K321" s="9" t="n">
        <f aca="false">IFERROR(SUMIFS(PurchaseOrderLines!$I$5:$I$504,PurchaseOrderLines!$B$5:$B$504,A321),"")</f>
        <v>0</v>
      </c>
      <c r="L321" s="9" t="n">
        <f aca="false">IFERROR(J321+K321,"")</f>
        <v>0</v>
      </c>
      <c r="M321" s="9" t="n">
        <f aca="false">IFERROR(SUMIFS(Payments!$E$5:$E$504,Payments!$D$5:$D$504,A321,Payments!$C$5:$C$504,"Out"),"")</f>
        <v>0</v>
      </c>
      <c r="N321" s="9" t="n">
        <f aca="false">IFERROR(L321-M321,"")</f>
        <v>0</v>
      </c>
    </row>
    <row r="322" customFormat="false" ht="15" hidden="false" customHeight="false" outlineLevel="0" collapsed="false">
      <c r="A322" s="10"/>
      <c r="B322" s="12"/>
      <c r="C322" s="10"/>
      <c r="D322" s="14" t="str">
        <f aca="false">IFERROR(IF(C322="","",INDEX(Suppliers!$B$5:$B$504,MATCH(C322,Suppliers!$A$5:$A$504,0))),"")</f>
        <v/>
      </c>
      <c r="E322" s="10" t="s">
        <v>24</v>
      </c>
      <c r="F322" s="12"/>
      <c r="G322" s="12"/>
      <c r="H322" s="10"/>
      <c r="I322" s="10"/>
      <c r="J322" s="9" t="n">
        <f aca="false">IFERROR(SUMIFS(PurchaseOrderLines!$H$5:$H$504,PurchaseOrderLines!$B$5:$B$504,A322),"")</f>
        <v>0</v>
      </c>
      <c r="K322" s="9" t="n">
        <f aca="false">IFERROR(SUMIFS(PurchaseOrderLines!$I$5:$I$504,PurchaseOrderLines!$B$5:$B$504,A322),"")</f>
        <v>0</v>
      </c>
      <c r="L322" s="9" t="n">
        <f aca="false">IFERROR(J322+K322,"")</f>
        <v>0</v>
      </c>
      <c r="M322" s="9" t="n">
        <f aca="false">IFERROR(SUMIFS(Payments!$E$5:$E$504,Payments!$D$5:$D$504,A322,Payments!$C$5:$C$504,"Out"),"")</f>
        <v>0</v>
      </c>
      <c r="N322" s="9" t="n">
        <f aca="false">IFERROR(L322-M322,"")</f>
        <v>0</v>
      </c>
    </row>
    <row r="323" customFormat="false" ht="15" hidden="false" customHeight="false" outlineLevel="0" collapsed="false">
      <c r="A323" s="10"/>
      <c r="B323" s="12"/>
      <c r="C323" s="10"/>
      <c r="D323" s="14" t="str">
        <f aca="false">IFERROR(IF(C323="","",INDEX(Suppliers!$B$5:$B$504,MATCH(C323,Suppliers!$A$5:$A$504,0))),"")</f>
        <v/>
      </c>
      <c r="E323" s="10" t="s">
        <v>24</v>
      </c>
      <c r="F323" s="12"/>
      <c r="G323" s="12"/>
      <c r="H323" s="10"/>
      <c r="I323" s="10"/>
      <c r="J323" s="9" t="n">
        <f aca="false">IFERROR(SUMIFS(PurchaseOrderLines!$H$5:$H$504,PurchaseOrderLines!$B$5:$B$504,A323),"")</f>
        <v>0</v>
      </c>
      <c r="K323" s="9" t="n">
        <f aca="false">IFERROR(SUMIFS(PurchaseOrderLines!$I$5:$I$504,PurchaseOrderLines!$B$5:$B$504,A323),"")</f>
        <v>0</v>
      </c>
      <c r="L323" s="9" t="n">
        <f aca="false">IFERROR(J323+K323,"")</f>
        <v>0</v>
      </c>
      <c r="M323" s="9" t="n">
        <f aca="false">IFERROR(SUMIFS(Payments!$E$5:$E$504,Payments!$D$5:$D$504,A323,Payments!$C$5:$C$504,"Out"),"")</f>
        <v>0</v>
      </c>
      <c r="N323" s="9" t="n">
        <f aca="false">IFERROR(L323-M323,"")</f>
        <v>0</v>
      </c>
    </row>
    <row r="324" customFormat="false" ht="15" hidden="false" customHeight="false" outlineLevel="0" collapsed="false">
      <c r="A324" s="10"/>
      <c r="B324" s="12"/>
      <c r="C324" s="10"/>
      <c r="D324" s="14" t="str">
        <f aca="false">IFERROR(IF(C324="","",INDEX(Suppliers!$B$5:$B$504,MATCH(C324,Suppliers!$A$5:$A$504,0))),"")</f>
        <v/>
      </c>
      <c r="E324" s="10" t="s">
        <v>24</v>
      </c>
      <c r="F324" s="12"/>
      <c r="G324" s="12"/>
      <c r="H324" s="10"/>
      <c r="I324" s="10"/>
      <c r="J324" s="9" t="n">
        <f aca="false">IFERROR(SUMIFS(PurchaseOrderLines!$H$5:$H$504,PurchaseOrderLines!$B$5:$B$504,A324),"")</f>
        <v>0</v>
      </c>
      <c r="K324" s="9" t="n">
        <f aca="false">IFERROR(SUMIFS(PurchaseOrderLines!$I$5:$I$504,PurchaseOrderLines!$B$5:$B$504,A324),"")</f>
        <v>0</v>
      </c>
      <c r="L324" s="9" t="n">
        <f aca="false">IFERROR(J324+K324,"")</f>
        <v>0</v>
      </c>
      <c r="M324" s="9" t="n">
        <f aca="false">IFERROR(SUMIFS(Payments!$E$5:$E$504,Payments!$D$5:$D$504,A324,Payments!$C$5:$C$504,"Out"),"")</f>
        <v>0</v>
      </c>
      <c r="N324" s="9" t="n">
        <f aca="false">IFERROR(L324-M324,"")</f>
        <v>0</v>
      </c>
    </row>
    <row r="325" customFormat="false" ht="15" hidden="false" customHeight="false" outlineLevel="0" collapsed="false">
      <c r="A325" s="10"/>
      <c r="B325" s="12"/>
      <c r="C325" s="10"/>
      <c r="D325" s="14" t="str">
        <f aca="false">IFERROR(IF(C325="","",INDEX(Suppliers!$B$5:$B$504,MATCH(C325,Suppliers!$A$5:$A$504,0))),"")</f>
        <v/>
      </c>
      <c r="E325" s="10" t="s">
        <v>24</v>
      </c>
      <c r="F325" s="12"/>
      <c r="G325" s="12"/>
      <c r="H325" s="10"/>
      <c r="I325" s="10"/>
      <c r="J325" s="9" t="n">
        <f aca="false">IFERROR(SUMIFS(PurchaseOrderLines!$H$5:$H$504,PurchaseOrderLines!$B$5:$B$504,A325),"")</f>
        <v>0</v>
      </c>
      <c r="K325" s="9" t="n">
        <f aca="false">IFERROR(SUMIFS(PurchaseOrderLines!$I$5:$I$504,PurchaseOrderLines!$B$5:$B$504,A325),"")</f>
        <v>0</v>
      </c>
      <c r="L325" s="9" t="n">
        <f aca="false">IFERROR(J325+K325,"")</f>
        <v>0</v>
      </c>
      <c r="M325" s="9" t="n">
        <f aca="false">IFERROR(SUMIFS(Payments!$E$5:$E$504,Payments!$D$5:$D$504,A325,Payments!$C$5:$C$504,"Out"),"")</f>
        <v>0</v>
      </c>
      <c r="N325" s="9" t="n">
        <f aca="false">IFERROR(L325-M325,"")</f>
        <v>0</v>
      </c>
    </row>
    <row r="326" customFormat="false" ht="15" hidden="false" customHeight="false" outlineLevel="0" collapsed="false">
      <c r="A326" s="10"/>
      <c r="B326" s="12"/>
      <c r="C326" s="10"/>
      <c r="D326" s="14" t="str">
        <f aca="false">IFERROR(IF(C326="","",INDEX(Suppliers!$B$5:$B$504,MATCH(C326,Suppliers!$A$5:$A$504,0))),"")</f>
        <v/>
      </c>
      <c r="E326" s="10" t="s">
        <v>24</v>
      </c>
      <c r="F326" s="12"/>
      <c r="G326" s="12"/>
      <c r="H326" s="10"/>
      <c r="I326" s="10"/>
      <c r="J326" s="9" t="n">
        <f aca="false">IFERROR(SUMIFS(PurchaseOrderLines!$H$5:$H$504,PurchaseOrderLines!$B$5:$B$504,A326),"")</f>
        <v>0</v>
      </c>
      <c r="K326" s="9" t="n">
        <f aca="false">IFERROR(SUMIFS(PurchaseOrderLines!$I$5:$I$504,PurchaseOrderLines!$B$5:$B$504,A326),"")</f>
        <v>0</v>
      </c>
      <c r="L326" s="9" t="n">
        <f aca="false">IFERROR(J326+K326,"")</f>
        <v>0</v>
      </c>
      <c r="M326" s="9" t="n">
        <f aca="false">IFERROR(SUMIFS(Payments!$E$5:$E$504,Payments!$D$5:$D$504,A326,Payments!$C$5:$C$504,"Out"),"")</f>
        <v>0</v>
      </c>
      <c r="N326" s="9" t="n">
        <f aca="false">IFERROR(L326-M326,"")</f>
        <v>0</v>
      </c>
    </row>
    <row r="327" customFormat="false" ht="15" hidden="false" customHeight="false" outlineLevel="0" collapsed="false">
      <c r="A327" s="10"/>
      <c r="B327" s="12"/>
      <c r="C327" s="10"/>
      <c r="D327" s="14" t="str">
        <f aca="false">IFERROR(IF(C327="","",INDEX(Suppliers!$B$5:$B$504,MATCH(C327,Suppliers!$A$5:$A$504,0))),"")</f>
        <v/>
      </c>
      <c r="E327" s="10" t="s">
        <v>24</v>
      </c>
      <c r="F327" s="12"/>
      <c r="G327" s="12"/>
      <c r="H327" s="10"/>
      <c r="I327" s="10"/>
      <c r="J327" s="9" t="n">
        <f aca="false">IFERROR(SUMIFS(PurchaseOrderLines!$H$5:$H$504,PurchaseOrderLines!$B$5:$B$504,A327),"")</f>
        <v>0</v>
      </c>
      <c r="K327" s="9" t="n">
        <f aca="false">IFERROR(SUMIFS(PurchaseOrderLines!$I$5:$I$504,PurchaseOrderLines!$B$5:$B$504,A327),"")</f>
        <v>0</v>
      </c>
      <c r="L327" s="9" t="n">
        <f aca="false">IFERROR(J327+K327,"")</f>
        <v>0</v>
      </c>
      <c r="M327" s="9" t="n">
        <f aca="false">IFERROR(SUMIFS(Payments!$E$5:$E$504,Payments!$D$5:$D$504,A327,Payments!$C$5:$C$504,"Out"),"")</f>
        <v>0</v>
      </c>
      <c r="N327" s="9" t="n">
        <f aca="false">IFERROR(L327-M327,"")</f>
        <v>0</v>
      </c>
    </row>
    <row r="328" customFormat="false" ht="15" hidden="false" customHeight="false" outlineLevel="0" collapsed="false">
      <c r="A328" s="10"/>
      <c r="B328" s="12"/>
      <c r="C328" s="10"/>
      <c r="D328" s="14" t="str">
        <f aca="false">IFERROR(IF(C328="","",INDEX(Suppliers!$B$5:$B$504,MATCH(C328,Suppliers!$A$5:$A$504,0))),"")</f>
        <v/>
      </c>
      <c r="E328" s="10" t="s">
        <v>24</v>
      </c>
      <c r="F328" s="12"/>
      <c r="G328" s="12"/>
      <c r="H328" s="10"/>
      <c r="I328" s="10"/>
      <c r="J328" s="9" t="n">
        <f aca="false">IFERROR(SUMIFS(PurchaseOrderLines!$H$5:$H$504,PurchaseOrderLines!$B$5:$B$504,A328),"")</f>
        <v>0</v>
      </c>
      <c r="K328" s="9" t="n">
        <f aca="false">IFERROR(SUMIFS(PurchaseOrderLines!$I$5:$I$504,PurchaseOrderLines!$B$5:$B$504,A328),"")</f>
        <v>0</v>
      </c>
      <c r="L328" s="9" t="n">
        <f aca="false">IFERROR(J328+K328,"")</f>
        <v>0</v>
      </c>
      <c r="M328" s="9" t="n">
        <f aca="false">IFERROR(SUMIFS(Payments!$E$5:$E$504,Payments!$D$5:$D$504,A328,Payments!$C$5:$C$504,"Out"),"")</f>
        <v>0</v>
      </c>
      <c r="N328" s="9" t="n">
        <f aca="false">IFERROR(L328-M328,"")</f>
        <v>0</v>
      </c>
    </row>
    <row r="329" customFormat="false" ht="15" hidden="false" customHeight="false" outlineLevel="0" collapsed="false">
      <c r="A329" s="10"/>
      <c r="B329" s="12"/>
      <c r="C329" s="10"/>
      <c r="D329" s="14" t="str">
        <f aca="false">IFERROR(IF(C329="","",INDEX(Suppliers!$B$5:$B$504,MATCH(C329,Suppliers!$A$5:$A$504,0))),"")</f>
        <v/>
      </c>
      <c r="E329" s="10" t="s">
        <v>24</v>
      </c>
      <c r="F329" s="12"/>
      <c r="G329" s="12"/>
      <c r="H329" s="10"/>
      <c r="I329" s="10"/>
      <c r="J329" s="9" t="n">
        <f aca="false">IFERROR(SUMIFS(PurchaseOrderLines!$H$5:$H$504,PurchaseOrderLines!$B$5:$B$504,A329),"")</f>
        <v>0</v>
      </c>
      <c r="K329" s="9" t="n">
        <f aca="false">IFERROR(SUMIFS(PurchaseOrderLines!$I$5:$I$504,PurchaseOrderLines!$B$5:$B$504,A329),"")</f>
        <v>0</v>
      </c>
      <c r="L329" s="9" t="n">
        <f aca="false">IFERROR(J329+K329,"")</f>
        <v>0</v>
      </c>
      <c r="M329" s="9" t="n">
        <f aca="false">IFERROR(SUMIFS(Payments!$E$5:$E$504,Payments!$D$5:$D$504,A329,Payments!$C$5:$C$504,"Out"),"")</f>
        <v>0</v>
      </c>
      <c r="N329" s="9" t="n">
        <f aca="false">IFERROR(L329-M329,"")</f>
        <v>0</v>
      </c>
    </row>
    <row r="330" customFormat="false" ht="15" hidden="false" customHeight="false" outlineLevel="0" collapsed="false">
      <c r="A330" s="10"/>
      <c r="B330" s="12"/>
      <c r="C330" s="10"/>
      <c r="D330" s="14" t="str">
        <f aca="false">IFERROR(IF(C330="","",INDEX(Suppliers!$B$5:$B$504,MATCH(C330,Suppliers!$A$5:$A$504,0))),"")</f>
        <v/>
      </c>
      <c r="E330" s="10" t="s">
        <v>24</v>
      </c>
      <c r="F330" s="12"/>
      <c r="G330" s="12"/>
      <c r="H330" s="10"/>
      <c r="I330" s="10"/>
      <c r="J330" s="9" t="n">
        <f aca="false">IFERROR(SUMIFS(PurchaseOrderLines!$H$5:$H$504,PurchaseOrderLines!$B$5:$B$504,A330),"")</f>
        <v>0</v>
      </c>
      <c r="K330" s="9" t="n">
        <f aca="false">IFERROR(SUMIFS(PurchaseOrderLines!$I$5:$I$504,PurchaseOrderLines!$B$5:$B$504,A330),"")</f>
        <v>0</v>
      </c>
      <c r="L330" s="9" t="n">
        <f aca="false">IFERROR(J330+K330,"")</f>
        <v>0</v>
      </c>
      <c r="M330" s="9" t="n">
        <f aca="false">IFERROR(SUMIFS(Payments!$E$5:$E$504,Payments!$D$5:$D$504,A330,Payments!$C$5:$C$504,"Out"),"")</f>
        <v>0</v>
      </c>
      <c r="N330" s="9" t="n">
        <f aca="false">IFERROR(L330-M330,"")</f>
        <v>0</v>
      </c>
    </row>
    <row r="331" customFormat="false" ht="15" hidden="false" customHeight="false" outlineLevel="0" collapsed="false">
      <c r="A331" s="10"/>
      <c r="B331" s="12"/>
      <c r="C331" s="10"/>
      <c r="D331" s="14" t="str">
        <f aca="false">IFERROR(IF(C331="","",INDEX(Suppliers!$B$5:$B$504,MATCH(C331,Suppliers!$A$5:$A$504,0))),"")</f>
        <v/>
      </c>
      <c r="E331" s="10" t="s">
        <v>24</v>
      </c>
      <c r="F331" s="12"/>
      <c r="G331" s="12"/>
      <c r="H331" s="10"/>
      <c r="I331" s="10"/>
      <c r="J331" s="9" t="n">
        <f aca="false">IFERROR(SUMIFS(PurchaseOrderLines!$H$5:$H$504,PurchaseOrderLines!$B$5:$B$504,A331),"")</f>
        <v>0</v>
      </c>
      <c r="K331" s="9" t="n">
        <f aca="false">IFERROR(SUMIFS(PurchaseOrderLines!$I$5:$I$504,PurchaseOrderLines!$B$5:$B$504,A331),"")</f>
        <v>0</v>
      </c>
      <c r="L331" s="9" t="n">
        <f aca="false">IFERROR(J331+K331,"")</f>
        <v>0</v>
      </c>
      <c r="M331" s="9" t="n">
        <f aca="false">IFERROR(SUMIFS(Payments!$E$5:$E$504,Payments!$D$5:$D$504,A331,Payments!$C$5:$C$504,"Out"),"")</f>
        <v>0</v>
      </c>
      <c r="N331" s="9" t="n">
        <f aca="false">IFERROR(L331-M331,"")</f>
        <v>0</v>
      </c>
    </row>
    <row r="332" customFormat="false" ht="15" hidden="false" customHeight="false" outlineLevel="0" collapsed="false">
      <c r="A332" s="10"/>
      <c r="B332" s="12"/>
      <c r="C332" s="10"/>
      <c r="D332" s="14" t="str">
        <f aca="false">IFERROR(IF(C332="","",INDEX(Suppliers!$B$5:$B$504,MATCH(C332,Suppliers!$A$5:$A$504,0))),"")</f>
        <v/>
      </c>
      <c r="E332" s="10" t="s">
        <v>24</v>
      </c>
      <c r="F332" s="12"/>
      <c r="G332" s="12"/>
      <c r="H332" s="10"/>
      <c r="I332" s="10"/>
      <c r="J332" s="9" t="n">
        <f aca="false">IFERROR(SUMIFS(PurchaseOrderLines!$H$5:$H$504,PurchaseOrderLines!$B$5:$B$504,A332),"")</f>
        <v>0</v>
      </c>
      <c r="K332" s="9" t="n">
        <f aca="false">IFERROR(SUMIFS(PurchaseOrderLines!$I$5:$I$504,PurchaseOrderLines!$B$5:$B$504,A332),"")</f>
        <v>0</v>
      </c>
      <c r="L332" s="9" t="n">
        <f aca="false">IFERROR(J332+K332,"")</f>
        <v>0</v>
      </c>
      <c r="M332" s="9" t="n">
        <f aca="false">IFERROR(SUMIFS(Payments!$E$5:$E$504,Payments!$D$5:$D$504,A332,Payments!$C$5:$C$504,"Out"),"")</f>
        <v>0</v>
      </c>
      <c r="N332" s="9" t="n">
        <f aca="false">IFERROR(L332-M332,"")</f>
        <v>0</v>
      </c>
    </row>
    <row r="333" customFormat="false" ht="15" hidden="false" customHeight="false" outlineLevel="0" collapsed="false">
      <c r="A333" s="10"/>
      <c r="B333" s="12"/>
      <c r="C333" s="10"/>
      <c r="D333" s="14" t="str">
        <f aca="false">IFERROR(IF(C333="","",INDEX(Suppliers!$B$5:$B$504,MATCH(C333,Suppliers!$A$5:$A$504,0))),"")</f>
        <v/>
      </c>
      <c r="E333" s="10" t="s">
        <v>24</v>
      </c>
      <c r="F333" s="12"/>
      <c r="G333" s="12"/>
      <c r="H333" s="10"/>
      <c r="I333" s="10"/>
      <c r="J333" s="9" t="n">
        <f aca="false">IFERROR(SUMIFS(PurchaseOrderLines!$H$5:$H$504,PurchaseOrderLines!$B$5:$B$504,A333),"")</f>
        <v>0</v>
      </c>
      <c r="K333" s="9" t="n">
        <f aca="false">IFERROR(SUMIFS(PurchaseOrderLines!$I$5:$I$504,PurchaseOrderLines!$B$5:$B$504,A333),"")</f>
        <v>0</v>
      </c>
      <c r="L333" s="9" t="n">
        <f aca="false">IFERROR(J333+K333,"")</f>
        <v>0</v>
      </c>
      <c r="M333" s="9" t="n">
        <f aca="false">IFERROR(SUMIFS(Payments!$E$5:$E$504,Payments!$D$5:$D$504,A333,Payments!$C$5:$C$504,"Out"),"")</f>
        <v>0</v>
      </c>
      <c r="N333" s="9" t="n">
        <f aca="false">IFERROR(L333-M333,"")</f>
        <v>0</v>
      </c>
    </row>
    <row r="334" customFormat="false" ht="15" hidden="false" customHeight="false" outlineLevel="0" collapsed="false">
      <c r="A334" s="10"/>
      <c r="B334" s="12"/>
      <c r="C334" s="10"/>
      <c r="D334" s="14" t="str">
        <f aca="false">IFERROR(IF(C334="","",INDEX(Suppliers!$B$5:$B$504,MATCH(C334,Suppliers!$A$5:$A$504,0))),"")</f>
        <v/>
      </c>
      <c r="E334" s="10" t="s">
        <v>24</v>
      </c>
      <c r="F334" s="12"/>
      <c r="G334" s="12"/>
      <c r="H334" s="10"/>
      <c r="I334" s="10"/>
      <c r="J334" s="9" t="n">
        <f aca="false">IFERROR(SUMIFS(PurchaseOrderLines!$H$5:$H$504,PurchaseOrderLines!$B$5:$B$504,A334),"")</f>
        <v>0</v>
      </c>
      <c r="K334" s="9" t="n">
        <f aca="false">IFERROR(SUMIFS(PurchaseOrderLines!$I$5:$I$504,PurchaseOrderLines!$B$5:$B$504,A334),"")</f>
        <v>0</v>
      </c>
      <c r="L334" s="9" t="n">
        <f aca="false">IFERROR(J334+K334,"")</f>
        <v>0</v>
      </c>
      <c r="M334" s="9" t="n">
        <f aca="false">IFERROR(SUMIFS(Payments!$E$5:$E$504,Payments!$D$5:$D$504,A334,Payments!$C$5:$C$504,"Out"),"")</f>
        <v>0</v>
      </c>
      <c r="N334" s="9" t="n">
        <f aca="false">IFERROR(L334-M334,"")</f>
        <v>0</v>
      </c>
    </row>
    <row r="335" customFormat="false" ht="15" hidden="false" customHeight="false" outlineLevel="0" collapsed="false">
      <c r="A335" s="10"/>
      <c r="B335" s="12"/>
      <c r="C335" s="10"/>
      <c r="D335" s="14" t="str">
        <f aca="false">IFERROR(IF(C335="","",INDEX(Suppliers!$B$5:$B$504,MATCH(C335,Suppliers!$A$5:$A$504,0))),"")</f>
        <v/>
      </c>
      <c r="E335" s="10" t="s">
        <v>24</v>
      </c>
      <c r="F335" s="12"/>
      <c r="G335" s="12"/>
      <c r="H335" s="10"/>
      <c r="I335" s="10"/>
      <c r="J335" s="9" t="n">
        <f aca="false">IFERROR(SUMIFS(PurchaseOrderLines!$H$5:$H$504,PurchaseOrderLines!$B$5:$B$504,A335),"")</f>
        <v>0</v>
      </c>
      <c r="K335" s="9" t="n">
        <f aca="false">IFERROR(SUMIFS(PurchaseOrderLines!$I$5:$I$504,PurchaseOrderLines!$B$5:$B$504,A335),"")</f>
        <v>0</v>
      </c>
      <c r="L335" s="9" t="n">
        <f aca="false">IFERROR(J335+K335,"")</f>
        <v>0</v>
      </c>
      <c r="M335" s="9" t="n">
        <f aca="false">IFERROR(SUMIFS(Payments!$E$5:$E$504,Payments!$D$5:$D$504,A335,Payments!$C$5:$C$504,"Out"),"")</f>
        <v>0</v>
      </c>
      <c r="N335" s="9" t="n">
        <f aca="false">IFERROR(L335-M335,"")</f>
        <v>0</v>
      </c>
    </row>
    <row r="336" customFormat="false" ht="15" hidden="false" customHeight="false" outlineLevel="0" collapsed="false">
      <c r="A336" s="10"/>
      <c r="B336" s="12"/>
      <c r="C336" s="10"/>
      <c r="D336" s="14" t="str">
        <f aca="false">IFERROR(IF(C336="","",INDEX(Suppliers!$B$5:$B$504,MATCH(C336,Suppliers!$A$5:$A$504,0))),"")</f>
        <v/>
      </c>
      <c r="E336" s="10" t="s">
        <v>24</v>
      </c>
      <c r="F336" s="12"/>
      <c r="G336" s="12"/>
      <c r="H336" s="10"/>
      <c r="I336" s="10"/>
      <c r="J336" s="9" t="n">
        <f aca="false">IFERROR(SUMIFS(PurchaseOrderLines!$H$5:$H$504,PurchaseOrderLines!$B$5:$B$504,A336),"")</f>
        <v>0</v>
      </c>
      <c r="K336" s="9" t="n">
        <f aca="false">IFERROR(SUMIFS(PurchaseOrderLines!$I$5:$I$504,PurchaseOrderLines!$B$5:$B$504,A336),"")</f>
        <v>0</v>
      </c>
      <c r="L336" s="9" t="n">
        <f aca="false">IFERROR(J336+K336,"")</f>
        <v>0</v>
      </c>
      <c r="M336" s="9" t="n">
        <f aca="false">IFERROR(SUMIFS(Payments!$E$5:$E$504,Payments!$D$5:$D$504,A336,Payments!$C$5:$C$504,"Out"),"")</f>
        <v>0</v>
      </c>
      <c r="N336" s="9" t="n">
        <f aca="false">IFERROR(L336-M336,"")</f>
        <v>0</v>
      </c>
    </row>
    <row r="337" customFormat="false" ht="15" hidden="false" customHeight="false" outlineLevel="0" collapsed="false">
      <c r="A337" s="10"/>
      <c r="B337" s="12"/>
      <c r="C337" s="10"/>
      <c r="D337" s="14" t="str">
        <f aca="false">IFERROR(IF(C337="","",INDEX(Suppliers!$B$5:$B$504,MATCH(C337,Suppliers!$A$5:$A$504,0))),"")</f>
        <v/>
      </c>
      <c r="E337" s="10" t="s">
        <v>24</v>
      </c>
      <c r="F337" s="12"/>
      <c r="G337" s="12"/>
      <c r="H337" s="10"/>
      <c r="I337" s="10"/>
      <c r="J337" s="9" t="n">
        <f aca="false">IFERROR(SUMIFS(PurchaseOrderLines!$H$5:$H$504,PurchaseOrderLines!$B$5:$B$504,A337),"")</f>
        <v>0</v>
      </c>
      <c r="K337" s="9" t="n">
        <f aca="false">IFERROR(SUMIFS(PurchaseOrderLines!$I$5:$I$504,PurchaseOrderLines!$B$5:$B$504,A337),"")</f>
        <v>0</v>
      </c>
      <c r="L337" s="9" t="n">
        <f aca="false">IFERROR(J337+K337,"")</f>
        <v>0</v>
      </c>
      <c r="M337" s="9" t="n">
        <f aca="false">IFERROR(SUMIFS(Payments!$E$5:$E$504,Payments!$D$5:$D$504,A337,Payments!$C$5:$C$504,"Out"),"")</f>
        <v>0</v>
      </c>
      <c r="N337" s="9" t="n">
        <f aca="false">IFERROR(L337-M337,"")</f>
        <v>0</v>
      </c>
    </row>
    <row r="338" customFormat="false" ht="15" hidden="false" customHeight="false" outlineLevel="0" collapsed="false">
      <c r="A338" s="10"/>
      <c r="B338" s="12"/>
      <c r="C338" s="10"/>
      <c r="D338" s="14" t="str">
        <f aca="false">IFERROR(IF(C338="","",INDEX(Suppliers!$B$5:$B$504,MATCH(C338,Suppliers!$A$5:$A$504,0))),"")</f>
        <v/>
      </c>
      <c r="E338" s="10" t="s">
        <v>24</v>
      </c>
      <c r="F338" s="12"/>
      <c r="G338" s="12"/>
      <c r="H338" s="10"/>
      <c r="I338" s="10"/>
      <c r="J338" s="9" t="n">
        <f aca="false">IFERROR(SUMIFS(PurchaseOrderLines!$H$5:$H$504,PurchaseOrderLines!$B$5:$B$504,A338),"")</f>
        <v>0</v>
      </c>
      <c r="K338" s="9" t="n">
        <f aca="false">IFERROR(SUMIFS(PurchaseOrderLines!$I$5:$I$504,PurchaseOrderLines!$B$5:$B$504,A338),"")</f>
        <v>0</v>
      </c>
      <c r="L338" s="9" t="n">
        <f aca="false">IFERROR(J338+K338,"")</f>
        <v>0</v>
      </c>
      <c r="M338" s="9" t="n">
        <f aca="false">IFERROR(SUMIFS(Payments!$E$5:$E$504,Payments!$D$5:$D$504,A338,Payments!$C$5:$C$504,"Out"),"")</f>
        <v>0</v>
      </c>
      <c r="N338" s="9" t="n">
        <f aca="false">IFERROR(L338-M338,"")</f>
        <v>0</v>
      </c>
    </row>
    <row r="339" customFormat="false" ht="15" hidden="false" customHeight="false" outlineLevel="0" collapsed="false">
      <c r="A339" s="10"/>
      <c r="B339" s="12"/>
      <c r="C339" s="10"/>
      <c r="D339" s="14" t="str">
        <f aca="false">IFERROR(IF(C339="","",INDEX(Suppliers!$B$5:$B$504,MATCH(C339,Suppliers!$A$5:$A$504,0))),"")</f>
        <v/>
      </c>
      <c r="E339" s="10" t="s">
        <v>24</v>
      </c>
      <c r="F339" s="12"/>
      <c r="G339" s="12"/>
      <c r="H339" s="10"/>
      <c r="I339" s="10"/>
      <c r="J339" s="9" t="n">
        <f aca="false">IFERROR(SUMIFS(PurchaseOrderLines!$H$5:$H$504,PurchaseOrderLines!$B$5:$B$504,A339),"")</f>
        <v>0</v>
      </c>
      <c r="K339" s="9" t="n">
        <f aca="false">IFERROR(SUMIFS(PurchaseOrderLines!$I$5:$I$504,PurchaseOrderLines!$B$5:$B$504,A339),"")</f>
        <v>0</v>
      </c>
      <c r="L339" s="9" t="n">
        <f aca="false">IFERROR(J339+K339,"")</f>
        <v>0</v>
      </c>
      <c r="M339" s="9" t="n">
        <f aca="false">IFERROR(SUMIFS(Payments!$E$5:$E$504,Payments!$D$5:$D$504,A339,Payments!$C$5:$C$504,"Out"),"")</f>
        <v>0</v>
      </c>
      <c r="N339" s="9" t="n">
        <f aca="false">IFERROR(L339-M339,"")</f>
        <v>0</v>
      </c>
    </row>
    <row r="340" customFormat="false" ht="15" hidden="false" customHeight="false" outlineLevel="0" collapsed="false">
      <c r="A340" s="10"/>
      <c r="B340" s="12"/>
      <c r="C340" s="10"/>
      <c r="D340" s="14" t="str">
        <f aca="false">IFERROR(IF(C340="","",INDEX(Suppliers!$B$5:$B$504,MATCH(C340,Suppliers!$A$5:$A$504,0))),"")</f>
        <v/>
      </c>
      <c r="E340" s="10" t="s">
        <v>24</v>
      </c>
      <c r="F340" s="12"/>
      <c r="G340" s="12"/>
      <c r="H340" s="10"/>
      <c r="I340" s="10"/>
      <c r="J340" s="9" t="n">
        <f aca="false">IFERROR(SUMIFS(PurchaseOrderLines!$H$5:$H$504,PurchaseOrderLines!$B$5:$B$504,A340),"")</f>
        <v>0</v>
      </c>
      <c r="K340" s="9" t="n">
        <f aca="false">IFERROR(SUMIFS(PurchaseOrderLines!$I$5:$I$504,PurchaseOrderLines!$B$5:$B$504,A340),"")</f>
        <v>0</v>
      </c>
      <c r="L340" s="9" t="n">
        <f aca="false">IFERROR(J340+K340,"")</f>
        <v>0</v>
      </c>
      <c r="M340" s="9" t="n">
        <f aca="false">IFERROR(SUMIFS(Payments!$E$5:$E$504,Payments!$D$5:$D$504,A340,Payments!$C$5:$C$504,"Out"),"")</f>
        <v>0</v>
      </c>
      <c r="N340" s="9" t="n">
        <f aca="false">IFERROR(L340-M340,"")</f>
        <v>0</v>
      </c>
    </row>
    <row r="341" customFormat="false" ht="15" hidden="false" customHeight="false" outlineLevel="0" collapsed="false">
      <c r="A341" s="10"/>
      <c r="B341" s="12"/>
      <c r="C341" s="10"/>
      <c r="D341" s="14" t="str">
        <f aca="false">IFERROR(IF(C341="","",INDEX(Suppliers!$B$5:$B$504,MATCH(C341,Suppliers!$A$5:$A$504,0))),"")</f>
        <v/>
      </c>
      <c r="E341" s="10" t="s">
        <v>24</v>
      </c>
      <c r="F341" s="12"/>
      <c r="G341" s="12"/>
      <c r="H341" s="10"/>
      <c r="I341" s="10"/>
      <c r="J341" s="9" t="n">
        <f aca="false">IFERROR(SUMIFS(PurchaseOrderLines!$H$5:$H$504,PurchaseOrderLines!$B$5:$B$504,A341),"")</f>
        <v>0</v>
      </c>
      <c r="K341" s="9" t="n">
        <f aca="false">IFERROR(SUMIFS(PurchaseOrderLines!$I$5:$I$504,PurchaseOrderLines!$B$5:$B$504,A341),"")</f>
        <v>0</v>
      </c>
      <c r="L341" s="9" t="n">
        <f aca="false">IFERROR(J341+K341,"")</f>
        <v>0</v>
      </c>
      <c r="M341" s="9" t="n">
        <f aca="false">IFERROR(SUMIFS(Payments!$E$5:$E$504,Payments!$D$5:$D$504,A341,Payments!$C$5:$C$504,"Out"),"")</f>
        <v>0</v>
      </c>
      <c r="N341" s="9" t="n">
        <f aca="false">IFERROR(L341-M341,"")</f>
        <v>0</v>
      </c>
    </row>
    <row r="342" customFormat="false" ht="15" hidden="false" customHeight="false" outlineLevel="0" collapsed="false">
      <c r="A342" s="10"/>
      <c r="B342" s="12"/>
      <c r="C342" s="10"/>
      <c r="D342" s="14" t="str">
        <f aca="false">IFERROR(IF(C342="","",INDEX(Suppliers!$B$5:$B$504,MATCH(C342,Suppliers!$A$5:$A$504,0))),"")</f>
        <v/>
      </c>
      <c r="E342" s="10" t="s">
        <v>24</v>
      </c>
      <c r="F342" s="12"/>
      <c r="G342" s="12"/>
      <c r="H342" s="10"/>
      <c r="I342" s="10"/>
      <c r="J342" s="9" t="n">
        <f aca="false">IFERROR(SUMIFS(PurchaseOrderLines!$H$5:$H$504,PurchaseOrderLines!$B$5:$B$504,A342),"")</f>
        <v>0</v>
      </c>
      <c r="K342" s="9" t="n">
        <f aca="false">IFERROR(SUMIFS(PurchaseOrderLines!$I$5:$I$504,PurchaseOrderLines!$B$5:$B$504,A342),"")</f>
        <v>0</v>
      </c>
      <c r="L342" s="9" t="n">
        <f aca="false">IFERROR(J342+K342,"")</f>
        <v>0</v>
      </c>
      <c r="M342" s="9" t="n">
        <f aca="false">IFERROR(SUMIFS(Payments!$E$5:$E$504,Payments!$D$5:$D$504,A342,Payments!$C$5:$C$504,"Out"),"")</f>
        <v>0</v>
      </c>
      <c r="N342" s="9" t="n">
        <f aca="false">IFERROR(L342-M342,"")</f>
        <v>0</v>
      </c>
    </row>
    <row r="343" customFormat="false" ht="15" hidden="false" customHeight="false" outlineLevel="0" collapsed="false">
      <c r="A343" s="10"/>
      <c r="B343" s="12"/>
      <c r="C343" s="10"/>
      <c r="D343" s="14" t="str">
        <f aca="false">IFERROR(IF(C343="","",INDEX(Suppliers!$B$5:$B$504,MATCH(C343,Suppliers!$A$5:$A$504,0))),"")</f>
        <v/>
      </c>
      <c r="E343" s="10" t="s">
        <v>24</v>
      </c>
      <c r="F343" s="12"/>
      <c r="G343" s="12"/>
      <c r="H343" s="10"/>
      <c r="I343" s="10"/>
      <c r="J343" s="9" t="n">
        <f aca="false">IFERROR(SUMIFS(PurchaseOrderLines!$H$5:$H$504,PurchaseOrderLines!$B$5:$B$504,A343),"")</f>
        <v>0</v>
      </c>
      <c r="K343" s="9" t="n">
        <f aca="false">IFERROR(SUMIFS(PurchaseOrderLines!$I$5:$I$504,PurchaseOrderLines!$B$5:$B$504,A343),"")</f>
        <v>0</v>
      </c>
      <c r="L343" s="9" t="n">
        <f aca="false">IFERROR(J343+K343,"")</f>
        <v>0</v>
      </c>
      <c r="M343" s="9" t="n">
        <f aca="false">IFERROR(SUMIFS(Payments!$E$5:$E$504,Payments!$D$5:$D$504,A343,Payments!$C$5:$C$504,"Out"),"")</f>
        <v>0</v>
      </c>
      <c r="N343" s="9" t="n">
        <f aca="false">IFERROR(L343-M343,"")</f>
        <v>0</v>
      </c>
    </row>
    <row r="344" customFormat="false" ht="15" hidden="false" customHeight="false" outlineLevel="0" collapsed="false">
      <c r="A344" s="10"/>
      <c r="B344" s="12"/>
      <c r="C344" s="10"/>
      <c r="D344" s="14" t="str">
        <f aca="false">IFERROR(IF(C344="","",INDEX(Suppliers!$B$5:$B$504,MATCH(C344,Suppliers!$A$5:$A$504,0))),"")</f>
        <v/>
      </c>
      <c r="E344" s="10" t="s">
        <v>24</v>
      </c>
      <c r="F344" s="12"/>
      <c r="G344" s="12"/>
      <c r="H344" s="10"/>
      <c r="I344" s="10"/>
      <c r="J344" s="9" t="n">
        <f aca="false">IFERROR(SUMIFS(PurchaseOrderLines!$H$5:$H$504,PurchaseOrderLines!$B$5:$B$504,A344),"")</f>
        <v>0</v>
      </c>
      <c r="K344" s="9" t="n">
        <f aca="false">IFERROR(SUMIFS(PurchaseOrderLines!$I$5:$I$504,PurchaseOrderLines!$B$5:$B$504,A344),"")</f>
        <v>0</v>
      </c>
      <c r="L344" s="9" t="n">
        <f aca="false">IFERROR(J344+K344,"")</f>
        <v>0</v>
      </c>
      <c r="M344" s="9" t="n">
        <f aca="false">IFERROR(SUMIFS(Payments!$E$5:$E$504,Payments!$D$5:$D$504,A344,Payments!$C$5:$C$504,"Out"),"")</f>
        <v>0</v>
      </c>
      <c r="N344" s="9" t="n">
        <f aca="false">IFERROR(L344-M344,"")</f>
        <v>0</v>
      </c>
    </row>
    <row r="345" customFormat="false" ht="15" hidden="false" customHeight="false" outlineLevel="0" collapsed="false">
      <c r="A345" s="10"/>
      <c r="B345" s="12"/>
      <c r="C345" s="10"/>
      <c r="D345" s="14" t="str">
        <f aca="false">IFERROR(IF(C345="","",INDEX(Suppliers!$B$5:$B$504,MATCH(C345,Suppliers!$A$5:$A$504,0))),"")</f>
        <v/>
      </c>
      <c r="E345" s="10" t="s">
        <v>24</v>
      </c>
      <c r="F345" s="12"/>
      <c r="G345" s="12"/>
      <c r="H345" s="10"/>
      <c r="I345" s="10"/>
      <c r="J345" s="9" t="n">
        <f aca="false">IFERROR(SUMIFS(PurchaseOrderLines!$H$5:$H$504,PurchaseOrderLines!$B$5:$B$504,A345),"")</f>
        <v>0</v>
      </c>
      <c r="K345" s="9" t="n">
        <f aca="false">IFERROR(SUMIFS(PurchaseOrderLines!$I$5:$I$504,PurchaseOrderLines!$B$5:$B$504,A345),"")</f>
        <v>0</v>
      </c>
      <c r="L345" s="9" t="n">
        <f aca="false">IFERROR(J345+K345,"")</f>
        <v>0</v>
      </c>
      <c r="M345" s="9" t="n">
        <f aca="false">IFERROR(SUMIFS(Payments!$E$5:$E$504,Payments!$D$5:$D$504,A345,Payments!$C$5:$C$504,"Out"),"")</f>
        <v>0</v>
      </c>
      <c r="N345" s="9" t="n">
        <f aca="false">IFERROR(L345-M345,"")</f>
        <v>0</v>
      </c>
    </row>
    <row r="346" customFormat="false" ht="15" hidden="false" customHeight="false" outlineLevel="0" collapsed="false">
      <c r="A346" s="10"/>
      <c r="B346" s="12"/>
      <c r="C346" s="10"/>
      <c r="D346" s="14" t="str">
        <f aca="false">IFERROR(IF(C346="","",INDEX(Suppliers!$B$5:$B$504,MATCH(C346,Suppliers!$A$5:$A$504,0))),"")</f>
        <v/>
      </c>
      <c r="E346" s="10" t="s">
        <v>24</v>
      </c>
      <c r="F346" s="12"/>
      <c r="G346" s="12"/>
      <c r="H346" s="10"/>
      <c r="I346" s="10"/>
      <c r="J346" s="9" t="n">
        <f aca="false">IFERROR(SUMIFS(PurchaseOrderLines!$H$5:$H$504,PurchaseOrderLines!$B$5:$B$504,A346),"")</f>
        <v>0</v>
      </c>
      <c r="K346" s="9" t="n">
        <f aca="false">IFERROR(SUMIFS(PurchaseOrderLines!$I$5:$I$504,PurchaseOrderLines!$B$5:$B$504,A346),"")</f>
        <v>0</v>
      </c>
      <c r="L346" s="9" t="n">
        <f aca="false">IFERROR(J346+K346,"")</f>
        <v>0</v>
      </c>
      <c r="M346" s="9" t="n">
        <f aca="false">IFERROR(SUMIFS(Payments!$E$5:$E$504,Payments!$D$5:$D$504,A346,Payments!$C$5:$C$504,"Out"),"")</f>
        <v>0</v>
      </c>
      <c r="N346" s="9" t="n">
        <f aca="false">IFERROR(L346-M346,"")</f>
        <v>0</v>
      </c>
    </row>
    <row r="347" customFormat="false" ht="15" hidden="false" customHeight="false" outlineLevel="0" collapsed="false">
      <c r="A347" s="10"/>
      <c r="B347" s="12"/>
      <c r="C347" s="10"/>
      <c r="D347" s="14" t="str">
        <f aca="false">IFERROR(IF(C347="","",INDEX(Suppliers!$B$5:$B$504,MATCH(C347,Suppliers!$A$5:$A$504,0))),"")</f>
        <v/>
      </c>
      <c r="E347" s="10" t="s">
        <v>24</v>
      </c>
      <c r="F347" s="12"/>
      <c r="G347" s="12"/>
      <c r="H347" s="10"/>
      <c r="I347" s="10"/>
      <c r="J347" s="9" t="n">
        <f aca="false">IFERROR(SUMIFS(PurchaseOrderLines!$H$5:$H$504,PurchaseOrderLines!$B$5:$B$504,A347),"")</f>
        <v>0</v>
      </c>
      <c r="K347" s="9" t="n">
        <f aca="false">IFERROR(SUMIFS(PurchaseOrderLines!$I$5:$I$504,PurchaseOrderLines!$B$5:$B$504,A347),"")</f>
        <v>0</v>
      </c>
      <c r="L347" s="9" t="n">
        <f aca="false">IFERROR(J347+K347,"")</f>
        <v>0</v>
      </c>
      <c r="M347" s="9" t="n">
        <f aca="false">IFERROR(SUMIFS(Payments!$E$5:$E$504,Payments!$D$5:$D$504,A347,Payments!$C$5:$C$504,"Out"),"")</f>
        <v>0</v>
      </c>
      <c r="N347" s="9" t="n">
        <f aca="false">IFERROR(L347-M347,"")</f>
        <v>0</v>
      </c>
    </row>
    <row r="348" customFormat="false" ht="15" hidden="false" customHeight="false" outlineLevel="0" collapsed="false">
      <c r="A348" s="10"/>
      <c r="B348" s="12"/>
      <c r="C348" s="10"/>
      <c r="D348" s="14" t="str">
        <f aca="false">IFERROR(IF(C348="","",INDEX(Suppliers!$B$5:$B$504,MATCH(C348,Suppliers!$A$5:$A$504,0))),"")</f>
        <v/>
      </c>
      <c r="E348" s="10" t="s">
        <v>24</v>
      </c>
      <c r="F348" s="12"/>
      <c r="G348" s="12"/>
      <c r="H348" s="10"/>
      <c r="I348" s="10"/>
      <c r="J348" s="9" t="n">
        <f aca="false">IFERROR(SUMIFS(PurchaseOrderLines!$H$5:$H$504,PurchaseOrderLines!$B$5:$B$504,A348),"")</f>
        <v>0</v>
      </c>
      <c r="K348" s="9" t="n">
        <f aca="false">IFERROR(SUMIFS(PurchaseOrderLines!$I$5:$I$504,PurchaseOrderLines!$B$5:$B$504,A348),"")</f>
        <v>0</v>
      </c>
      <c r="L348" s="9" t="n">
        <f aca="false">IFERROR(J348+K348,"")</f>
        <v>0</v>
      </c>
      <c r="M348" s="9" t="n">
        <f aca="false">IFERROR(SUMIFS(Payments!$E$5:$E$504,Payments!$D$5:$D$504,A348,Payments!$C$5:$C$504,"Out"),"")</f>
        <v>0</v>
      </c>
      <c r="N348" s="9" t="n">
        <f aca="false">IFERROR(L348-M348,"")</f>
        <v>0</v>
      </c>
    </row>
    <row r="349" customFormat="false" ht="15" hidden="false" customHeight="false" outlineLevel="0" collapsed="false">
      <c r="A349" s="10"/>
      <c r="B349" s="12"/>
      <c r="C349" s="10"/>
      <c r="D349" s="14" t="str">
        <f aca="false">IFERROR(IF(C349="","",INDEX(Suppliers!$B$5:$B$504,MATCH(C349,Suppliers!$A$5:$A$504,0))),"")</f>
        <v/>
      </c>
      <c r="E349" s="10" t="s">
        <v>24</v>
      </c>
      <c r="F349" s="12"/>
      <c r="G349" s="12"/>
      <c r="H349" s="10"/>
      <c r="I349" s="10"/>
      <c r="J349" s="9" t="n">
        <f aca="false">IFERROR(SUMIFS(PurchaseOrderLines!$H$5:$H$504,PurchaseOrderLines!$B$5:$B$504,A349),"")</f>
        <v>0</v>
      </c>
      <c r="K349" s="9" t="n">
        <f aca="false">IFERROR(SUMIFS(PurchaseOrderLines!$I$5:$I$504,PurchaseOrderLines!$B$5:$B$504,A349),"")</f>
        <v>0</v>
      </c>
      <c r="L349" s="9" t="n">
        <f aca="false">IFERROR(J349+K349,"")</f>
        <v>0</v>
      </c>
      <c r="M349" s="9" t="n">
        <f aca="false">IFERROR(SUMIFS(Payments!$E$5:$E$504,Payments!$D$5:$D$504,A349,Payments!$C$5:$C$504,"Out"),"")</f>
        <v>0</v>
      </c>
      <c r="N349" s="9" t="n">
        <f aca="false">IFERROR(L349-M349,"")</f>
        <v>0</v>
      </c>
    </row>
    <row r="350" customFormat="false" ht="15" hidden="false" customHeight="false" outlineLevel="0" collapsed="false">
      <c r="A350" s="10"/>
      <c r="B350" s="12"/>
      <c r="C350" s="10"/>
      <c r="D350" s="14" t="str">
        <f aca="false">IFERROR(IF(C350="","",INDEX(Suppliers!$B$5:$B$504,MATCH(C350,Suppliers!$A$5:$A$504,0))),"")</f>
        <v/>
      </c>
      <c r="E350" s="10" t="s">
        <v>24</v>
      </c>
      <c r="F350" s="12"/>
      <c r="G350" s="12"/>
      <c r="H350" s="10"/>
      <c r="I350" s="10"/>
      <c r="J350" s="9" t="n">
        <f aca="false">IFERROR(SUMIFS(PurchaseOrderLines!$H$5:$H$504,PurchaseOrderLines!$B$5:$B$504,A350),"")</f>
        <v>0</v>
      </c>
      <c r="K350" s="9" t="n">
        <f aca="false">IFERROR(SUMIFS(PurchaseOrderLines!$I$5:$I$504,PurchaseOrderLines!$B$5:$B$504,A350),"")</f>
        <v>0</v>
      </c>
      <c r="L350" s="9" t="n">
        <f aca="false">IFERROR(J350+K350,"")</f>
        <v>0</v>
      </c>
      <c r="M350" s="9" t="n">
        <f aca="false">IFERROR(SUMIFS(Payments!$E$5:$E$504,Payments!$D$5:$D$504,A350,Payments!$C$5:$C$504,"Out"),"")</f>
        <v>0</v>
      </c>
      <c r="N350" s="9" t="n">
        <f aca="false">IFERROR(L350-M350,"")</f>
        <v>0</v>
      </c>
    </row>
    <row r="351" customFormat="false" ht="15" hidden="false" customHeight="false" outlineLevel="0" collapsed="false">
      <c r="A351" s="10"/>
      <c r="B351" s="12"/>
      <c r="C351" s="10"/>
      <c r="D351" s="14" t="str">
        <f aca="false">IFERROR(IF(C351="","",INDEX(Suppliers!$B$5:$B$504,MATCH(C351,Suppliers!$A$5:$A$504,0))),"")</f>
        <v/>
      </c>
      <c r="E351" s="10" t="s">
        <v>24</v>
      </c>
      <c r="F351" s="12"/>
      <c r="G351" s="12"/>
      <c r="H351" s="10"/>
      <c r="I351" s="10"/>
      <c r="J351" s="9" t="n">
        <f aca="false">IFERROR(SUMIFS(PurchaseOrderLines!$H$5:$H$504,PurchaseOrderLines!$B$5:$B$504,A351),"")</f>
        <v>0</v>
      </c>
      <c r="K351" s="9" t="n">
        <f aca="false">IFERROR(SUMIFS(PurchaseOrderLines!$I$5:$I$504,PurchaseOrderLines!$B$5:$B$504,A351),"")</f>
        <v>0</v>
      </c>
      <c r="L351" s="9" t="n">
        <f aca="false">IFERROR(J351+K351,"")</f>
        <v>0</v>
      </c>
      <c r="M351" s="9" t="n">
        <f aca="false">IFERROR(SUMIFS(Payments!$E$5:$E$504,Payments!$D$5:$D$504,A351,Payments!$C$5:$C$504,"Out"),"")</f>
        <v>0</v>
      </c>
      <c r="N351" s="9" t="n">
        <f aca="false">IFERROR(L351-M351,"")</f>
        <v>0</v>
      </c>
    </row>
    <row r="352" customFormat="false" ht="15" hidden="false" customHeight="false" outlineLevel="0" collapsed="false">
      <c r="A352" s="10"/>
      <c r="B352" s="12"/>
      <c r="C352" s="10"/>
      <c r="D352" s="14" t="str">
        <f aca="false">IFERROR(IF(C352="","",INDEX(Suppliers!$B$5:$B$504,MATCH(C352,Suppliers!$A$5:$A$504,0))),"")</f>
        <v/>
      </c>
      <c r="E352" s="10" t="s">
        <v>24</v>
      </c>
      <c r="F352" s="12"/>
      <c r="G352" s="12"/>
      <c r="H352" s="10"/>
      <c r="I352" s="10"/>
      <c r="J352" s="9" t="n">
        <f aca="false">IFERROR(SUMIFS(PurchaseOrderLines!$H$5:$H$504,PurchaseOrderLines!$B$5:$B$504,A352),"")</f>
        <v>0</v>
      </c>
      <c r="K352" s="9" t="n">
        <f aca="false">IFERROR(SUMIFS(PurchaseOrderLines!$I$5:$I$504,PurchaseOrderLines!$B$5:$B$504,A352),"")</f>
        <v>0</v>
      </c>
      <c r="L352" s="9" t="n">
        <f aca="false">IFERROR(J352+K352,"")</f>
        <v>0</v>
      </c>
      <c r="M352" s="9" t="n">
        <f aca="false">IFERROR(SUMIFS(Payments!$E$5:$E$504,Payments!$D$5:$D$504,A352,Payments!$C$5:$C$504,"Out"),"")</f>
        <v>0</v>
      </c>
      <c r="N352" s="9" t="n">
        <f aca="false">IFERROR(L352-M352,"")</f>
        <v>0</v>
      </c>
    </row>
    <row r="353" customFormat="false" ht="15" hidden="false" customHeight="false" outlineLevel="0" collapsed="false">
      <c r="A353" s="10"/>
      <c r="B353" s="12"/>
      <c r="C353" s="10"/>
      <c r="D353" s="14" t="str">
        <f aca="false">IFERROR(IF(C353="","",INDEX(Suppliers!$B$5:$B$504,MATCH(C353,Suppliers!$A$5:$A$504,0))),"")</f>
        <v/>
      </c>
      <c r="E353" s="10" t="s">
        <v>24</v>
      </c>
      <c r="F353" s="12"/>
      <c r="G353" s="12"/>
      <c r="H353" s="10"/>
      <c r="I353" s="10"/>
      <c r="J353" s="9" t="n">
        <f aca="false">IFERROR(SUMIFS(PurchaseOrderLines!$H$5:$H$504,PurchaseOrderLines!$B$5:$B$504,A353),"")</f>
        <v>0</v>
      </c>
      <c r="K353" s="9" t="n">
        <f aca="false">IFERROR(SUMIFS(PurchaseOrderLines!$I$5:$I$504,PurchaseOrderLines!$B$5:$B$504,A353),"")</f>
        <v>0</v>
      </c>
      <c r="L353" s="9" t="n">
        <f aca="false">IFERROR(J353+K353,"")</f>
        <v>0</v>
      </c>
      <c r="M353" s="9" t="n">
        <f aca="false">IFERROR(SUMIFS(Payments!$E$5:$E$504,Payments!$D$5:$D$504,A353,Payments!$C$5:$C$504,"Out"),"")</f>
        <v>0</v>
      </c>
      <c r="N353" s="9" t="n">
        <f aca="false">IFERROR(L353-M353,"")</f>
        <v>0</v>
      </c>
    </row>
    <row r="354" customFormat="false" ht="15" hidden="false" customHeight="false" outlineLevel="0" collapsed="false">
      <c r="A354" s="10"/>
      <c r="B354" s="12"/>
      <c r="C354" s="10"/>
      <c r="D354" s="14" t="str">
        <f aca="false">IFERROR(IF(C354="","",INDEX(Suppliers!$B$5:$B$504,MATCH(C354,Suppliers!$A$5:$A$504,0))),"")</f>
        <v/>
      </c>
      <c r="E354" s="10" t="s">
        <v>24</v>
      </c>
      <c r="F354" s="12"/>
      <c r="G354" s="12"/>
      <c r="H354" s="10"/>
      <c r="I354" s="10"/>
      <c r="J354" s="9" t="n">
        <f aca="false">IFERROR(SUMIFS(PurchaseOrderLines!$H$5:$H$504,PurchaseOrderLines!$B$5:$B$504,A354),"")</f>
        <v>0</v>
      </c>
      <c r="K354" s="9" t="n">
        <f aca="false">IFERROR(SUMIFS(PurchaseOrderLines!$I$5:$I$504,PurchaseOrderLines!$B$5:$B$504,A354),"")</f>
        <v>0</v>
      </c>
      <c r="L354" s="9" t="n">
        <f aca="false">IFERROR(J354+K354,"")</f>
        <v>0</v>
      </c>
      <c r="M354" s="9" t="n">
        <f aca="false">IFERROR(SUMIFS(Payments!$E$5:$E$504,Payments!$D$5:$D$504,A354,Payments!$C$5:$C$504,"Out"),"")</f>
        <v>0</v>
      </c>
      <c r="N354" s="9" t="n">
        <f aca="false">IFERROR(L354-M354,"")</f>
        <v>0</v>
      </c>
    </row>
    <row r="355" customFormat="false" ht="15" hidden="false" customHeight="false" outlineLevel="0" collapsed="false">
      <c r="A355" s="10"/>
      <c r="B355" s="12"/>
      <c r="C355" s="10"/>
      <c r="D355" s="14" t="str">
        <f aca="false">IFERROR(IF(C355="","",INDEX(Suppliers!$B$5:$B$504,MATCH(C355,Suppliers!$A$5:$A$504,0))),"")</f>
        <v/>
      </c>
      <c r="E355" s="10" t="s">
        <v>24</v>
      </c>
      <c r="F355" s="12"/>
      <c r="G355" s="12"/>
      <c r="H355" s="10"/>
      <c r="I355" s="10"/>
      <c r="J355" s="9" t="n">
        <f aca="false">IFERROR(SUMIFS(PurchaseOrderLines!$H$5:$H$504,PurchaseOrderLines!$B$5:$B$504,A355),"")</f>
        <v>0</v>
      </c>
      <c r="K355" s="9" t="n">
        <f aca="false">IFERROR(SUMIFS(PurchaseOrderLines!$I$5:$I$504,PurchaseOrderLines!$B$5:$B$504,A355),"")</f>
        <v>0</v>
      </c>
      <c r="L355" s="9" t="n">
        <f aca="false">IFERROR(J355+K355,"")</f>
        <v>0</v>
      </c>
      <c r="M355" s="9" t="n">
        <f aca="false">IFERROR(SUMIFS(Payments!$E$5:$E$504,Payments!$D$5:$D$504,A355,Payments!$C$5:$C$504,"Out"),"")</f>
        <v>0</v>
      </c>
      <c r="N355" s="9" t="n">
        <f aca="false">IFERROR(L355-M355,"")</f>
        <v>0</v>
      </c>
    </row>
    <row r="356" customFormat="false" ht="15" hidden="false" customHeight="false" outlineLevel="0" collapsed="false">
      <c r="A356" s="10"/>
      <c r="B356" s="12"/>
      <c r="C356" s="10"/>
      <c r="D356" s="14" t="str">
        <f aca="false">IFERROR(IF(C356="","",INDEX(Suppliers!$B$5:$B$504,MATCH(C356,Suppliers!$A$5:$A$504,0))),"")</f>
        <v/>
      </c>
      <c r="E356" s="10" t="s">
        <v>24</v>
      </c>
      <c r="F356" s="12"/>
      <c r="G356" s="12"/>
      <c r="H356" s="10"/>
      <c r="I356" s="10"/>
      <c r="J356" s="9" t="n">
        <f aca="false">IFERROR(SUMIFS(PurchaseOrderLines!$H$5:$H$504,PurchaseOrderLines!$B$5:$B$504,A356),"")</f>
        <v>0</v>
      </c>
      <c r="K356" s="9" t="n">
        <f aca="false">IFERROR(SUMIFS(PurchaseOrderLines!$I$5:$I$504,PurchaseOrderLines!$B$5:$B$504,A356),"")</f>
        <v>0</v>
      </c>
      <c r="L356" s="9" t="n">
        <f aca="false">IFERROR(J356+K356,"")</f>
        <v>0</v>
      </c>
      <c r="M356" s="9" t="n">
        <f aca="false">IFERROR(SUMIFS(Payments!$E$5:$E$504,Payments!$D$5:$D$504,A356,Payments!$C$5:$C$504,"Out"),"")</f>
        <v>0</v>
      </c>
      <c r="N356" s="9" t="n">
        <f aca="false">IFERROR(L356-M356,"")</f>
        <v>0</v>
      </c>
    </row>
    <row r="357" customFormat="false" ht="15" hidden="false" customHeight="false" outlineLevel="0" collapsed="false">
      <c r="A357" s="10"/>
      <c r="B357" s="12"/>
      <c r="C357" s="10"/>
      <c r="D357" s="14" t="str">
        <f aca="false">IFERROR(IF(C357="","",INDEX(Suppliers!$B$5:$B$504,MATCH(C357,Suppliers!$A$5:$A$504,0))),"")</f>
        <v/>
      </c>
      <c r="E357" s="10" t="s">
        <v>24</v>
      </c>
      <c r="F357" s="12"/>
      <c r="G357" s="12"/>
      <c r="H357" s="10"/>
      <c r="I357" s="10"/>
      <c r="J357" s="9" t="n">
        <f aca="false">IFERROR(SUMIFS(PurchaseOrderLines!$H$5:$H$504,PurchaseOrderLines!$B$5:$B$504,A357),"")</f>
        <v>0</v>
      </c>
      <c r="K357" s="9" t="n">
        <f aca="false">IFERROR(SUMIFS(PurchaseOrderLines!$I$5:$I$504,PurchaseOrderLines!$B$5:$B$504,A357),"")</f>
        <v>0</v>
      </c>
      <c r="L357" s="9" t="n">
        <f aca="false">IFERROR(J357+K357,"")</f>
        <v>0</v>
      </c>
      <c r="M357" s="9" t="n">
        <f aca="false">IFERROR(SUMIFS(Payments!$E$5:$E$504,Payments!$D$5:$D$504,A357,Payments!$C$5:$C$504,"Out"),"")</f>
        <v>0</v>
      </c>
      <c r="N357" s="9" t="n">
        <f aca="false">IFERROR(L357-M357,"")</f>
        <v>0</v>
      </c>
    </row>
    <row r="358" customFormat="false" ht="15" hidden="false" customHeight="false" outlineLevel="0" collapsed="false">
      <c r="A358" s="10"/>
      <c r="B358" s="12"/>
      <c r="C358" s="10"/>
      <c r="D358" s="14" t="str">
        <f aca="false">IFERROR(IF(C358="","",INDEX(Suppliers!$B$5:$B$504,MATCH(C358,Suppliers!$A$5:$A$504,0))),"")</f>
        <v/>
      </c>
      <c r="E358" s="10" t="s">
        <v>24</v>
      </c>
      <c r="F358" s="12"/>
      <c r="G358" s="12"/>
      <c r="H358" s="10"/>
      <c r="I358" s="10"/>
      <c r="J358" s="9" t="n">
        <f aca="false">IFERROR(SUMIFS(PurchaseOrderLines!$H$5:$H$504,PurchaseOrderLines!$B$5:$B$504,A358),"")</f>
        <v>0</v>
      </c>
      <c r="K358" s="9" t="n">
        <f aca="false">IFERROR(SUMIFS(PurchaseOrderLines!$I$5:$I$504,PurchaseOrderLines!$B$5:$B$504,A358),"")</f>
        <v>0</v>
      </c>
      <c r="L358" s="9" t="n">
        <f aca="false">IFERROR(J358+K358,"")</f>
        <v>0</v>
      </c>
      <c r="M358" s="9" t="n">
        <f aca="false">IFERROR(SUMIFS(Payments!$E$5:$E$504,Payments!$D$5:$D$504,A358,Payments!$C$5:$C$504,"Out"),"")</f>
        <v>0</v>
      </c>
      <c r="N358" s="9" t="n">
        <f aca="false">IFERROR(L358-M358,"")</f>
        <v>0</v>
      </c>
    </row>
    <row r="359" customFormat="false" ht="15" hidden="false" customHeight="false" outlineLevel="0" collapsed="false">
      <c r="A359" s="10"/>
      <c r="B359" s="12"/>
      <c r="C359" s="10"/>
      <c r="D359" s="14" t="str">
        <f aca="false">IFERROR(IF(C359="","",INDEX(Suppliers!$B$5:$B$504,MATCH(C359,Suppliers!$A$5:$A$504,0))),"")</f>
        <v/>
      </c>
      <c r="E359" s="10" t="s">
        <v>24</v>
      </c>
      <c r="F359" s="12"/>
      <c r="G359" s="12"/>
      <c r="H359" s="10"/>
      <c r="I359" s="10"/>
      <c r="J359" s="9" t="n">
        <f aca="false">IFERROR(SUMIFS(PurchaseOrderLines!$H$5:$H$504,PurchaseOrderLines!$B$5:$B$504,A359),"")</f>
        <v>0</v>
      </c>
      <c r="K359" s="9" t="n">
        <f aca="false">IFERROR(SUMIFS(PurchaseOrderLines!$I$5:$I$504,PurchaseOrderLines!$B$5:$B$504,A359),"")</f>
        <v>0</v>
      </c>
      <c r="L359" s="9" t="n">
        <f aca="false">IFERROR(J359+K359,"")</f>
        <v>0</v>
      </c>
      <c r="M359" s="9" t="n">
        <f aca="false">IFERROR(SUMIFS(Payments!$E$5:$E$504,Payments!$D$5:$D$504,A359,Payments!$C$5:$C$504,"Out"),"")</f>
        <v>0</v>
      </c>
      <c r="N359" s="9" t="n">
        <f aca="false">IFERROR(L359-M359,"")</f>
        <v>0</v>
      </c>
    </row>
    <row r="360" customFormat="false" ht="15" hidden="false" customHeight="false" outlineLevel="0" collapsed="false">
      <c r="A360" s="10"/>
      <c r="B360" s="12"/>
      <c r="C360" s="10"/>
      <c r="D360" s="14" t="str">
        <f aca="false">IFERROR(IF(C360="","",INDEX(Suppliers!$B$5:$B$504,MATCH(C360,Suppliers!$A$5:$A$504,0))),"")</f>
        <v/>
      </c>
      <c r="E360" s="10" t="s">
        <v>24</v>
      </c>
      <c r="F360" s="12"/>
      <c r="G360" s="12"/>
      <c r="H360" s="10"/>
      <c r="I360" s="10"/>
      <c r="J360" s="9" t="n">
        <f aca="false">IFERROR(SUMIFS(PurchaseOrderLines!$H$5:$H$504,PurchaseOrderLines!$B$5:$B$504,A360),"")</f>
        <v>0</v>
      </c>
      <c r="K360" s="9" t="n">
        <f aca="false">IFERROR(SUMIFS(PurchaseOrderLines!$I$5:$I$504,PurchaseOrderLines!$B$5:$B$504,A360),"")</f>
        <v>0</v>
      </c>
      <c r="L360" s="9" t="n">
        <f aca="false">IFERROR(J360+K360,"")</f>
        <v>0</v>
      </c>
      <c r="M360" s="9" t="n">
        <f aca="false">IFERROR(SUMIFS(Payments!$E$5:$E$504,Payments!$D$5:$D$504,A360,Payments!$C$5:$C$504,"Out"),"")</f>
        <v>0</v>
      </c>
      <c r="N360" s="9" t="n">
        <f aca="false">IFERROR(L360-M360,"")</f>
        <v>0</v>
      </c>
    </row>
    <row r="361" customFormat="false" ht="15" hidden="false" customHeight="false" outlineLevel="0" collapsed="false">
      <c r="A361" s="10"/>
      <c r="B361" s="12"/>
      <c r="C361" s="10"/>
      <c r="D361" s="14" t="str">
        <f aca="false">IFERROR(IF(C361="","",INDEX(Suppliers!$B$5:$B$504,MATCH(C361,Suppliers!$A$5:$A$504,0))),"")</f>
        <v/>
      </c>
      <c r="E361" s="10" t="s">
        <v>24</v>
      </c>
      <c r="F361" s="12"/>
      <c r="G361" s="12"/>
      <c r="H361" s="10"/>
      <c r="I361" s="10"/>
      <c r="J361" s="9" t="n">
        <f aca="false">IFERROR(SUMIFS(PurchaseOrderLines!$H$5:$H$504,PurchaseOrderLines!$B$5:$B$504,A361),"")</f>
        <v>0</v>
      </c>
      <c r="K361" s="9" t="n">
        <f aca="false">IFERROR(SUMIFS(PurchaseOrderLines!$I$5:$I$504,PurchaseOrderLines!$B$5:$B$504,A361),"")</f>
        <v>0</v>
      </c>
      <c r="L361" s="9" t="n">
        <f aca="false">IFERROR(J361+K361,"")</f>
        <v>0</v>
      </c>
      <c r="M361" s="9" t="n">
        <f aca="false">IFERROR(SUMIFS(Payments!$E$5:$E$504,Payments!$D$5:$D$504,A361,Payments!$C$5:$C$504,"Out"),"")</f>
        <v>0</v>
      </c>
      <c r="N361" s="9" t="n">
        <f aca="false">IFERROR(L361-M361,"")</f>
        <v>0</v>
      </c>
    </row>
    <row r="362" customFormat="false" ht="15" hidden="false" customHeight="false" outlineLevel="0" collapsed="false">
      <c r="A362" s="10"/>
      <c r="B362" s="12"/>
      <c r="C362" s="10"/>
      <c r="D362" s="14" t="str">
        <f aca="false">IFERROR(IF(C362="","",INDEX(Suppliers!$B$5:$B$504,MATCH(C362,Suppliers!$A$5:$A$504,0))),"")</f>
        <v/>
      </c>
      <c r="E362" s="10" t="s">
        <v>24</v>
      </c>
      <c r="F362" s="12"/>
      <c r="G362" s="12"/>
      <c r="H362" s="10"/>
      <c r="I362" s="10"/>
      <c r="J362" s="9" t="n">
        <f aca="false">IFERROR(SUMIFS(PurchaseOrderLines!$H$5:$H$504,PurchaseOrderLines!$B$5:$B$504,A362),"")</f>
        <v>0</v>
      </c>
      <c r="K362" s="9" t="n">
        <f aca="false">IFERROR(SUMIFS(PurchaseOrderLines!$I$5:$I$504,PurchaseOrderLines!$B$5:$B$504,A362),"")</f>
        <v>0</v>
      </c>
      <c r="L362" s="9" t="n">
        <f aca="false">IFERROR(J362+K362,"")</f>
        <v>0</v>
      </c>
      <c r="M362" s="9" t="n">
        <f aca="false">IFERROR(SUMIFS(Payments!$E$5:$E$504,Payments!$D$5:$D$504,A362,Payments!$C$5:$C$504,"Out"),"")</f>
        <v>0</v>
      </c>
      <c r="N362" s="9" t="n">
        <f aca="false">IFERROR(L362-M362,"")</f>
        <v>0</v>
      </c>
    </row>
    <row r="363" customFormat="false" ht="15" hidden="false" customHeight="false" outlineLevel="0" collapsed="false">
      <c r="A363" s="10"/>
      <c r="B363" s="12"/>
      <c r="C363" s="10"/>
      <c r="D363" s="14" t="str">
        <f aca="false">IFERROR(IF(C363="","",INDEX(Suppliers!$B$5:$B$504,MATCH(C363,Suppliers!$A$5:$A$504,0))),"")</f>
        <v/>
      </c>
      <c r="E363" s="10" t="s">
        <v>24</v>
      </c>
      <c r="F363" s="12"/>
      <c r="G363" s="12"/>
      <c r="H363" s="10"/>
      <c r="I363" s="10"/>
      <c r="J363" s="9" t="n">
        <f aca="false">IFERROR(SUMIFS(PurchaseOrderLines!$H$5:$H$504,PurchaseOrderLines!$B$5:$B$504,A363),"")</f>
        <v>0</v>
      </c>
      <c r="K363" s="9" t="n">
        <f aca="false">IFERROR(SUMIFS(PurchaseOrderLines!$I$5:$I$504,PurchaseOrderLines!$B$5:$B$504,A363),"")</f>
        <v>0</v>
      </c>
      <c r="L363" s="9" t="n">
        <f aca="false">IFERROR(J363+K363,"")</f>
        <v>0</v>
      </c>
      <c r="M363" s="9" t="n">
        <f aca="false">IFERROR(SUMIFS(Payments!$E$5:$E$504,Payments!$D$5:$D$504,A363,Payments!$C$5:$C$504,"Out"),"")</f>
        <v>0</v>
      </c>
      <c r="N363" s="9" t="n">
        <f aca="false">IFERROR(L363-M363,"")</f>
        <v>0</v>
      </c>
    </row>
    <row r="364" customFormat="false" ht="15" hidden="false" customHeight="false" outlineLevel="0" collapsed="false">
      <c r="A364" s="10"/>
      <c r="B364" s="12"/>
      <c r="C364" s="10"/>
      <c r="D364" s="14" t="str">
        <f aca="false">IFERROR(IF(C364="","",INDEX(Suppliers!$B$5:$B$504,MATCH(C364,Suppliers!$A$5:$A$504,0))),"")</f>
        <v/>
      </c>
      <c r="E364" s="10" t="s">
        <v>24</v>
      </c>
      <c r="F364" s="12"/>
      <c r="G364" s="12"/>
      <c r="H364" s="10"/>
      <c r="I364" s="10"/>
      <c r="J364" s="9" t="n">
        <f aca="false">IFERROR(SUMIFS(PurchaseOrderLines!$H$5:$H$504,PurchaseOrderLines!$B$5:$B$504,A364),"")</f>
        <v>0</v>
      </c>
      <c r="K364" s="9" t="n">
        <f aca="false">IFERROR(SUMIFS(PurchaseOrderLines!$I$5:$I$504,PurchaseOrderLines!$B$5:$B$504,A364),"")</f>
        <v>0</v>
      </c>
      <c r="L364" s="9" t="n">
        <f aca="false">IFERROR(J364+K364,"")</f>
        <v>0</v>
      </c>
      <c r="M364" s="9" t="n">
        <f aca="false">IFERROR(SUMIFS(Payments!$E$5:$E$504,Payments!$D$5:$D$504,A364,Payments!$C$5:$C$504,"Out"),"")</f>
        <v>0</v>
      </c>
      <c r="N364" s="9" t="n">
        <f aca="false">IFERROR(L364-M364,"")</f>
        <v>0</v>
      </c>
    </row>
    <row r="365" customFormat="false" ht="15" hidden="false" customHeight="false" outlineLevel="0" collapsed="false">
      <c r="A365" s="10"/>
      <c r="B365" s="12"/>
      <c r="C365" s="10"/>
      <c r="D365" s="14" t="str">
        <f aca="false">IFERROR(IF(C365="","",INDEX(Suppliers!$B$5:$B$504,MATCH(C365,Suppliers!$A$5:$A$504,0))),"")</f>
        <v/>
      </c>
      <c r="E365" s="10" t="s">
        <v>24</v>
      </c>
      <c r="F365" s="12"/>
      <c r="G365" s="12"/>
      <c r="H365" s="10"/>
      <c r="I365" s="10"/>
      <c r="J365" s="9" t="n">
        <f aca="false">IFERROR(SUMIFS(PurchaseOrderLines!$H$5:$H$504,PurchaseOrderLines!$B$5:$B$504,A365),"")</f>
        <v>0</v>
      </c>
      <c r="K365" s="9" t="n">
        <f aca="false">IFERROR(SUMIFS(PurchaseOrderLines!$I$5:$I$504,PurchaseOrderLines!$B$5:$B$504,A365),"")</f>
        <v>0</v>
      </c>
      <c r="L365" s="9" t="n">
        <f aca="false">IFERROR(J365+K365,"")</f>
        <v>0</v>
      </c>
      <c r="M365" s="9" t="n">
        <f aca="false">IFERROR(SUMIFS(Payments!$E$5:$E$504,Payments!$D$5:$D$504,A365,Payments!$C$5:$C$504,"Out"),"")</f>
        <v>0</v>
      </c>
      <c r="N365" s="9" t="n">
        <f aca="false">IFERROR(L365-M365,"")</f>
        <v>0</v>
      </c>
    </row>
    <row r="366" customFormat="false" ht="15" hidden="false" customHeight="false" outlineLevel="0" collapsed="false">
      <c r="A366" s="10"/>
      <c r="B366" s="12"/>
      <c r="C366" s="10"/>
      <c r="D366" s="14" t="str">
        <f aca="false">IFERROR(IF(C366="","",INDEX(Suppliers!$B$5:$B$504,MATCH(C366,Suppliers!$A$5:$A$504,0))),"")</f>
        <v/>
      </c>
      <c r="E366" s="10" t="s">
        <v>24</v>
      </c>
      <c r="F366" s="12"/>
      <c r="G366" s="12"/>
      <c r="H366" s="10"/>
      <c r="I366" s="10"/>
      <c r="J366" s="9" t="n">
        <f aca="false">IFERROR(SUMIFS(PurchaseOrderLines!$H$5:$H$504,PurchaseOrderLines!$B$5:$B$504,A366),"")</f>
        <v>0</v>
      </c>
      <c r="K366" s="9" t="n">
        <f aca="false">IFERROR(SUMIFS(PurchaseOrderLines!$I$5:$I$504,PurchaseOrderLines!$B$5:$B$504,A366),"")</f>
        <v>0</v>
      </c>
      <c r="L366" s="9" t="n">
        <f aca="false">IFERROR(J366+K366,"")</f>
        <v>0</v>
      </c>
      <c r="M366" s="9" t="n">
        <f aca="false">IFERROR(SUMIFS(Payments!$E$5:$E$504,Payments!$D$5:$D$504,A366,Payments!$C$5:$C$504,"Out"),"")</f>
        <v>0</v>
      </c>
      <c r="N366" s="9" t="n">
        <f aca="false">IFERROR(L366-M366,"")</f>
        <v>0</v>
      </c>
    </row>
    <row r="367" customFormat="false" ht="15" hidden="false" customHeight="false" outlineLevel="0" collapsed="false">
      <c r="A367" s="10"/>
      <c r="B367" s="12"/>
      <c r="C367" s="10"/>
      <c r="D367" s="14" t="str">
        <f aca="false">IFERROR(IF(C367="","",INDEX(Suppliers!$B$5:$B$504,MATCH(C367,Suppliers!$A$5:$A$504,0))),"")</f>
        <v/>
      </c>
      <c r="E367" s="10" t="s">
        <v>24</v>
      </c>
      <c r="F367" s="12"/>
      <c r="G367" s="12"/>
      <c r="H367" s="10"/>
      <c r="I367" s="10"/>
      <c r="J367" s="9" t="n">
        <f aca="false">IFERROR(SUMIFS(PurchaseOrderLines!$H$5:$H$504,PurchaseOrderLines!$B$5:$B$504,A367),"")</f>
        <v>0</v>
      </c>
      <c r="K367" s="9" t="n">
        <f aca="false">IFERROR(SUMIFS(PurchaseOrderLines!$I$5:$I$504,PurchaseOrderLines!$B$5:$B$504,A367),"")</f>
        <v>0</v>
      </c>
      <c r="L367" s="9" t="n">
        <f aca="false">IFERROR(J367+K367,"")</f>
        <v>0</v>
      </c>
      <c r="M367" s="9" t="n">
        <f aca="false">IFERROR(SUMIFS(Payments!$E$5:$E$504,Payments!$D$5:$D$504,A367,Payments!$C$5:$C$504,"Out"),"")</f>
        <v>0</v>
      </c>
      <c r="N367" s="9" t="n">
        <f aca="false">IFERROR(L367-M367,"")</f>
        <v>0</v>
      </c>
    </row>
    <row r="368" customFormat="false" ht="15" hidden="false" customHeight="false" outlineLevel="0" collapsed="false">
      <c r="A368" s="10"/>
      <c r="B368" s="12"/>
      <c r="C368" s="10"/>
      <c r="D368" s="14" t="str">
        <f aca="false">IFERROR(IF(C368="","",INDEX(Suppliers!$B$5:$B$504,MATCH(C368,Suppliers!$A$5:$A$504,0))),"")</f>
        <v/>
      </c>
      <c r="E368" s="10" t="s">
        <v>24</v>
      </c>
      <c r="F368" s="12"/>
      <c r="G368" s="12"/>
      <c r="H368" s="10"/>
      <c r="I368" s="10"/>
      <c r="J368" s="9" t="n">
        <f aca="false">IFERROR(SUMIFS(PurchaseOrderLines!$H$5:$H$504,PurchaseOrderLines!$B$5:$B$504,A368),"")</f>
        <v>0</v>
      </c>
      <c r="K368" s="9" t="n">
        <f aca="false">IFERROR(SUMIFS(PurchaseOrderLines!$I$5:$I$504,PurchaseOrderLines!$B$5:$B$504,A368),"")</f>
        <v>0</v>
      </c>
      <c r="L368" s="9" t="n">
        <f aca="false">IFERROR(J368+K368,"")</f>
        <v>0</v>
      </c>
      <c r="M368" s="9" t="n">
        <f aca="false">IFERROR(SUMIFS(Payments!$E$5:$E$504,Payments!$D$5:$D$504,A368,Payments!$C$5:$C$504,"Out"),"")</f>
        <v>0</v>
      </c>
      <c r="N368" s="9" t="n">
        <f aca="false">IFERROR(L368-M368,"")</f>
        <v>0</v>
      </c>
    </row>
    <row r="369" customFormat="false" ht="15" hidden="false" customHeight="false" outlineLevel="0" collapsed="false">
      <c r="A369" s="10"/>
      <c r="B369" s="12"/>
      <c r="C369" s="10"/>
      <c r="D369" s="14" t="str">
        <f aca="false">IFERROR(IF(C369="","",INDEX(Suppliers!$B$5:$B$504,MATCH(C369,Suppliers!$A$5:$A$504,0))),"")</f>
        <v/>
      </c>
      <c r="E369" s="10" t="s">
        <v>24</v>
      </c>
      <c r="F369" s="12"/>
      <c r="G369" s="12"/>
      <c r="H369" s="10"/>
      <c r="I369" s="10"/>
      <c r="J369" s="9" t="n">
        <f aca="false">IFERROR(SUMIFS(PurchaseOrderLines!$H$5:$H$504,PurchaseOrderLines!$B$5:$B$504,A369),"")</f>
        <v>0</v>
      </c>
      <c r="K369" s="9" t="n">
        <f aca="false">IFERROR(SUMIFS(PurchaseOrderLines!$I$5:$I$504,PurchaseOrderLines!$B$5:$B$504,A369),"")</f>
        <v>0</v>
      </c>
      <c r="L369" s="9" t="n">
        <f aca="false">IFERROR(J369+K369,"")</f>
        <v>0</v>
      </c>
      <c r="M369" s="9" t="n">
        <f aca="false">IFERROR(SUMIFS(Payments!$E$5:$E$504,Payments!$D$5:$D$504,A369,Payments!$C$5:$C$504,"Out"),"")</f>
        <v>0</v>
      </c>
      <c r="N369" s="9" t="n">
        <f aca="false">IFERROR(L369-M369,"")</f>
        <v>0</v>
      </c>
    </row>
    <row r="370" customFormat="false" ht="15" hidden="false" customHeight="false" outlineLevel="0" collapsed="false">
      <c r="A370" s="10"/>
      <c r="B370" s="12"/>
      <c r="C370" s="10"/>
      <c r="D370" s="14" t="str">
        <f aca="false">IFERROR(IF(C370="","",INDEX(Suppliers!$B$5:$B$504,MATCH(C370,Suppliers!$A$5:$A$504,0))),"")</f>
        <v/>
      </c>
      <c r="E370" s="10" t="s">
        <v>24</v>
      </c>
      <c r="F370" s="12"/>
      <c r="G370" s="12"/>
      <c r="H370" s="10"/>
      <c r="I370" s="10"/>
      <c r="J370" s="9" t="n">
        <f aca="false">IFERROR(SUMIFS(PurchaseOrderLines!$H$5:$H$504,PurchaseOrderLines!$B$5:$B$504,A370),"")</f>
        <v>0</v>
      </c>
      <c r="K370" s="9" t="n">
        <f aca="false">IFERROR(SUMIFS(PurchaseOrderLines!$I$5:$I$504,PurchaseOrderLines!$B$5:$B$504,A370),"")</f>
        <v>0</v>
      </c>
      <c r="L370" s="9" t="n">
        <f aca="false">IFERROR(J370+K370,"")</f>
        <v>0</v>
      </c>
      <c r="M370" s="9" t="n">
        <f aca="false">IFERROR(SUMIFS(Payments!$E$5:$E$504,Payments!$D$5:$D$504,A370,Payments!$C$5:$C$504,"Out"),"")</f>
        <v>0</v>
      </c>
      <c r="N370" s="9" t="n">
        <f aca="false">IFERROR(L370-M370,"")</f>
        <v>0</v>
      </c>
    </row>
    <row r="371" customFormat="false" ht="15" hidden="false" customHeight="false" outlineLevel="0" collapsed="false">
      <c r="A371" s="10"/>
      <c r="B371" s="12"/>
      <c r="C371" s="10"/>
      <c r="D371" s="14" t="str">
        <f aca="false">IFERROR(IF(C371="","",INDEX(Suppliers!$B$5:$B$504,MATCH(C371,Suppliers!$A$5:$A$504,0))),"")</f>
        <v/>
      </c>
      <c r="E371" s="10" t="s">
        <v>24</v>
      </c>
      <c r="F371" s="12"/>
      <c r="G371" s="12"/>
      <c r="H371" s="10"/>
      <c r="I371" s="10"/>
      <c r="J371" s="9" t="n">
        <f aca="false">IFERROR(SUMIFS(PurchaseOrderLines!$H$5:$H$504,PurchaseOrderLines!$B$5:$B$504,A371),"")</f>
        <v>0</v>
      </c>
      <c r="K371" s="9" t="n">
        <f aca="false">IFERROR(SUMIFS(PurchaseOrderLines!$I$5:$I$504,PurchaseOrderLines!$B$5:$B$504,A371),"")</f>
        <v>0</v>
      </c>
      <c r="L371" s="9" t="n">
        <f aca="false">IFERROR(J371+K371,"")</f>
        <v>0</v>
      </c>
      <c r="M371" s="9" t="n">
        <f aca="false">IFERROR(SUMIFS(Payments!$E$5:$E$504,Payments!$D$5:$D$504,A371,Payments!$C$5:$C$504,"Out"),"")</f>
        <v>0</v>
      </c>
      <c r="N371" s="9" t="n">
        <f aca="false">IFERROR(L371-M371,"")</f>
        <v>0</v>
      </c>
    </row>
    <row r="372" customFormat="false" ht="15" hidden="false" customHeight="false" outlineLevel="0" collapsed="false">
      <c r="A372" s="10"/>
      <c r="B372" s="12"/>
      <c r="C372" s="10"/>
      <c r="D372" s="14" t="str">
        <f aca="false">IFERROR(IF(C372="","",INDEX(Suppliers!$B$5:$B$504,MATCH(C372,Suppliers!$A$5:$A$504,0))),"")</f>
        <v/>
      </c>
      <c r="E372" s="10" t="s">
        <v>24</v>
      </c>
      <c r="F372" s="12"/>
      <c r="G372" s="12"/>
      <c r="H372" s="10"/>
      <c r="I372" s="10"/>
      <c r="J372" s="9" t="n">
        <f aca="false">IFERROR(SUMIFS(PurchaseOrderLines!$H$5:$H$504,PurchaseOrderLines!$B$5:$B$504,A372),"")</f>
        <v>0</v>
      </c>
      <c r="K372" s="9" t="n">
        <f aca="false">IFERROR(SUMIFS(PurchaseOrderLines!$I$5:$I$504,PurchaseOrderLines!$B$5:$B$504,A372),"")</f>
        <v>0</v>
      </c>
      <c r="L372" s="9" t="n">
        <f aca="false">IFERROR(J372+K372,"")</f>
        <v>0</v>
      </c>
      <c r="M372" s="9" t="n">
        <f aca="false">IFERROR(SUMIFS(Payments!$E$5:$E$504,Payments!$D$5:$D$504,A372,Payments!$C$5:$C$504,"Out"),"")</f>
        <v>0</v>
      </c>
      <c r="N372" s="9" t="n">
        <f aca="false">IFERROR(L372-M372,"")</f>
        <v>0</v>
      </c>
    </row>
    <row r="373" customFormat="false" ht="15" hidden="false" customHeight="false" outlineLevel="0" collapsed="false">
      <c r="A373" s="10"/>
      <c r="B373" s="12"/>
      <c r="C373" s="10"/>
      <c r="D373" s="14" t="str">
        <f aca="false">IFERROR(IF(C373="","",INDEX(Suppliers!$B$5:$B$504,MATCH(C373,Suppliers!$A$5:$A$504,0))),"")</f>
        <v/>
      </c>
      <c r="E373" s="10" t="s">
        <v>24</v>
      </c>
      <c r="F373" s="12"/>
      <c r="G373" s="12"/>
      <c r="H373" s="10"/>
      <c r="I373" s="10"/>
      <c r="J373" s="9" t="n">
        <f aca="false">IFERROR(SUMIFS(PurchaseOrderLines!$H$5:$H$504,PurchaseOrderLines!$B$5:$B$504,A373),"")</f>
        <v>0</v>
      </c>
      <c r="K373" s="9" t="n">
        <f aca="false">IFERROR(SUMIFS(PurchaseOrderLines!$I$5:$I$504,PurchaseOrderLines!$B$5:$B$504,A373),"")</f>
        <v>0</v>
      </c>
      <c r="L373" s="9" t="n">
        <f aca="false">IFERROR(J373+K373,"")</f>
        <v>0</v>
      </c>
      <c r="M373" s="9" t="n">
        <f aca="false">IFERROR(SUMIFS(Payments!$E$5:$E$504,Payments!$D$5:$D$504,A373,Payments!$C$5:$C$504,"Out"),"")</f>
        <v>0</v>
      </c>
      <c r="N373" s="9" t="n">
        <f aca="false">IFERROR(L373-M373,"")</f>
        <v>0</v>
      </c>
    </row>
    <row r="374" customFormat="false" ht="15" hidden="false" customHeight="false" outlineLevel="0" collapsed="false">
      <c r="A374" s="10"/>
      <c r="B374" s="12"/>
      <c r="C374" s="10"/>
      <c r="D374" s="14" t="str">
        <f aca="false">IFERROR(IF(C374="","",INDEX(Suppliers!$B$5:$B$504,MATCH(C374,Suppliers!$A$5:$A$504,0))),"")</f>
        <v/>
      </c>
      <c r="E374" s="10" t="s">
        <v>24</v>
      </c>
      <c r="F374" s="12"/>
      <c r="G374" s="12"/>
      <c r="H374" s="10"/>
      <c r="I374" s="10"/>
      <c r="J374" s="9" t="n">
        <f aca="false">IFERROR(SUMIFS(PurchaseOrderLines!$H$5:$H$504,PurchaseOrderLines!$B$5:$B$504,A374),"")</f>
        <v>0</v>
      </c>
      <c r="K374" s="9" t="n">
        <f aca="false">IFERROR(SUMIFS(PurchaseOrderLines!$I$5:$I$504,PurchaseOrderLines!$B$5:$B$504,A374),"")</f>
        <v>0</v>
      </c>
      <c r="L374" s="9" t="n">
        <f aca="false">IFERROR(J374+K374,"")</f>
        <v>0</v>
      </c>
      <c r="M374" s="9" t="n">
        <f aca="false">IFERROR(SUMIFS(Payments!$E$5:$E$504,Payments!$D$5:$D$504,A374,Payments!$C$5:$C$504,"Out"),"")</f>
        <v>0</v>
      </c>
      <c r="N374" s="9" t="n">
        <f aca="false">IFERROR(L374-M374,"")</f>
        <v>0</v>
      </c>
    </row>
    <row r="375" customFormat="false" ht="15" hidden="false" customHeight="false" outlineLevel="0" collapsed="false">
      <c r="A375" s="10"/>
      <c r="B375" s="12"/>
      <c r="C375" s="10"/>
      <c r="D375" s="14" t="str">
        <f aca="false">IFERROR(IF(C375="","",INDEX(Suppliers!$B$5:$B$504,MATCH(C375,Suppliers!$A$5:$A$504,0))),"")</f>
        <v/>
      </c>
      <c r="E375" s="10" t="s">
        <v>24</v>
      </c>
      <c r="F375" s="12"/>
      <c r="G375" s="12"/>
      <c r="H375" s="10"/>
      <c r="I375" s="10"/>
      <c r="J375" s="9" t="n">
        <f aca="false">IFERROR(SUMIFS(PurchaseOrderLines!$H$5:$H$504,PurchaseOrderLines!$B$5:$B$504,A375),"")</f>
        <v>0</v>
      </c>
      <c r="K375" s="9" t="n">
        <f aca="false">IFERROR(SUMIFS(PurchaseOrderLines!$I$5:$I$504,PurchaseOrderLines!$B$5:$B$504,A375),"")</f>
        <v>0</v>
      </c>
      <c r="L375" s="9" t="n">
        <f aca="false">IFERROR(J375+K375,"")</f>
        <v>0</v>
      </c>
      <c r="M375" s="9" t="n">
        <f aca="false">IFERROR(SUMIFS(Payments!$E$5:$E$504,Payments!$D$5:$D$504,A375,Payments!$C$5:$C$504,"Out"),"")</f>
        <v>0</v>
      </c>
      <c r="N375" s="9" t="n">
        <f aca="false">IFERROR(L375-M375,"")</f>
        <v>0</v>
      </c>
    </row>
    <row r="376" customFormat="false" ht="15" hidden="false" customHeight="false" outlineLevel="0" collapsed="false">
      <c r="A376" s="10"/>
      <c r="B376" s="12"/>
      <c r="C376" s="10"/>
      <c r="D376" s="14" t="str">
        <f aca="false">IFERROR(IF(C376="","",INDEX(Suppliers!$B$5:$B$504,MATCH(C376,Suppliers!$A$5:$A$504,0))),"")</f>
        <v/>
      </c>
      <c r="E376" s="10" t="s">
        <v>24</v>
      </c>
      <c r="F376" s="12"/>
      <c r="G376" s="12"/>
      <c r="H376" s="10"/>
      <c r="I376" s="10"/>
      <c r="J376" s="9" t="n">
        <f aca="false">IFERROR(SUMIFS(PurchaseOrderLines!$H$5:$H$504,PurchaseOrderLines!$B$5:$B$504,A376),"")</f>
        <v>0</v>
      </c>
      <c r="K376" s="9" t="n">
        <f aca="false">IFERROR(SUMIFS(PurchaseOrderLines!$I$5:$I$504,PurchaseOrderLines!$B$5:$B$504,A376),"")</f>
        <v>0</v>
      </c>
      <c r="L376" s="9" t="n">
        <f aca="false">IFERROR(J376+K376,"")</f>
        <v>0</v>
      </c>
      <c r="M376" s="9" t="n">
        <f aca="false">IFERROR(SUMIFS(Payments!$E$5:$E$504,Payments!$D$5:$D$504,A376,Payments!$C$5:$C$504,"Out"),"")</f>
        <v>0</v>
      </c>
      <c r="N376" s="9" t="n">
        <f aca="false">IFERROR(L376-M376,"")</f>
        <v>0</v>
      </c>
    </row>
    <row r="377" customFormat="false" ht="15" hidden="false" customHeight="false" outlineLevel="0" collapsed="false">
      <c r="A377" s="10"/>
      <c r="B377" s="12"/>
      <c r="C377" s="10"/>
      <c r="D377" s="14" t="str">
        <f aca="false">IFERROR(IF(C377="","",INDEX(Suppliers!$B$5:$B$504,MATCH(C377,Suppliers!$A$5:$A$504,0))),"")</f>
        <v/>
      </c>
      <c r="E377" s="10" t="s">
        <v>24</v>
      </c>
      <c r="F377" s="12"/>
      <c r="G377" s="12"/>
      <c r="H377" s="10"/>
      <c r="I377" s="10"/>
      <c r="J377" s="9" t="n">
        <f aca="false">IFERROR(SUMIFS(PurchaseOrderLines!$H$5:$H$504,PurchaseOrderLines!$B$5:$B$504,A377),"")</f>
        <v>0</v>
      </c>
      <c r="K377" s="9" t="n">
        <f aca="false">IFERROR(SUMIFS(PurchaseOrderLines!$I$5:$I$504,PurchaseOrderLines!$B$5:$B$504,A377),"")</f>
        <v>0</v>
      </c>
      <c r="L377" s="9" t="n">
        <f aca="false">IFERROR(J377+K377,"")</f>
        <v>0</v>
      </c>
      <c r="M377" s="9" t="n">
        <f aca="false">IFERROR(SUMIFS(Payments!$E$5:$E$504,Payments!$D$5:$D$504,A377,Payments!$C$5:$C$504,"Out"),"")</f>
        <v>0</v>
      </c>
      <c r="N377" s="9" t="n">
        <f aca="false">IFERROR(L377-M377,"")</f>
        <v>0</v>
      </c>
    </row>
    <row r="378" customFormat="false" ht="15" hidden="false" customHeight="false" outlineLevel="0" collapsed="false">
      <c r="A378" s="10"/>
      <c r="B378" s="12"/>
      <c r="C378" s="10"/>
      <c r="D378" s="14" t="str">
        <f aca="false">IFERROR(IF(C378="","",INDEX(Suppliers!$B$5:$B$504,MATCH(C378,Suppliers!$A$5:$A$504,0))),"")</f>
        <v/>
      </c>
      <c r="E378" s="10" t="s">
        <v>24</v>
      </c>
      <c r="F378" s="12"/>
      <c r="G378" s="12"/>
      <c r="H378" s="10"/>
      <c r="I378" s="10"/>
      <c r="J378" s="9" t="n">
        <f aca="false">IFERROR(SUMIFS(PurchaseOrderLines!$H$5:$H$504,PurchaseOrderLines!$B$5:$B$504,A378),"")</f>
        <v>0</v>
      </c>
      <c r="K378" s="9" t="n">
        <f aca="false">IFERROR(SUMIFS(PurchaseOrderLines!$I$5:$I$504,PurchaseOrderLines!$B$5:$B$504,A378),"")</f>
        <v>0</v>
      </c>
      <c r="L378" s="9" t="n">
        <f aca="false">IFERROR(J378+K378,"")</f>
        <v>0</v>
      </c>
      <c r="M378" s="9" t="n">
        <f aca="false">IFERROR(SUMIFS(Payments!$E$5:$E$504,Payments!$D$5:$D$504,A378,Payments!$C$5:$C$504,"Out"),"")</f>
        <v>0</v>
      </c>
      <c r="N378" s="9" t="n">
        <f aca="false">IFERROR(L378-M378,"")</f>
        <v>0</v>
      </c>
    </row>
    <row r="379" customFormat="false" ht="15" hidden="false" customHeight="false" outlineLevel="0" collapsed="false">
      <c r="A379" s="10"/>
      <c r="B379" s="12"/>
      <c r="C379" s="10"/>
      <c r="D379" s="14" t="str">
        <f aca="false">IFERROR(IF(C379="","",INDEX(Suppliers!$B$5:$B$504,MATCH(C379,Suppliers!$A$5:$A$504,0))),"")</f>
        <v/>
      </c>
      <c r="E379" s="10" t="s">
        <v>24</v>
      </c>
      <c r="F379" s="12"/>
      <c r="G379" s="12"/>
      <c r="H379" s="10"/>
      <c r="I379" s="10"/>
      <c r="J379" s="9" t="n">
        <f aca="false">IFERROR(SUMIFS(PurchaseOrderLines!$H$5:$H$504,PurchaseOrderLines!$B$5:$B$504,A379),"")</f>
        <v>0</v>
      </c>
      <c r="K379" s="9" t="n">
        <f aca="false">IFERROR(SUMIFS(PurchaseOrderLines!$I$5:$I$504,PurchaseOrderLines!$B$5:$B$504,A379),"")</f>
        <v>0</v>
      </c>
      <c r="L379" s="9" t="n">
        <f aca="false">IFERROR(J379+K379,"")</f>
        <v>0</v>
      </c>
      <c r="M379" s="9" t="n">
        <f aca="false">IFERROR(SUMIFS(Payments!$E$5:$E$504,Payments!$D$5:$D$504,A379,Payments!$C$5:$C$504,"Out"),"")</f>
        <v>0</v>
      </c>
      <c r="N379" s="9" t="n">
        <f aca="false">IFERROR(L379-M379,"")</f>
        <v>0</v>
      </c>
    </row>
    <row r="380" customFormat="false" ht="15" hidden="false" customHeight="false" outlineLevel="0" collapsed="false">
      <c r="A380" s="10"/>
      <c r="B380" s="12"/>
      <c r="C380" s="10"/>
      <c r="D380" s="14" t="str">
        <f aca="false">IFERROR(IF(C380="","",INDEX(Suppliers!$B$5:$B$504,MATCH(C380,Suppliers!$A$5:$A$504,0))),"")</f>
        <v/>
      </c>
      <c r="E380" s="10" t="s">
        <v>24</v>
      </c>
      <c r="F380" s="12"/>
      <c r="G380" s="12"/>
      <c r="H380" s="10"/>
      <c r="I380" s="10"/>
      <c r="J380" s="9" t="n">
        <f aca="false">IFERROR(SUMIFS(PurchaseOrderLines!$H$5:$H$504,PurchaseOrderLines!$B$5:$B$504,A380),"")</f>
        <v>0</v>
      </c>
      <c r="K380" s="9" t="n">
        <f aca="false">IFERROR(SUMIFS(PurchaseOrderLines!$I$5:$I$504,PurchaseOrderLines!$B$5:$B$504,A380),"")</f>
        <v>0</v>
      </c>
      <c r="L380" s="9" t="n">
        <f aca="false">IFERROR(J380+K380,"")</f>
        <v>0</v>
      </c>
      <c r="M380" s="9" t="n">
        <f aca="false">IFERROR(SUMIFS(Payments!$E$5:$E$504,Payments!$D$5:$D$504,A380,Payments!$C$5:$C$504,"Out"),"")</f>
        <v>0</v>
      </c>
      <c r="N380" s="9" t="n">
        <f aca="false">IFERROR(L380-M380,"")</f>
        <v>0</v>
      </c>
    </row>
    <row r="381" customFormat="false" ht="15" hidden="false" customHeight="false" outlineLevel="0" collapsed="false">
      <c r="A381" s="10"/>
      <c r="B381" s="12"/>
      <c r="C381" s="10"/>
      <c r="D381" s="14" t="str">
        <f aca="false">IFERROR(IF(C381="","",INDEX(Suppliers!$B$5:$B$504,MATCH(C381,Suppliers!$A$5:$A$504,0))),"")</f>
        <v/>
      </c>
      <c r="E381" s="10" t="s">
        <v>24</v>
      </c>
      <c r="F381" s="12"/>
      <c r="G381" s="12"/>
      <c r="H381" s="10"/>
      <c r="I381" s="10"/>
      <c r="J381" s="9" t="n">
        <f aca="false">IFERROR(SUMIFS(PurchaseOrderLines!$H$5:$H$504,PurchaseOrderLines!$B$5:$B$504,A381),"")</f>
        <v>0</v>
      </c>
      <c r="K381" s="9" t="n">
        <f aca="false">IFERROR(SUMIFS(PurchaseOrderLines!$I$5:$I$504,PurchaseOrderLines!$B$5:$B$504,A381),"")</f>
        <v>0</v>
      </c>
      <c r="L381" s="9" t="n">
        <f aca="false">IFERROR(J381+K381,"")</f>
        <v>0</v>
      </c>
      <c r="M381" s="9" t="n">
        <f aca="false">IFERROR(SUMIFS(Payments!$E$5:$E$504,Payments!$D$5:$D$504,A381,Payments!$C$5:$C$504,"Out"),"")</f>
        <v>0</v>
      </c>
      <c r="N381" s="9" t="n">
        <f aca="false">IFERROR(L381-M381,"")</f>
        <v>0</v>
      </c>
    </row>
    <row r="382" customFormat="false" ht="15" hidden="false" customHeight="false" outlineLevel="0" collapsed="false">
      <c r="A382" s="10"/>
      <c r="B382" s="12"/>
      <c r="C382" s="10"/>
      <c r="D382" s="14" t="str">
        <f aca="false">IFERROR(IF(C382="","",INDEX(Suppliers!$B$5:$B$504,MATCH(C382,Suppliers!$A$5:$A$504,0))),"")</f>
        <v/>
      </c>
      <c r="E382" s="10" t="s">
        <v>24</v>
      </c>
      <c r="F382" s="12"/>
      <c r="G382" s="12"/>
      <c r="H382" s="10"/>
      <c r="I382" s="10"/>
      <c r="J382" s="9" t="n">
        <f aca="false">IFERROR(SUMIFS(PurchaseOrderLines!$H$5:$H$504,PurchaseOrderLines!$B$5:$B$504,A382),"")</f>
        <v>0</v>
      </c>
      <c r="K382" s="9" t="n">
        <f aca="false">IFERROR(SUMIFS(PurchaseOrderLines!$I$5:$I$504,PurchaseOrderLines!$B$5:$B$504,A382),"")</f>
        <v>0</v>
      </c>
      <c r="L382" s="9" t="n">
        <f aca="false">IFERROR(J382+K382,"")</f>
        <v>0</v>
      </c>
      <c r="M382" s="9" t="n">
        <f aca="false">IFERROR(SUMIFS(Payments!$E$5:$E$504,Payments!$D$5:$D$504,A382,Payments!$C$5:$C$504,"Out"),"")</f>
        <v>0</v>
      </c>
      <c r="N382" s="9" t="n">
        <f aca="false">IFERROR(L382-M382,"")</f>
        <v>0</v>
      </c>
    </row>
    <row r="383" customFormat="false" ht="15" hidden="false" customHeight="false" outlineLevel="0" collapsed="false">
      <c r="A383" s="10"/>
      <c r="B383" s="12"/>
      <c r="C383" s="10"/>
      <c r="D383" s="14" t="str">
        <f aca="false">IFERROR(IF(C383="","",INDEX(Suppliers!$B$5:$B$504,MATCH(C383,Suppliers!$A$5:$A$504,0))),"")</f>
        <v/>
      </c>
      <c r="E383" s="10" t="s">
        <v>24</v>
      </c>
      <c r="F383" s="12"/>
      <c r="G383" s="12"/>
      <c r="H383" s="10"/>
      <c r="I383" s="10"/>
      <c r="J383" s="9" t="n">
        <f aca="false">IFERROR(SUMIFS(PurchaseOrderLines!$H$5:$H$504,PurchaseOrderLines!$B$5:$B$504,A383),"")</f>
        <v>0</v>
      </c>
      <c r="K383" s="9" t="n">
        <f aca="false">IFERROR(SUMIFS(PurchaseOrderLines!$I$5:$I$504,PurchaseOrderLines!$B$5:$B$504,A383),"")</f>
        <v>0</v>
      </c>
      <c r="L383" s="9" t="n">
        <f aca="false">IFERROR(J383+K383,"")</f>
        <v>0</v>
      </c>
      <c r="M383" s="9" t="n">
        <f aca="false">IFERROR(SUMIFS(Payments!$E$5:$E$504,Payments!$D$5:$D$504,A383,Payments!$C$5:$C$504,"Out"),"")</f>
        <v>0</v>
      </c>
      <c r="N383" s="9" t="n">
        <f aca="false">IFERROR(L383-M383,"")</f>
        <v>0</v>
      </c>
    </row>
    <row r="384" customFormat="false" ht="15" hidden="false" customHeight="false" outlineLevel="0" collapsed="false">
      <c r="A384" s="10"/>
      <c r="B384" s="12"/>
      <c r="C384" s="10"/>
      <c r="D384" s="14" t="str">
        <f aca="false">IFERROR(IF(C384="","",INDEX(Suppliers!$B$5:$B$504,MATCH(C384,Suppliers!$A$5:$A$504,0))),"")</f>
        <v/>
      </c>
      <c r="E384" s="10" t="s">
        <v>24</v>
      </c>
      <c r="F384" s="12"/>
      <c r="G384" s="12"/>
      <c r="H384" s="10"/>
      <c r="I384" s="10"/>
      <c r="J384" s="9" t="n">
        <f aca="false">IFERROR(SUMIFS(PurchaseOrderLines!$H$5:$H$504,PurchaseOrderLines!$B$5:$B$504,A384),"")</f>
        <v>0</v>
      </c>
      <c r="K384" s="9" t="n">
        <f aca="false">IFERROR(SUMIFS(PurchaseOrderLines!$I$5:$I$504,PurchaseOrderLines!$B$5:$B$504,A384),"")</f>
        <v>0</v>
      </c>
      <c r="L384" s="9" t="n">
        <f aca="false">IFERROR(J384+K384,"")</f>
        <v>0</v>
      </c>
      <c r="M384" s="9" t="n">
        <f aca="false">IFERROR(SUMIFS(Payments!$E$5:$E$504,Payments!$D$5:$D$504,A384,Payments!$C$5:$C$504,"Out"),"")</f>
        <v>0</v>
      </c>
      <c r="N384" s="9" t="n">
        <f aca="false">IFERROR(L384-M384,"")</f>
        <v>0</v>
      </c>
    </row>
    <row r="385" customFormat="false" ht="15" hidden="false" customHeight="false" outlineLevel="0" collapsed="false">
      <c r="A385" s="10"/>
      <c r="B385" s="12"/>
      <c r="C385" s="10"/>
      <c r="D385" s="14" t="str">
        <f aca="false">IFERROR(IF(C385="","",INDEX(Suppliers!$B$5:$B$504,MATCH(C385,Suppliers!$A$5:$A$504,0))),"")</f>
        <v/>
      </c>
      <c r="E385" s="10" t="s">
        <v>24</v>
      </c>
      <c r="F385" s="12"/>
      <c r="G385" s="12"/>
      <c r="H385" s="10"/>
      <c r="I385" s="10"/>
      <c r="J385" s="9" t="n">
        <f aca="false">IFERROR(SUMIFS(PurchaseOrderLines!$H$5:$H$504,PurchaseOrderLines!$B$5:$B$504,A385),"")</f>
        <v>0</v>
      </c>
      <c r="K385" s="9" t="n">
        <f aca="false">IFERROR(SUMIFS(PurchaseOrderLines!$I$5:$I$504,PurchaseOrderLines!$B$5:$B$504,A385),"")</f>
        <v>0</v>
      </c>
      <c r="L385" s="9" t="n">
        <f aca="false">IFERROR(J385+K385,"")</f>
        <v>0</v>
      </c>
      <c r="M385" s="9" t="n">
        <f aca="false">IFERROR(SUMIFS(Payments!$E$5:$E$504,Payments!$D$5:$D$504,A385,Payments!$C$5:$C$504,"Out"),"")</f>
        <v>0</v>
      </c>
      <c r="N385" s="9" t="n">
        <f aca="false">IFERROR(L385-M385,"")</f>
        <v>0</v>
      </c>
    </row>
    <row r="386" customFormat="false" ht="15" hidden="false" customHeight="false" outlineLevel="0" collapsed="false">
      <c r="A386" s="10"/>
      <c r="B386" s="12"/>
      <c r="C386" s="10"/>
      <c r="D386" s="14" t="str">
        <f aca="false">IFERROR(IF(C386="","",INDEX(Suppliers!$B$5:$B$504,MATCH(C386,Suppliers!$A$5:$A$504,0))),"")</f>
        <v/>
      </c>
      <c r="E386" s="10" t="s">
        <v>24</v>
      </c>
      <c r="F386" s="12"/>
      <c r="G386" s="12"/>
      <c r="H386" s="10"/>
      <c r="I386" s="10"/>
      <c r="J386" s="9" t="n">
        <f aca="false">IFERROR(SUMIFS(PurchaseOrderLines!$H$5:$H$504,PurchaseOrderLines!$B$5:$B$504,A386),"")</f>
        <v>0</v>
      </c>
      <c r="K386" s="9" t="n">
        <f aca="false">IFERROR(SUMIFS(PurchaseOrderLines!$I$5:$I$504,PurchaseOrderLines!$B$5:$B$504,A386),"")</f>
        <v>0</v>
      </c>
      <c r="L386" s="9" t="n">
        <f aca="false">IFERROR(J386+K386,"")</f>
        <v>0</v>
      </c>
      <c r="M386" s="9" t="n">
        <f aca="false">IFERROR(SUMIFS(Payments!$E$5:$E$504,Payments!$D$5:$D$504,A386,Payments!$C$5:$C$504,"Out"),"")</f>
        <v>0</v>
      </c>
      <c r="N386" s="9" t="n">
        <f aca="false">IFERROR(L386-M386,"")</f>
        <v>0</v>
      </c>
    </row>
    <row r="387" customFormat="false" ht="15" hidden="false" customHeight="false" outlineLevel="0" collapsed="false">
      <c r="A387" s="10"/>
      <c r="B387" s="12"/>
      <c r="C387" s="10"/>
      <c r="D387" s="14" t="str">
        <f aca="false">IFERROR(IF(C387="","",INDEX(Suppliers!$B$5:$B$504,MATCH(C387,Suppliers!$A$5:$A$504,0))),"")</f>
        <v/>
      </c>
      <c r="E387" s="10" t="s">
        <v>24</v>
      </c>
      <c r="F387" s="12"/>
      <c r="G387" s="12"/>
      <c r="H387" s="10"/>
      <c r="I387" s="10"/>
      <c r="J387" s="9" t="n">
        <f aca="false">IFERROR(SUMIFS(PurchaseOrderLines!$H$5:$H$504,PurchaseOrderLines!$B$5:$B$504,A387),"")</f>
        <v>0</v>
      </c>
      <c r="K387" s="9" t="n">
        <f aca="false">IFERROR(SUMIFS(PurchaseOrderLines!$I$5:$I$504,PurchaseOrderLines!$B$5:$B$504,A387),"")</f>
        <v>0</v>
      </c>
      <c r="L387" s="9" t="n">
        <f aca="false">IFERROR(J387+K387,"")</f>
        <v>0</v>
      </c>
      <c r="M387" s="9" t="n">
        <f aca="false">IFERROR(SUMIFS(Payments!$E$5:$E$504,Payments!$D$5:$D$504,A387,Payments!$C$5:$C$504,"Out"),"")</f>
        <v>0</v>
      </c>
      <c r="N387" s="9" t="n">
        <f aca="false">IFERROR(L387-M387,"")</f>
        <v>0</v>
      </c>
    </row>
    <row r="388" customFormat="false" ht="15" hidden="false" customHeight="false" outlineLevel="0" collapsed="false">
      <c r="A388" s="10"/>
      <c r="B388" s="12"/>
      <c r="C388" s="10"/>
      <c r="D388" s="14" t="str">
        <f aca="false">IFERROR(IF(C388="","",INDEX(Suppliers!$B$5:$B$504,MATCH(C388,Suppliers!$A$5:$A$504,0))),"")</f>
        <v/>
      </c>
      <c r="E388" s="10" t="s">
        <v>24</v>
      </c>
      <c r="F388" s="12"/>
      <c r="G388" s="12"/>
      <c r="H388" s="10"/>
      <c r="I388" s="10"/>
      <c r="J388" s="9" t="n">
        <f aca="false">IFERROR(SUMIFS(PurchaseOrderLines!$H$5:$H$504,PurchaseOrderLines!$B$5:$B$504,A388),"")</f>
        <v>0</v>
      </c>
      <c r="K388" s="9" t="n">
        <f aca="false">IFERROR(SUMIFS(PurchaseOrderLines!$I$5:$I$504,PurchaseOrderLines!$B$5:$B$504,A388),"")</f>
        <v>0</v>
      </c>
      <c r="L388" s="9" t="n">
        <f aca="false">IFERROR(J388+K388,"")</f>
        <v>0</v>
      </c>
      <c r="M388" s="9" t="n">
        <f aca="false">IFERROR(SUMIFS(Payments!$E$5:$E$504,Payments!$D$5:$D$504,A388,Payments!$C$5:$C$504,"Out"),"")</f>
        <v>0</v>
      </c>
      <c r="N388" s="9" t="n">
        <f aca="false">IFERROR(L388-M388,"")</f>
        <v>0</v>
      </c>
    </row>
    <row r="389" customFormat="false" ht="15" hidden="false" customHeight="false" outlineLevel="0" collapsed="false">
      <c r="A389" s="10"/>
      <c r="B389" s="12"/>
      <c r="C389" s="10"/>
      <c r="D389" s="14" t="str">
        <f aca="false">IFERROR(IF(C389="","",INDEX(Suppliers!$B$5:$B$504,MATCH(C389,Suppliers!$A$5:$A$504,0))),"")</f>
        <v/>
      </c>
      <c r="E389" s="10" t="s">
        <v>24</v>
      </c>
      <c r="F389" s="12"/>
      <c r="G389" s="12"/>
      <c r="H389" s="10"/>
      <c r="I389" s="10"/>
      <c r="J389" s="9" t="n">
        <f aca="false">IFERROR(SUMIFS(PurchaseOrderLines!$H$5:$H$504,PurchaseOrderLines!$B$5:$B$504,A389),"")</f>
        <v>0</v>
      </c>
      <c r="K389" s="9" t="n">
        <f aca="false">IFERROR(SUMIFS(PurchaseOrderLines!$I$5:$I$504,PurchaseOrderLines!$B$5:$B$504,A389),"")</f>
        <v>0</v>
      </c>
      <c r="L389" s="9" t="n">
        <f aca="false">IFERROR(J389+K389,"")</f>
        <v>0</v>
      </c>
      <c r="M389" s="9" t="n">
        <f aca="false">IFERROR(SUMIFS(Payments!$E$5:$E$504,Payments!$D$5:$D$504,A389,Payments!$C$5:$C$504,"Out"),"")</f>
        <v>0</v>
      </c>
      <c r="N389" s="9" t="n">
        <f aca="false">IFERROR(L389-M389,"")</f>
        <v>0</v>
      </c>
    </row>
    <row r="390" customFormat="false" ht="15" hidden="false" customHeight="false" outlineLevel="0" collapsed="false">
      <c r="A390" s="10"/>
      <c r="B390" s="12"/>
      <c r="C390" s="10"/>
      <c r="D390" s="14" t="str">
        <f aca="false">IFERROR(IF(C390="","",INDEX(Suppliers!$B$5:$B$504,MATCH(C390,Suppliers!$A$5:$A$504,0))),"")</f>
        <v/>
      </c>
      <c r="E390" s="10" t="s">
        <v>24</v>
      </c>
      <c r="F390" s="12"/>
      <c r="G390" s="12"/>
      <c r="H390" s="10"/>
      <c r="I390" s="10"/>
      <c r="J390" s="9" t="n">
        <f aca="false">IFERROR(SUMIFS(PurchaseOrderLines!$H$5:$H$504,PurchaseOrderLines!$B$5:$B$504,A390),"")</f>
        <v>0</v>
      </c>
      <c r="K390" s="9" t="n">
        <f aca="false">IFERROR(SUMIFS(PurchaseOrderLines!$I$5:$I$504,PurchaseOrderLines!$B$5:$B$504,A390),"")</f>
        <v>0</v>
      </c>
      <c r="L390" s="9" t="n">
        <f aca="false">IFERROR(J390+K390,"")</f>
        <v>0</v>
      </c>
      <c r="M390" s="9" t="n">
        <f aca="false">IFERROR(SUMIFS(Payments!$E$5:$E$504,Payments!$D$5:$D$504,A390,Payments!$C$5:$C$504,"Out"),"")</f>
        <v>0</v>
      </c>
      <c r="N390" s="9" t="n">
        <f aca="false">IFERROR(L390-M390,"")</f>
        <v>0</v>
      </c>
    </row>
    <row r="391" customFormat="false" ht="15" hidden="false" customHeight="false" outlineLevel="0" collapsed="false">
      <c r="A391" s="10"/>
      <c r="B391" s="12"/>
      <c r="C391" s="10"/>
      <c r="D391" s="14" t="str">
        <f aca="false">IFERROR(IF(C391="","",INDEX(Suppliers!$B$5:$B$504,MATCH(C391,Suppliers!$A$5:$A$504,0))),"")</f>
        <v/>
      </c>
      <c r="E391" s="10" t="s">
        <v>24</v>
      </c>
      <c r="F391" s="12"/>
      <c r="G391" s="12"/>
      <c r="H391" s="10"/>
      <c r="I391" s="10"/>
      <c r="J391" s="9" t="n">
        <f aca="false">IFERROR(SUMIFS(PurchaseOrderLines!$H$5:$H$504,PurchaseOrderLines!$B$5:$B$504,A391),"")</f>
        <v>0</v>
      </c>
      <c r="K391" s="9" t="n">
        <f aca="false">IFERROR(SUMIFS(PurchaseOrderLines!$I$5:$I$504,PurchaseOrderLines!$B$5:$B$504,A391),"")</f>
        <v>0</v>
      </c>
      <c r="L391" s="9" t="n">
        <f aca="false">IFERROR(J391+K391,"")</f>
        <v>0</v>
      </c>
      <c r="M391" s="9" t="n">
        <f aca="false">IFERROR(SUMIFS(Payments!$E$5:$E$504,Payments!$D$5:$D$504,A391,Payments!$C$5:$C$504,"Out"),"")</f>
        <v>0</v>
      </c>
      <c r="N391" s="9" t="n">
        <f aca="false">IFERROR(L391-M391,"")</f>
        <v>0</v>
      </c>
    </row>
    <row r="392" customFormat="false" ht="15" hidden="false" customHeight="false" outlineLevel="0" collapsed="false">
      <c r="A392" s="10"/>
      <c r="B392" s="12"/>
      <c r="C392" s="10"/>
      <c r="D392" s="14" t="str">
        <f aca="false">IFERROR(IF(C392="","",INDEX(Suppliers!$B$5:$B$504,MATCH(C392,Suppliers!$A$5:$A$504,0))),"")</f>
        <v/>
      </c>
      <c r="E392" s="10" t="s">
        <v>24</v>
      </c>
      <c r="F392" s="12"/>
      <c r="G392" s="12"/>
      <c r="H392" s="10"/>
      <c r="I392" s="10"/>
      <c r="J392" s="9" t="n">
        <f aca="false">IFERROR(SUMIFS(PurchaseOrderLines!$H$5:$H$504,PurchaseOrderLines!$B$5:$B$504,A392),"")</f>
        <v>0</v>
      </c>
      <c r="K392" s="9" t="n">
        <f aca="false">IFERROR(SUMIFS(PurchaseOrderLines!$I$5:$I$504,PurchaseOrderLines!$B$5:$B$504,A392),"")</f>
        <v>0</v>
      </c>
      <c r="L392" s="9" t="n">
        <f aca="false">IFERROR(J392+K392,"")</f>
        <v>0</v>
      </c>
      <c r="M392" s="9" t="n">
        <f aca="false">IFERROR(SUMIFS(Payments!$E$5:$E$504,Payments!$D$5:$D$504,A392,Payments!$C$5:$C$504,"Out"),"")</f>
        <v>0</v>
      </c>
      <c r="N392" s="9" t="n">
        <f aca="false">IFERROR(L392-M392,"")</f>
        <v>0</v>
      </c>
    </row>
    <row r="393" customFormat="false" ht="15" hidden="false" customHeight="false" outlineLevel="0" collapsed="false">
      <c r="A393" s="10"/>
      <c r="B393" s="12"/>
      <c r="C393" s="10"/>
      <c r="D393" s="14" t="str">
        <f aca="false">IFERROR(IF(C393="","",INDEX(Suppliers!$B$5:$B$504,MATCH(C393,Suppliers!$A$5:$A$504,0))),"")</f>
        <v/>
      </c>
      <c r="E393" s="10" t="s">
        <v>24</v>
      </c>
      <c r="F393" s="12"/>
      <c r="G393" s="12"/>
      <c r="H393" s="10"/>
      <c r="I393" s="10"/>
      <c r="J393" s="9" t="n">
        <f aca="false">IFERROR(SUMIFS(PurchaseOrderLines!$H$5:$H$504,PurchaseOrderLines!$B$5:$B$504,A393),"")</f>
        <v>0</v>
      </c>
      <c r="K393" s="9" t="n">
        <f aca="false">IFERROR(SUMIFS(PurchaseOrderLines!$I$5:$I$504,PurchaseOrderLines!$B$5:$B$504,A393),"")</f>
        <v>0</v>
      </c>
      <c r="L393" s="9" t="n">
        <f aca="false">IFERROR(J393+K393,"")</f>
        <v>0</v>
      </c>
      <c r="M393" s="9" t="n">
        <f aca="false">IFERROR(SUMIFS(Payments!$E$5:$E$504,Payments!$D$5:$D$504,A393,Payments!$C$5:$C$504,"Out"),"")</f>
        <v>0</v>
      </c>
      <c r="N393" s="9" t="n">
        <f aca="false">IFERROR(L393-M393,"")</f>
        <v>0</v>
      </c>
    </row>
    <row r="394" customFormat="false" ht="15" hidden="false" customHeight="false" outlineLevel="0" collapsed="false">
      <c r="A394" s="10"/>
      <c r="B394" s="12"/>
      <c r="C394" s="10"/>
      <c r="D394" s="14" t="str">
        <f aca="false">IFERROR(IF(C394="","",INDEX(Suppliers!$B$5:$B$504,MATCH(C394,Suppliers!$A$5:$A$504,0))),"")</f>
        <v/>
      </c>
      <c r="E394" s="10" t="s">
        <v>24</v>
      </c>
      <c r="F394" s="12"/>
      <c r="G394" s="12"/>
      <c r="H394" s="10"/>
      <c r="I394" s="10"/>
      <c r="J394" s="9" t="n">
        <f aca="false">IFERROR(SUMIFS(PurchaseOrderLines!$H$5:$H$504,PurchaseOrderLines!$B$5:$B$504,A394),"")</f>
        <v>0</v>
      </c>
      <c r="K394" s="9" t="n">
        <f aca="false">IFERROR(SUMIFS(PurchaseOrderLines!$I$5:$I$504,PurchaseOrderLines!$B$5:$B$504,A394),"")</f>
        <v>0</v>
      </c>
      <c r="L394" s="9" t="n">
        <f aca="false">IFERROR(J394+K394,"")</f>
        <v>0</v>
      </c>
      <c r="M394" s="9" t="n">
        <f aca="false">IFERROR(SUMIFS(Payments!$E$5:$E$504,Payments!$D$5:$D$504,A394,Payments!$C$5:$C$504,"Out"),"")</f>
        <v>0</v>
      </c>
      <c r="N394" s="9" t="n">
        <f aca="false">IFERROR(L394-M394,"")</f>
        <v>0</v>
      </c>
    </row>
    <row r="395" customFormat="false" ht="15" hidden="false" customHeight="false" outlineLevel="0" collapsed="false">
      <c r="A395" s="10"/>
      <c r="B395" s="12"/>
      <c r="C395" s="10"/>
      <c r="D395" s="14" t="str">
        <f aca="false">IFERROR(IF(C395="","",INDEX(Suppliers!$B$5:$B$504,MATCH(C395,Suppliers!$A$5:$A$504,0))),"")</f>
        <v/>
      </c>
      <c r="E395" s="10" t="s">
        <v>24</v>
      </c>
      <c r="F395" s="12"/>
      <c r="G395" s="12"/>
      <c r="H395" s="10"/>
      <c r="I395" s="10"/>
      <c r="J395" s="9" t="n">
        <f aca="false">IFERROR(SUMIFS(PurchaseOrderLines!$H$5:$H$504,PurchaseOrderLines!$B$5:$B$504,A395),"")</f>
        <v>0</v>
      </c>
      <c r="K395" s="9" t="n">
        <f aca="false">IFERROR(SUMIFS(PurchaseOrderLines!$I$5:$I$504,PurchaseOrderLines!$B$5:$B$504,A395),"")</f>
        <v>0</v>
      </c>
      <c r="L395" s="9" t="n">
        <f aca="false">IFERROR(J395+K395,"")</f>
        <v>0</v>
      </c>
      <c r="M395" s="9" t="n">
        <f aca="false">IFERROR(SUMIFS(Payments!$E$5:$E$504,Payments!$D$5:$D$504,A395,Payments!$C$5:$C$504,"Out"),"")</f>
        <v>0</v>
      </c>
      <c r="N395" s="9" t="n">
        <f aca="false">IFERROR(L395-M395,"")</f>
        <v>0</v>
      </c>
    </row>
    <row r="396" customFormat="false" ht="15" hidden="false" customHeight="false" outlineLevel="0" collapsed="false">
      <c r="A396" s="10"/>
      <c r="B396" s="12"/>
      <c r="C396" s="10"/>
      <c r="D396" s="14" t="str">
        <f aca="false">IFERROR(IF(C396="","",INDEX(Suppliers!$B$5:$B$504,MATCH(C396,Suppliers!$A$5:$A$504,0))),"")</f>
        <v/>
      </c>
      <c r="E396" s="10" t="s">
        <v>24</v>
      </c>
      <c r="F396" s="12"/>
      <c r="G396" s="12"/>
      <c r="H396" s="10"/>
      <c r="I396" s="10"/>
      <c r="J396" s="9" t="n">
        <f aca="false">IFERROR(SUMIFS(PurchaseOrderLines!$H$5:$H$504,PurchaseOrderLines!$B$5:$B$504,A396),"")</f>
        <v>0</v>
      </c>
      <c r="K396" s="9" t="n">
        <f aca="false">IFERROR(SUMIFS(PurchaseOrderLines!$I$5:$I$504,PurchaseOrderLines!$B$5:$B$504,A396),"")</f>
        <v>0</v>
      </c>
      <c r="L396" s="9" t="n">
        <f aca="false">IFERROR(J396+K396,"")</f>
        <v>0</v>
      </c>
      <c r="M396" s="9" t="n">
        <f aca="false">IFERROR(SUMIFS(Payments!$E$5:$E$504,Payments!$D$5:$D$504,A396,Payments!$C$5:$C$504,"Out"),"")</f>
        <v>0</v>
      </c>
      <c r="N396" s="9" t="n">
        <f aca="false">IFERROR(L396-M396,"")</f>
        <v>0</v>
      </c>
    </row>
    <row r="397" customFormat="false" ht="15" hidden="false" customHeight="false" outlineLevel="0" collapsed="false">
      <c r="A397" s="10"/>
      <c r="B397" s="12"/>
      <c r="C397" s="10"/>
      <c r="D397" s="14" t="str">
        <f aca="false">IFERROR(IF(C397="","",INDEX(Suppliers!$B$5:$B$504,MATCH(C397,Suppliers!$A$5:$A$504,0))),"")</f>
        <v/>
      </c>
      <c r="E397" s="10" t="s">
        <v>24</v>
      </c>
      <c r="F397" s="12"/>
      <c r="G397" s="12"/>
      <c r="H397" s="10"/>
      <c r="I397" s="10"/>
      <c r="J397" s="9" t="n">
        <f aca="false">IFERROR(SUMIFS(PurchaseOrderLines!$H$5:$H$504,PurchaseOrderLines!$B$5:$B$504,A397),"")</f>
        <v>0</v>
      </c>
      <c r="K397" s="9" t="n">
        <f aca="false">IFERROR(SUMIFS(PurchaseOrderLines!$I$5:$I$504,PurchaseOrderLines!$B$5:$B$504,A397),"")</f>
        <v>0</v>
      </c>
      <c r="L397" s="9" t="n">
        <f aca="false">IFERROR(J397+K397,"")</f>
        <v>0</v>
      </c>
      <c r="M397" s="9" t="n">
        <f aca="false">IFERROR(SUMIFS(Payments!$E$5:$E$504,Payments!$D$5:$D$504,A397,Payments!$C$5:$C$504,"Out"),"")</f>
        <v>0</v>
      </c>
      <c r="N397" s="9" t="n">
        <f aca="false">IFERROR(L397-M397,"")</f>
        <v>0</v>
      </c>
    </row>
    <row r="398" customFormat="false" ht="15" hidden="false" customHeight="false" outlineLevel="0" collapsed="false">
      <c r="A398" s="10"/>
      <c r="B398" s="12"/>
      <c r="C398" s="10"/>
      <c r="D398" s="14" t="str">
        <f aca="false">IFERROR(IF(C398="","",INDEX(Suppliers!$B$5:$B$504,MATCH(C398,Suppliers!$A$5:$A$504,0))),"")</f>
        <v/>
      </c>
      <c r="E398" s="10" t="s">
        <v>24</v>
      </c>
      <c r="F398" s="12"/>
      <c r="G398" s="12"/>
      <c r="H398" s="10"/>
      <c r="I398" s="10"/>
      <c r="J398" s="9" t="n">
        <f aca="false">IFERROR(SUMIFS(PurchaseOrderLines!$H$5:$H$504,PurchaseOrderLines!$B$5:$B$504,A398),"")</f>
        <v>0</v>
      </c>
      <c r="K398" s="9" t="n">
        <f aca="false">IFERROR(SUMIFS(PurchaseOrderLines!$I$5:$I$504,PurchaseOrderLines!$B$5:$B$504,A398),"")</f>
        <v>0</v>
      </c>
      <c r="L398" s="9" t="n">
        <f aca="false">IFERROR(J398+K398,"")</f>
        <v>0</v>
      </c>
      <c r="M398" s="9" t="n">
        <f aca="false">IFERROR(SUMIFS(Payments!$E$5:$E$504,Payments!$D$5:$D$504,A398,Payments!$C$5:$C$504,"Out"),"")</f>
        <v>0</v>
      </c>
      <c r="N398" s="9" t="n">
        <f aca="false">IFERROR(L398-M398,"")</f>
        <v>0</v>
      </c>
    </row>
    <row r="399" customFormat="false" ht="15" hidden="false" customHeight="false" outlineLevel="0" collapsed="false">
      <c r="A399" s="10"/>
      <c r="B399" s="12"/>
      <c r="C399" s="10"/>
      <c r="D399" s="14" t="str">
        <f aca="false">IFERROR(IF(C399="","",INDEX(Suppliers!$B$5:$B$504,MATCH(C399,Suppliers!$A$5:$A$504,0))),"")</f>
        <v/>
      </c>
      <c r="E399" s="10" t="s">
        <v>24</v>
      </c>
      <c r="F399" s="12"/>
      <c r="G399" s="12"/>
      <c r="H399" s="10"/>
      <c r="I399" s="10"/>
      <c r="J399" s="9" t="n">
        <f aca="false">IFERROR(SUMIFS(PurchaseOrderLines!$H$5:$H$504,PurchaseOrderLines!$B$5:$B$504,A399),"")</f>
        <v>0</v>
      </c>
      <c r="K399" s="9" t="n">
        <f aca="false">IFERROR(SUMIFS(PurchaseOrderLines!$I$5:$I$504,PurchaseOrderLines!$B$5:$B$504,A399),"")</f>
        <v>0</v>
      </c>
      <c r="L399" s="9" t="n">
        <f aca="false">IFERROR(J399+K399,"")</f>
        <v>0</v>
      </c>
      <c r="M399" s="9" t="n">
        <f aca="false">IFERROR(SUMIFS(Payments!$E$5:$E$504,Payments!$D$5:$D$504,A399,Payments!$C$5:$C$504,"Out"),"")</f>
        <v>0</v>
      </c>
      <c r="N399" s="9" t="n">
        <f aca="false">IFERROR(L399-M399,"")</f>
        <v>0</v>
      </c>
    </row>
    <row r="400" customFormat="false" ht="15" hidden="false" customHeight="false" outlineLevel="0" collapsed="false">
      <c r="A400" s="10"/>
      <c r="B400" s="12"/>
      <c r="C400" s="10"/>
      <c r="D400" s="14" t="str">
        <f aca="false">IFERROR(IF(C400="","",INDEX(Suppliers!$B$5:$B$504,MATCH(C400,Suppliers!$A$5:$A$504,0))),"")</f>
        <v/>
      </c>
      <c r="E400" s="10" t="s">
        <v>24</v>
      </c>
      <c r="F400" s="12"/>
      <c r="G400" s="12"/>
      <c r="H400" s="10"/>
      <c r="I400" s="10"/>
      <c r="J400" s="9" t="n">
        <f aca="false">IFERROR(SUMIFS(PurchaseOrderLines!$H$5:$H$504,PurchaseOrderLines!$B$5:$B$504,A400),"")</f>
        <v>0</v>
      </c>
      <c r="K400" s="9" t="n">
        <f aca="false">IFERROR(SUMIFS(PurchaseOrderLines!$I$5:$I$504,PurchaseOrderLines!$B$5:$B$504,A400),"")</f>
        <v>0</v>
      </c>
      <c r="L400" s="9" t="n">
        <f aca="false">IFERROR(J400+K400,"")</f>
        <v>0</v>
      </c>
      <c r="M400" s="9" t="n">
        <f aca="false">IFERROR(SUMIFS(Payments!$E$5:$E$504,Payments!$D$5:$D$504,A400,Payments!$C$5:$C$504,"Out"),"")</f>
        <v>0</v>
      </c>
      <c r="N400" s="9" t="n">
        <f aca="false">IFERROR(L400-M400,"")</f>
        <v>0</v>
      </c>
    </row>
    <row r="401" customFormat="false" ht="15" hidden="false" customHeight="false" outlineLevel="0" collapsed="false">
      <c r="A401" s="10"/>
      <c r="B401" s="12"/>
      <c r="C401" s="10"/>
      <c r="D401" s="14" t="str">
        <f aca="false">IFERROR(IF(C401="","",INDEX(Suppliers!$B$5:$B$504,MATCH(C401,Suppliers!$A$5:$A$504,0))),"")</f>
        <v/>
      </c>
      <c r="E401" s="10" t="s">
        <v>24</v>
      </c>
      <c r="F401" s="12"/>
      <c r="G401" s="12"/>
      <c r="H401" s="10"/>
      <c r="I401" s="10"/>
      <c r="J401" s="9" t="n">
        <f aca="false">IFERROR(SUMIFS(PurchaseOrderLines!$H$5:$H$504,PurchaseOrderLines!$B$5:$B$504,A401),"")</f>
        <v>0</v>
      </c>
      <c r="K401" s="9" t="n">
        <f aca="false">IFERROR(SUMIFS(PurchaseOrderLines!$I$5:$I$504,PurchaseOrderLines!$B$5:$B$504,A401),"")</f>
        <v>0</v>
      </c>
      <c r="L401" s="9" t="n">
        <f aca="false">IFERROR(J401+K401,"")</f>
        <v>0</v>
      </c>
      <c r="M401" s="9" t="n">
        <f aca="false">IFERROR(SUMIFS(Payments!$E$5:$E$504,Payments!$D$5:$D$504,A401,Payments!$C$5:$C$504,"Out"),"")</f>
        <v>0</v>
      </c>
      <c r="N401" s="9" t="n">
        <f aca="false">IFERROR(L401-M401,"")</f>
        <v>0</v>
      </c>
    </row>
    <row r="402" customFormat="false" ht="15" hidden="false" customHeight="false" outlineLevel="0" collapsed="false">
      <c r="A402" s="10"/>
      <c r="B402" s="12"/>
      <c r="C402" s="10"/>
      <c r="D402" s="14" t="str">
        <f aca="false">IFERROR(IF(C402="","",INDEX(Suppliers!$B$5:$B$504,MATCH(C402,Suppliers!$A$5:$A$504,0))),"")</f>
        <v/>
      </c>
      <c r="E402" s="10" t="s">
        <v>24</v>
      </c>
      <c r="F402" s="12"/>
      <c r="G402" s="12"/>
      <c r="H402" s="10"/>
      <c r="I402" s="10"/>
      <c r="J402" s="9" t="n">
        <f aca="false">IFERROR(SUMIFS(PurchaseOrderLines!$H$5:$H$504,PurchaseOrderLines!$B$5:$B$504,A402),"")</f>
        <v>0</v>
      </c>
      <c r="K402" s="9" t="n">
        <f aca="false">IFERROR(SUMIFS(PurchaseOrderLines!$I$5:$I$504,PurchaseOrderLines!$B$5:$B$504,A402),"")</f>
        <v>0</v>
      </c>
      <c r="L402" s="9" t="n">
        <f aca="false">IFERROR(J402+K402,"")</f>
        <v>0</v>
      </c>
      <c r="M402" s="9" t="n">
        <f aca="false">IFERROR(SUMIFS(Payments!$E$5:$E$504,Payments!$D$5:$D$504,A402,Payments!$C$5:$C$504,"Out"),"")</f>
        <v>0</v>
      </c>
      <c r="N402" s="9" t="n">
        <f aca="false">IFERROR(L402-M402,"")</f>
        <v>0</v>
      </c>
    </row>
    <row r="403" customFormat="false" ht="15" hidden="false" customHeight="false" outlineLevel="0" collapsed="false">
      <c r="A403" s="10"/>
      <c r="B403" s="12"/>
      <c r="C403" s="10"/>
      <c r="D403" s="14" t="str">
        <f aca="false">IFERROR(IF(C403="","",INDEX(Suppliers!$B$5:$B$504,MATCH(C403,Suppliers!$A$5:$A$504,0))),"")</f>
        <v/>
      </c>
      <c r="E403" s="10" t="s">
        <v>24</v>
      </c>
      <c r="F403" s="12"/>
      <c r="G403" s="12"/>
      <c r="H403" s="10"/>
      <c r="I403" s="10"/>
      <c r="J403" s="9" t="n">
        <f aca="false">IFERROR(SUMIFS(PurchaseOrderLines!$H$5:$H$504,PurchaseOrderLines!$B$5:$B$504,A403),"")</f>
        <v>0</v>
      </c>
      <c r="K403" s="9" t="n">
        <f aca="false">IFERROR(SUMIFS(PurchaseOrderLines!$I$5:$I$504,PurchaseOrderLines!$B$5:$B$504,A403),"")</f>
        <v>0</v>
      </c>
      <c r="L403" s="9" t="n">
        <f aca="false">IFERROR(J403+K403,"")</f>
        <v>0</v>
      </c>
      <c r="M403" s="9" t="n">
        <f aca="false">IFERROR(SUMIFS(Payments!$E$5:$E$504,Payments!$D$5:$D$504,A403,Payments!$C$5:$C$504,"Out"),"")</f>
        <v>0</v>
      </c>
      <c r="N403" s="9" t="n">
        <f aca="false">IFERROR(L403-M403,"")</f>
        <v>0</v>
      </c>
    </row>
    <row r="404" customFormat="false" ht="15" hidden="false" customHeight="false" outlineLevel="0" collapsed="false">
      <c r="A404" s="10"/>
      <c r="B404" s="12"/>
      <c r="C404" s="10"/>
      <c r="D404" s="14" t="str">
        <f aca="false">IFERROR(IF(C404="","",INDEX(Suppliers!$B$5:$B$504,MATCH(C404,Suppliers!$A$5:$A$504,0))),"")</f>
        <v/>
      </c>
      <c r="E404" s="10" t="s">
        <v>24</v>
      </c>
      <c r="F404" s="12"/>
      <c r="G404" s="12"/>
      <c r="H404" s="10"/>
      <c r="I404" s="10"/>
      <c r="J404" s="9" t="n">
        <f aca="false">IFERROR(SUMIFS(PurchaseOrderLines!$H$5:$H$504,PurchaseOrderLines!$B$5:$B$504,A404),"")</f>
        <v>0</v>
      </c>
      <c r="K404" s="9" t="n">
        <f aca="false">IFERROR(SUMIFS(PurchaseOrderLines!$I$5:$I$504,PurchaseOrderLines!$B$5:$B$504,A404),"")</f>
        <v>0</v>
      </c>
      <c r="L404" s="9" t="n">
        <f aca="false">IFERROR(J404+K404,"")</f>
        <v>0</v>
      </c>
      <c r="M404" s="9" t="n">
        <f aca="false">IFERROR(SUMIFS(Payments!$E$5:$E$504,Payments!$D$5:$D$504,A404,Payments!$C$5:$C$504,"Out"),"")</f>
        <v>0</v>
      </c>
      <c r="N404" s="9" t="n">
        <f aca="false">IFERROR(L404-M404,"")</f>
        <v>0</v>
      </c>
    </row>
    <row r="405" customFormat="false" ht="15" hidden="false" customHeight="false" outlineLevel="0" collapsed="false">
      <c r="A405" s="10"/>
      <c r="B405" s="12"/>
      <c r="C405" s="10"/>
      <c r="D405" s="14" t="str">
        <f aca="false">IFERROR(IF(C405="","",INDEX(Suppliers!$B$5:$B$504,MATCH(C405,Suppliers!$A$5:$A$504,0))),"")</f>
        <v/>
      </c>
      <c r="E405" s="10" t="s">
        <v>24</v>
      </c>
      <c r="F405" s="12"/>
      <c r="G405" s="12"/>
      <c r="H405" s="10"/>
      <c r="I405" s="10"/>
      <c r="J405" s="9" t="n">
        <f aca="false">IFERROR(SUMIFS(PurchaseOrderLines!$H$5:$H$504,PurchaseOrderLines!$B$5:$B$504,A405),"")</f>
        <v>0</v>
      </c>
      <c r="K405" s="9" t="n">
        <f aca="false">IFERROR(SUMIFS(PurchaseOrderLines!$I$5:$I$504,PurchaseOrderLines!$B$5:$B$504,A405),"")</f>
        <v>0</v>
      </c>
      <c r="L405" s="9" t="n">
        <f aca="false">IFERROR(J405+K405,"")</f>
        <v>0</v>
      </c>
      <c r="M405" s="9" t="n">
        <f aca="false">IFERROR(SUMIFS(Payments!$E$5:$E$504,Payments!$D$5:$D$504,A405,Payments!$C$5:$C$504,"Out"),"")</f>
        <v>0</v>
      </c>
      <c r="N405" s="9" t="n">
        <f aca="false">IFERROR(L405-M405,"")</f>
        <v>0</v>
      </c>
    </row>
    <row r="406" customFormat="false" ht="15" hidden="false" customHeight="false" outlineLevel="0" collapsed="false">
      <c r="A406" s="10"/>
      <c r="B406" s="12"/>
      <c r="C406" s="10"/>
      <c r="D406" s="14" t="str">
        <f aca="false">IFERROR(IF(C406="","",INDEX(Suppliers!$B$5:$B$504,MATCH(C406,Suppliers!$A$5:$A$504,0))),"")</f>
        <v/>
      </c>
      <c r="E406" s="10" t="s">
        <v>24</v>
      </c>
      <c r="F406" s="12"/>
      <c r="G406" s="12"/>
      <c r="H406" s="10"/>
      <c r="I406" s="10"/>
      <c r="J406" s="9" t="n">
        <f aca="false">IFERROR(SUMIFS(PurchaseOrderLines!$H$5:$H$504,PurchaseOrderLines!$B$5:$B$504,A406),"")</f>
        <v>0</v>
      </c>
      <c r="K406" s="9" t="n">
        <f aca="false">IFERROR(SUMIFS(PurchaseOrderLines!$I$5:$I$504,PurchaseOrderLines!$B$5:$B$504,A406),"")</f>
        <v>0</v>
      </c>
      <c r="L406" s="9" t="n">
        <f aca="false">IFERROR(J406+K406,"")</f>
        <v>0</v>
      </c>
      <c r="M406" s="9" t="n">
        <f aca="false">IFERROR(SUMIFS(Payments!$E$5:$E$504,Payments!$D$5:$D$504,A406,Payments!$C$5:$C$504,"Out"),"")</f>
        <v>0</v>
      </c>
      <c r="N406" s="9" t="n">
        <f aca="false">IFERROR(L406-M406,"")</f>
        <v>0</v>
      </c>
    </row>
    <row r="407" customFormat="false" ht="15" hidden="false" customHeight="false" outlineLevel="0" collapsed="false">
      <c r="A407" s="10"/>
      <c r="B407" s="12"/>
      <c r="C407" s="10"/>
      <c r="D407" s="14" t="str">
        <f aca="false">IFERROR(IF(C407="","",INDEX(Suppliers!$B$5:$B$504,MATCH(C407,Suppliers!$A$5:$A$504,0))),"")</f>
        <v/>
      </c>
      <c r="E407" s="10" t="s">
        <v>24</v>
      </c>
      <c r="F407" s="12"/>
      <c r="G407" s="12"/>
      <c r="H407" s="10"/>
      <c r="I407" s="10"/>
      <c r="J407" s="9" t="n">
        <f aca="false">IFERROR(SUMIFS(PurchaseOrderLines!$H$5:$H$504,PurchaseOrderLines!$B$5:$B$504,A407),"")</f>
        <v>0</v>
      </c>
      <c r="K407" s="9" t="n">
        <f aca="false">IFERROR(SUMIFS(PurchaseOrderLines!$I$5:$I$504,PurchaseOrderLines!$B$5:$B$504,A407),"")</f>
        <v>0</v>
      </c>
      <c r="L407" s="9" t="n">
        <f aca="false">IFERROR(J407+K407,"")</f>
        <v>0</v>
      </c>
      <c r="M407" s="9" t="n">
        <f aca="false">IFERROR(SUMIFS(Payments!$E$5:$E$504,Payments!$D$5:$D$504,A407,Payments!$C$5:$C$504,"Out"),"")</f>
        <v>0</v>
      </c>
      <c r="N407" s="9" t="n">
        <f aca="false">IFERROR(L407-M407,"")</f>
        <v>0</v>
      </c>
    </row>
    <row r="408" customFormat="false" ht="15" hidden="false" customHeight="false" outlineLevel="0" collapsed="false">
      <c r="A408" s="10"/>
      <c r="B408" s="12"/>
      <c r="C408" s="10"/>
      <c r="D408" s="14" t="str">
        <f aca="false">IFERROR(IF(C408="","",INDEX(Suppliers!$B$5:$B$504,MATCH(C408,Suppliers!$A$5:$A$504,0))),"")</f>
        <v/>
      </c>
      <c r="E408" s="10" t="s">
        <v>24</v>
      </c>
      <c r="F408" s="12"/>
      <c r="G408" s="12"/>
      <c r="H408" s="10"/>
      <c r="I408" s="10"/>
      <c r="J408" s="9" t="n">
        <f aca="false">IFERROR(SUMIFS(PurchaseOrderLines!$H$5:$H$504,PurchaseOrderLines!$B$5:$B$504,A408),"")</f>
        <v>0</v>
      </c>
      <c r="K408" s="9" t="n">
        <f aca="false">IFERROR(SUMIFS(PurchaseOrderLines!$I$5:$I$504,PurchaseOrderLines!$B$5:$B$504,A408),"")</f>
        <v>0</v>
      </c>
      <c r="L408" s="9" t="n">
        <f aca="false">IFERROR(J408+K408,"")</f>
        <v>0</v>
      </c>
      <c r="M408" s="9" t="n">
        <f aca="false">IFERROR(SUMIFS(Payments!$E$5:$E$504,Payments!$D$5:$D$504,A408,Payments!$C$5:$C$504,"Out"),"")</f>
        <v>0</v>
      </c>
      <c r="N408" s="9" t="n">
        <f aca="false">IFERROR(L408-M408,"")</f>
        <v>0</v>
      </c>
    </row>
    <row r="409" customFormat="false" ht="15" hidden="false" customHeight="false" outlineLevel="0" collapsed="false">
      <c r="A409" s="10"/>
      <c r="B409" s="12"/>
      <c r="C409" s="10"/>
      <c r="D409" s="14" t="str">
        <f aca="false">IFERROR(IF(C409="","",INDEX(Suppliers!$B$5:$B$504,MATCH(C409,Suppliers!$A$5:$A$504,0))),"")</f>
        <v/>
      </c>
      <c r="E409" s="10" t="s">
        <v>24</v>
      </c>
      <c r="F409" s="12"/>
      <c r="G409" s="12"/>
      <c r="H409" s="10"/>
      <c r="I409" s="10"/>
      <c r="J409" s="9" t="n">
        <f aca="false">IFERROR(SUMIFS(PurchaseOrderLines!$H$5:$H$504,PurchaseOrderLines!$B$5:$B$504,A409),"")</f>
        <v>0</v>
      </c>
      <c r="K409" s="9" t="n">
        <f aca="false">IFERROR(SUMIFS(PurchaseOrderLines!$I$5:$I$504,PurchaseOrderLines!$B$5:$B$504,A409),"")</f>
        <v>0</v>
      </c>
      <c r="L409" s="9" t="n">
        <f aca="false">IFERROR(J409+K409,"")</f>
        <v>0</v>
      </c>
      <c r="M409" s="9" t="n">
        <f aca="false">IFERROR(SUMIFS(Payments!$E$5:$E$504,Payments!$D$5:$D$504,A409,Payments!$C$5:$C$504,"Out"),"")</f>
        <v>0</v>
      </c>
      <c r="N409" s="9" t="n">
        <f aca="false">IFERROR(L409-M409,"")</f>
        <v>0</v>
      </c>
    </row>
    <row r="410" customFormat="false" ht="15" hidden="false" customHeight="false" outlineLevel="0" collapsed="false">
      <c r="A410" s="10"/>
      <c r="B410" s="12"/>
      <c r="C410" s="10"/>
      <c r="D410" s="14" t="str">
        <f aca="false">IFERROR(IF(C410="","",INDEX(Suppliers!$B$5:$B$504,MATCH(C410,Suppliers!$A$5:$A$504,0))),"")</f>
        <v/>
      </c>
      <c r="E410" s="10" t="s">
        <v>24</v>
      </c>
      <c r="F410" s="12"/>
      <c r="G410" s="12"/>
      <c r="H410" s="10"/>
      <c r="I410" s="10"/>
      <c r="J410" s="9" t="n">
        <f aca="false">IFERROR(SUMIFS(PurchaseOrderLines!$H$5:$H$504,PurchaseOrderLines!$B$5:$B$504,A410),"")</f>
        <v>0</v>
      </c>
      <c r="K410" s="9" t="n">
        <f aca="false">IFERROR(SUMIFS(PurchaseOrderLines!$I$5:$I$504,PurchaseOrderLines!$B$5:$B$504,A410),"")</f>
        <v>0</v>
      </c>
      <c r="L410" s="9" t="n">
        <f aca="false">IFERROR(J410+K410,"")</f>
        <v>0</v>
      </c>
      <c r="M410" s="9" t="n">
        <f aca="false">IFERROR(SUMIFS(Payments!$E$5:$E$504,Payments!$D$5:$D$504,A410,Payments!$C$5:$C$504,"Out"),"")</f>
        <v>0</v>
      </c>
      <c r="N410" s="9" t="n">
        <f aca="false">IFERROR(L410-M410,"")</f>
        <v>0</v>
      </c>
    </row>
    <row r="411" customFormat="false" ht="15" hidden="false" customHeight="false" outlineLevel="0" collapsed="false">
      <c r="A411" s="10"/>
      <c r="B411" s="12"/>
      <c r="C411" s="10"/>
      <c r="D411" s="14" t="str">
        <f aca="false">IFERROR(IF(C411="","",INDEX(Suppliers!$B$5:$B$504,MATCH(C411,Suppliers!$A$5:$A$504,0))),"")</f>
        <v/>
      </c>
      <c r="E411" s="10" t="s">
        <v>24</v>
      </c>
      <c r="F411" s="12"/>
      <c r="G411" s="12"/>
      <c r="H411" s="10"/>
      <c r="I411" s="10"/>
      <c r="J411" s="9" t="n">
        <f aca="false">IFERROR(SUMIFS(PurchaseOrderLines!$H$5:$H$504,PurchaseOrderLines!$B$5:$B$504,A411),"")</f>
        <v>0</v>
      </c>
      <c r="K411" s="9" t="n">
        <f aca="false">IFERROR(SUMIFS(PurchaseOrderLines!$I$5:$I$504,PurchaseOrderLines!$B$5:$B$504,A411),"")</f>
        <v>0</v>
      </c>
      <c r="L411" s="9" t="n">
        <f aca="false">IFERROR(J411+K411,"")</f>
        <v>0</v>
      </c>
      <c r="M411" s="9" t="n">
        <f aca="false">IFERROR(SUMIFS(Payments!$E$5:$E$504,Payments!$D$5:$D$504,A411,Payments!$C$5:$C$504,"Out"),"")</f>
        <v>0</v>
      </c>
      <c r="N411" s="9" t="n">
        <f aca="false">IFERROR(L411-M411,"")</f>
        <v>0</v>
      </c>
    </row>
    <row r="412" customFormat="false" ht="15" hidden="false" customHeight="false" outlineLevel="0" collapsed="false">
      <c r="A412" s="10"/>
      <c r="B412" s="12"/>
      <c r="C412" s="10"/>
      <c r="D412" s="14" t="str">
        <f aca="false">IFERROR(IF(C412="","",INDEX(Suppliers!$B$5:$B$504,MATCH(C412,Suppliers!$A$5:$A$504,0))),"")</f>
        <v/>
      </c>
      <c r="E412" s="10" t="s">
        <v>24</v>
      </c>
      <c r="F412" s="12"/>
      <c r="G412" s="12"/>
      <c r="H412" s="10"/>
      <c r="I412" s="10"/>
      <c r="J412" s="9" t="n">
        <f aca="false">IFERROR(SUMIFS(PurchaseOrderLines!$H$5:$H$504,PurchaseOrderLines!$B$5:$B$504,A412),"")</f>
        <v>0</v>
      </c>
      <c r="K412" s="9" t="n">
        <f aca="false">IFERROR(SUMIFS(PurchaseOrderLines!$I$5:$I$504,PurchaseOrderLines!$B$5:$B$504,A412),"")</f>
        <v>0</v>
      </c>
      <c r="L412" s="9" t="n">
        <f aca="false">IFERROR(J412+K412,"")</f>
        <v>0</v>
      </c>
      <c r="M412" s="9" t="n">
        <f aca="false">IFERROR(SUMIFS(Payments!$E$5:$E$504,Payments!$D$5:$D$504,A412,Payments!$C$5:$C$504,"Out"),"")</f>
        <v>0</v>
      </c>
      <c r="N412" s="9" t="n">
        <f aca="false">IFERROR(L412-M412,"")</f>
        <v>0</v>
      </c>
    </row>
    <row r="413" customFormat="false" ht="15" hidden="false" customHeight="false" outlineLevel="0" collapsed="false">
      <c r="A413" s="10"/>
      <c r="B413" s="12"/>
      <c r="C413" s="10"/>
      <c r="D413" s="14" t="str">
        <f aca="false">IFERROR(IF(C413="","",INDEX(Suppliers!$B$5:$B$504,MATCH(C413,Suppliers!$A$5:$A$504,0))),"")</f>
        <v/>
      </c>
      <c r="E413" s="10" t="s">
        <v>24</v>
      </c>
      <c r="F413" s="12"/>
      <c r="G413" s="12"/>
      <c r="H413" s="10"/>
      <c r="I413" s="10"/>
      <c r="J413" s="9" t="n">
        <f aca="false">IFERROR(SUMIFS(PurchaseOrderLines!$H$5:$H$504,PurchaseOrderLines!$B$5:$B$504,A413),"")</f>
        <v>0</v>
      </c>
      <c r="K413" s="9" t="n">
        <f aca="false">IFERROR(SUMIFS(PurchaseOrderLines!$I$5:$I$504,PurchaseOrderLines!$B$5:$B$504,A413),"")</f>
        <v>0</v>
      </c>
      <c r="L413" s="9" t="n">
        <f aca="false">IFERROR(J413+K413,"")</f>
        <v>0</v>
      </c>
      <c r="M413" s="9" t="n">
        <f aca="false">IFERROR(SUMIFS(Payments!$E$5:$E$504,Payments!$D$5:$D$504,A413,Payments!$C$5:$C$504,"Out"),"")</f>
        <v>0</v>
      </c>
      <c r="N413" s="9" t="n">
        <f aca="false">IFERROR(L413-M413,"")</f>
        <v>0</v>
      </c>
    </row>
    <row r="414" customFormat="false" ht="15" hidden="false" customHeight="false" outlineLevel="0" collapsed="false">
      <c r="A414" s="10"/>
      <c r="B414" s="12"/>
      <c r="C414" s="10"/>
      <c r="D414" s="14" t="str">
        <f aca="false">IFERROR(IF(C414="","",INDEX(Suppliers!$B$5:$B$504,MATCH(C414,Suppliers!$A$5:$A$504,0))),"")</f>
        <v/>
      </c>
      <c r="E414" s="10" t="s">
        <v>24</v>
      </c>
      <c r="F414" s="12"/>
      <c r="G414" s="12"/>
      <c r="H414" s="10"/>
      <c r="I414" s="10"/>
      <c r="J414" s="9" t="n">
        <f aca="false">IFERROR(SUMIFS(PurchaseOrderLines!$H$5:$H$504,PurchaseOrderLines!$B$5:$B$504,A414),"")</f>
        <v>0</v>
      </c>
      <c r="K414" s="9" t="n">
        <f aca="false">IFERROR(SUMIFS(PurchaseOrderLines!$I$5:$I$504,PurchaseOrderLines!$B$5:$B$504,A414),"")</f>
        <v>0</v>
      </c>
      <c r="L414" s="9" t="n">
        <f aca="false">IFERROR(J414+K414,"")</f>
        <v>0</v>
      </c>
      <c r="M414" s="9" t="n">
        <f aca="false">IFERROR(SUMIFS(Payments!$E$5:$E$504,Payments!$D$5:$D$504,A414,Payments!$C$5:$C$504,"Out"),"")</f>
        <v>0</v>
      </c>
      <c r="N414" s="9" t="n">
        <f aca="false">IFERROR(L414-M414,"")</f>
        <v>0</v>
      </c>
    </row>
    <row r="415" customFormat="false" ht="15" hidden="false" customHeight="false" outlineLevel="0" collapsed="false">
      <c r="A415" s="10"/>
      <c r="B415" s="12"/>
      <c r="C415" s="10"/>
      <c r="D415" s="14" t="str">
        <f aca="false">IFERROR(IF(C415="","",INDEX(Suppliers!$B$5:$B$504,MATCH(C415,Suppliers!$A$5:$A$504,0))),"")</f>
        <v/>
      </c>
      <c r="E415" s="10" t="s">
        <v>24</v>
      </c>
      <c r="F415" s="12"/>
      <c r="G415" s="12"/>
      <c r="H415" s="10"/>
      <c r="I415" s="10"/>
      <c r="J415" s="9" t="n">
        <f aca="false">IFERROR(SUMIFS(PurchaseOrderLines!$H$5:$H$504,PurchaseOrderLines!$B$5:$B$504,A415),"")</f>
        <v>0</v>
      </c>
      <c r="K415" s="9" t="n">
        <f aca="false">IFERROR(SUMIFS(PurchaseOrderLines!$I$5:$I$504,PurchaseOrderLines!$B$5:$B$504,A415),"")</f>
        <v>0</v>
      </c>
      <c r="L415" s="9" t="n">
        <f aca="false">IFERROR(J415+K415,"")</f>
        <v>0</v>
      </c>
      <c r="M415" s="9" t="n">
        <f aca="false">IFERROR(SUMIFS(Payments!$E$5:$E$504,Payments!$D$5:$D$504,A415,Payments!$C$5:$C$504,"Out"),"")</f>
        <v>0</v>
      </c>
      <c r="N415" s="9" t="n">
        <f aca="false">IFERROR(L415-M415,"")</f>
        <v>0</v>
      </c>
    </row>
    <row r="416" customFormat="false" ht="15" hidden="false" customHeight="false" outlineLevel="0" collapsed="false">
      <c r="A416" s="10"/>
      <c r="B416" s="12"/>
      <c r="C416" s="10"/>
      <c r="D416" s="14" t="str">
        <f aca="false">IFERROR(IF(C416="","",INDEX(Suppliers!$B$5:$B$504,MATCH(C416,Suppliers!$A$5:$A$504,0))),"")</f>
        <v/>
      </c>
      <c r="E416" s="10" t="s">
        <v>24</v>
      </c>
      <c r="F416" s="12"/>
      <c r="G416" s="12"/>
      <c r="H416" s="10"/>
      <c r="I416" s="10"/>
      <c r="J416" s="9" t="n">
        <f aca="false">IFERROR(SUMIFS(PurchaseOrderLines!$H$5:$H$504,PurchaseOrderLines!$B$5:$B$504,A416),"")</f>
        <v>0</v>
      </c>
      <c r="K416" s="9" t="n">
        <f aca="false">IFERROR(SUMIFS(PurchaseOrderLines!$I$5:$I$504,PurchaseOrderLines!$B$5:$B$504,A416),"")</f>
        <v>0</v>
      </c>
      <c r="L416" s="9" t="n">
        <f aca="false">IFERROR(J416+K416,"")</f>
        <v>0</v>
      </c>
      <c r="M416" s="9" t="n">
        <f aca="false">IFERROR(SUMIFS(Payments!$E$5:$E$504,Payments!$D$5:$D$504,A416,Payments!$C$5:$C$504,"Out"),"")</f>
        <v>0</v>
      </c>
      <c r="N416" s="9" t="n">
        <f aca="false">IFERROR(L416-M416,"")</f>
        <v>0</v>
      </c>
    </row>
    <row r="417" customFormat="false" ht="15" hidden="false" customHeight="false" outlineLevel="0" collapsed="false">
      <c r="A417" s="10"/>
      <c r="B417" s="12"/>
      <c r="C417" s="10"/>
      <c r="D417" s="14" t="str">
        <f aca="false">IFERROR(IF(C417="","",INDEX(Suppliers!$B$5:$B$504,MATCH(C417,Suppliers!$A$5:$A$504,0))),"")</f>
        <v/>
      </c>
      <c r="E417" s="10" t="s">
        <v>24</v>
      </c>
      <c r="F417" s="12"/>
      <c r="G417" s="12"/>
      <c r="H417" s="10"/>
      <c r="I417" s="10"/>
      <c r="J417" s="9" t="n">
        <f aca="false">IFERROR(SUMIFS(PurchaseOrderLines!$H$5:$H$504,PurchaseOrderLines!$B$5:$B$504,A417),"")</f>
        <v>0</v>
      </c>
      <c r="K417" s="9" t="n">
        <f aca="false">IFERROR(SUMIFS(PurchaseOrderLines!$I$5:$I$504,PurchaseOrderLines!$B$5:$B$504,A417),"")</f>
        <v>0</v>
      </c>
      <c r="L417" s="9" t="n">
        <f aca="false">IFERROR(J417+K417,"")</f>
        <v>0</v>
      </c>
      <c r="M417" s="9" t="n">
        <f aca="false">IFERROR(SUMIFS(Payments!$E$5:$E$504,Payments!$D$5:$D$504,A417,Payments!$C$5:$C$504,"Out"),"")</f>
        <v>0</v>
      </c>
      <c r="N417" s="9" t="n">
        <f aca="false">IFERROR(L417-M417,"")</f>
        <v>0</v>
      </c>
    </row>
    <row r="418" customFormat="false" ht="15" hidden="false" customHeight="false" outlineLevel="0" collapsed="false">
      <c r="A418" s="10"/>
      <c r="B418" s="12"/>
      <c r="C418" s="10"/>
      <c r="D418" s="14" t="str">
        <f aca="false">IFERROR(IF(C418="","",INDEX(Suppliers!$B$5:$B$504,MATCH(C418,Suppliers!$A$5:$A$504,0))),"")</f>
        <v/>
      </c>
      <c r="E418" s="10" t="s">
        <v>24</v>
      </c>
      <c r="F418" s="12"/>
      <c r="G418" s="12"/>
      <c r="H418" s="10"/>
      <c r="I418" s="10"/>
      <c r="J418" s="9" t="n">
        <f aca="false">IFERROR(SUMIFS(PurchaseOrderLines!$H$5:$H$504,PurchaseOrderLines!$B$5:$B$504,A418),"")</f>
        <v>0</v>
      </c>
      <c r="K418" s="9" t="n">
        <f aca="false">IFERROR(SUMIFS(PurchaseOrderLines!$I$5:$I$504,PurchaseOrderLines!$B$5:$B$504,A418),"")</f>
        <v>0</v>
      </c>
      <c r="L418" s="9" t="n">
        <f aca="false">IFERROR(J418+K418,"")</f>
        <v>0</v>
      </c>
      <c r="M418" s="9" t="n">
        <f aca="false">IFERROR(SUMIFS(Payments!$E$5:$E$504,Payments!$D$5:$D$504,A418,Payments!$C$5:$C$504,"Out"),"")</f>
        <v>0</v>
      </c>
      <c r="N418" s="9" t="n">
        <f aca="false">IFERROR(L418-M418,"")</f>
        <v>0</v>
      </c>
    </row>
    <row r="419" customFormat="false" ht="15" hidden="false" customHeight="false" outlineLevel="0" collapsed="false">
      <c r="A419" s="10"/>
      <c r="B419" s="12"/>
      <c r="C419" s="10"/>
      <c r="D419" s="14" t="str">
        <f aca="false">IFERROR(IF(C419="","",INDEX(Suppliers!$B$5:$B$504,MATCH(C419,Suppliers!$A$5:$A$504,0))),"")</f>
        <v/>
      </c>
      <c r="E419" s="10" t="s">
        <v>24</v>
      </c>
      <c r="F419" s="12"/>
      <c r="G419" s="12"/>
      <c r="H419" s="10"/>
      <c r="I419" s="10"/>
      <c r="J419" s="9" t="n">
        <f aca="false">IFERROR(SUMIFS(PurchaseOrderLines!$H$5:$H$504,PurchaseOrderLines!$B$5:$B$504,A419),"")</f>
        <v>0</v>
      </c>
      <c r="K419" s="9" t="n">
        <f aca="false">IFERROR(SUMIFS(PurchaseOrderLines!$I$5:$I$504,PurchaseOrderLines!$B$5:$B$504,A419),"")</f>
        <v>0</v>
      </c>
      <c r="L419" s="9" t="n">
        <f aca="false">IFERROR(J419+K419,"")</f>
        <v>0</v>
      </c>
      <c r="M419" s="9" t="n">
        <f aca="false">IFERROR(SUMIFS(Payments!$E$5:$E$504,Payments!$D$5:$D$504,A419,Payments!$C$5:$C$504,"Out"),"")</f>
        <v>0</v>
      </c>
      <c r="N419" s="9" t="n">
        <f aca="false">IFERROR(L419-M419,"")</f>
        <v>0</v>
      </c>
    </row>
    <row r="420" customFormat="false" ht="15" hidden="false" customHeight="false" outlineLevel="0" collapsed="false">
      <c r="A420" s="10"/>
      <c r="B420" s="12"/>
      <c r="C420" s="10"/>
      <c r="D420" s="14" t="str">
        <f aca="false">IFERROR(IF(C420="","",INDEX(Suppliers!$B$5:$B$504,MATCH(C420,Suppliers!$A$5:$A$504,0))),"")</f>
        <v/>
      </c>
      <c r="E420" s="10" t="s">
        <v>24</v>
      </c>
      <c r="F420" s="12"/>
      <c r="G420" s="12"/>
      <c r="H420" s="10"/>
      <c r="I420" s="10"/>
      <c r="J420" s="9" t="n">
        <f aca="false">IFERROR(SUMIFS(PurchaseOrderLines!$H$5:$H$504,PurchaseOrderLines!$B$5:$B$504,A420),"")</f>
        <v>0</v>
      </c>
      <c r="K420" s="9" t="n">
        <f aca="false">IFERROR(SUMIFS(PurchaseOrderLines!$I$5:$I$504,PurchaseOrderLines!$B$5:$B$504,A420),"")</f>
        <v>0</v>
      </c>
      <c r="L420" s="9" t="n">
        <f aca="false">IFERROR(J420+K420,"")</f>
        <v>0</v>
      </c>
      <c r="M420" s="9" t="n">
        <f aca="false">IFERROR(SUMIFS(Payments!$E$5:$E$504,Payments!$D$5:$D$504,A420,Payments!$C$5:$C$504,"Out"),"")</f>
        <v>0</v>
      </c>
      <c r="N420" s="9" t="n">
        <f aca="false">IFERROR(L420-M420,"")</f>
        <v>0</v>
      </c>
    </row>
    <row r="421" customFormat="false" ht="15" hidden="false" customHeight="false" outlineLevel="0" collapsed="false">
      <c r="A421" s="10"/>
      <c r="B421" s="12"/>
      <c r="C421" s="10"/>
      <c r="D421" s="14" t="str">
        <f aca="false">IFERROR(IF(C421="","",INDEX(Suppliers!$B$5:$B$504,MATCH(C421,Suppliers!$A$5:$A$504,0))),"")</f>
        <v/>
      </c>
      <c r="E421" s="10" t="s">
        <v>24</v>
      </c>
      <c r="F421" s="12"/>
      <c r="G421" s="12"/>
      <c r="H421" s="10"/>
      <c r="I421" s="10"/>
      <c r="J421" s="9" t="n">
        <f aca="false">IFERROR(SUMIFS(PurchaseOrderLines!$H$5:$H$504,PurchaseOrderLines!$B$5:$B$504,A421),"")</f>
        <v>0</v>
      </c>
      <c r="K421" s="9" t="n">
        <f aca="false">IFERROR(SUMIFS(PurchaseOrderLines!$I$5:$I$504,PurchaseOrderLines!$B$5:$B$504,A421),"")</f>
        <v>0</v>
      </c>
      <c r="L421" s="9" t="n">
        <f aca="false">IFERROR(J421+K421,"")</f>
        <v>0</v>
      </c>
      <c r="M421" s="9" t="n">
        <f aca="false">IFERROR(SUMIFS(Payments!$E$5:$E$504,Payments!$D$5:$D$504,A421,Payments!$C$5:$C$504,"Out"),"")</f>
        <v>0</v>
      </c>
      <c r="N421" s="9" t="n">
        <f aca="false">IFERROR(L421-M421,"")</f>
        <v>0</v>
      </c>
    </row>
    <row r="422" customFormat="false" ht="15" hidden="false" customHeight="false" outlineLevel="0" collapsed="false">
      <c r="A422" s="10"/>
      <c r="B422" s="12"/>
      <c r="C422" s="10"/>
      <c r="D422" s="14" t="str">
        <f aca="false">IFERROR(IF(C422="","",INDEX(Suppliers!$B$5:$B$504,MATCH(C422,Suppliers!$A$5:$A$504,0))),"")</f>
        <v/>
      </c>
      <c r="E422" s="10" t="s">
        <v>24</v>
      </c>
      <c r="F422" s="12"/>
      <c r="G422" s="12"/>
      <c r="H422" s="10"/>
      <c r="I422" s="10"/>
      <c r="J422" s="9" t="n">
        <f aca="false">IFERROR(SUMIFS(PurchaseOrderLines!$H$5:$H$504,PurchaseOrderLines!$B$5:$B$504,A422),"")</f>
        <v>0</v>
      </c>
      <c r="K422" s="9" t="n">
        <f aca="false">IFERROR(SUMIFS(PurchaseOrderLines!$I$5:$I$504,PurchaseOrderLines!$B$5:$B$504,A422),"")</f>
        <v>0</v>
      </c>
      <c r="L422" s="9" t="n">
        <f aca="false">IFERROR(J422+K422,"")</f>
        <v>0</v>
      </c>
      <c r="M422" s="9" t="n">
        <f aca="false">IFERROR(SUMIFS(Payments!$E$5:$E$504,Payments!$D$5:$D$504,A422,Payments!$C$5:$C$504,"Out"),"")</f>
        <v>0</v>
      </c>
      <c r="N422" s="9" t="n">
        <f aca="false">IFERROR(L422-M422,"")</f>
        <v>0</v>
      </c>
    </row>
    <row r="423" customFormat="false" ht="15" hidden="false" customHeight="false" outlineLevel="0" collapsed="false">
      <c r="A423" s="10"/>
      <c r="B423" s="12"/>
      <c r="C423" s="10"/>
      <c r="D423" s="14" t="str">
        <f aca="false">IFERROR(IF(C423="","",INDEX(Suppliers!$B$5:$B$504,MATCH(C423,Suppliers!$A$5:$A$504,0))),"")</f>
        <v/>
      </c>
      <c r="E423" s="10" t="s">
        <v>24</v>
      </c>
      <c r="F423" s="12"/>
      <c r="G423" s="12"/>
      <c r="H423" s="10"/>
      <c r="I423" s="10"/>
      <c r="J423" s="9" t="n">
        <f aca="false">IFERROR(SUMIFS(PurchaseOrderLines!$H$5:$H$504,PurchaseOrderLines!$B$5:$B$504,A423),"")</f>
        <v>0</v>
      </c>
      <c r="K423" s="9" t="n">
        <f aca="false">IFERROR(SUMIFS(PurchaseOrderLines!$I$5:$I$504,PurchaseOrderLines!$B$5:$B$504,A423),"")</f>
        <v>0</v>
      </c>
      <c r="L423" s="9" t="n">
        <f aca="false">IFERROR(J423+K423,"")</f>
        <v>0</v>
      </c>
      <c r="M423" s="9" t="n">
        <f aca="false">IFERROR(SUMIFS(Payments!$E$5:$E$504,Payments!$D$5:$D$504,A423,Payments!$C$5:$C$504,"Out"),"")</f>
        <v>0</v>
      </c>
      <c r="N423" s="9" t="n">
        <f aca="false">IFERROR(L423-M423,"")</f>
        <v>0</v>
      </c>
    </row>
    <row r="424" customFormat="false" ht="15" hidden="false" customHeight="false" outlineLevel="0" collapsed="false">
      <c r="A424" s="10"/>
      <c r="B424" s="12"/>
      <c r="C424" s="10"/>
      <c r="D424" s="14" t="str">
        <f aca="false">IFERROR(IF(C424="","",INDEX(Suppliers!$B$5:$B$504,MATCH(C424,Suppliers!$A$5:$A$504,0))),"")</f>
        <v/>
      </c>
      <c r="E424" s="10" t="s">
        <v>24</v>
      </c>
      <c r="F424" s="12"/>
      <c r="G424" s="12"/>
      <c r="H424" s="10"/>
      <c r="I424" s="10"/>
      <c r="J424" s="9" t="n">
        <f aca="false">IFERROR(SUMIFS(PurchaseOrderLines!$H$5:$H$504,PurchaseOrderLines!$B$5:$B$504,A424),"")</f>
        <v>0</v>
      </c>
      <c r="K424" s="9" t="n">
        <f aca="false">IFERROR(SUMIFS(PurchaseOrderLines!$I$5:$I$504,PurchaseOrderLines!$B$5:$B$504,A424),"")</f>
        <v>0</v>
      </c>
      <c r="L424" s="9" t="n">
        <f aca="false">IFERROR(J424+K424,"")</f>
        <v>0</v>
      </c>
      <c r="M424" s="9" t="n">
        <f aca="false">IFERROR(SUMIFS(Payments!$E$5:$E$504,Payments!$D$5:$D$504,A424,Payments!$C$5:$C$504,"Out"),"")</f>
        <v>0</v>
      </c>
      <c r="N424" s="9" t="n">
        <f aca="false">IFERROR(L424-M424,"")</f>
        <v>0</v>
      </c>
    </row>
    <row r="425" customFormat="false" ht="15" hidden="false" customHeight="false" outlineLevel="0" collapsed="false">
      <c r="A425" s="10"/>
      <c r="B425" s="12"/>
      <c r="C425" s="10"/>
      <c r="D425" s="14" t="str">
        <f aca="false">IFERROR(IF(C425="","",INDEX(Suppliers!$B$5:$B$504,MATCH(C425,Suppliers!$A$5:$A$504,0))),"")</f>
        <v/>
      </c>
      <c r="E425" s="10" t="s">
        <v>24</v>
      </c>
      <c r="F425" s="12"/>
      <c r="G425" s="12"/>
      <c r="H425" s="10"/>
      <c r="I425" s="10"/>
      <c r="J425" s="9" t="n">
        <f aca="false">IFERROR(SUMIFS(PurchaseOrderLines!$H$5:$H$504,PurchaseOrderLines!$B$5:$B$504,A425),"")</f>
        <v>0</v>
      </c>
      <c r="K425" s="9" t="n">
        <f aca="false">IFERROR(SUMIFS(PurchaseOrderLines!$I$5:$I$504,PurchaseOrderLines!$B$5:$B$504,A425),"")</f>
        <v>0</v>
      </c>
      <c r="L425" s="9" t="n">
        <f aca="false">IFERROR(J425+K425,"")</f>
        <v>0</v>
      </c>
      <c r="M425" s="9" t="n">
        <f aca="false">IFERROR(SUMIFS(Payments!$E$5:$E$504,Payments!$D$5:$D$504,A425,Payments!$C$5:$C$504,"Out"),"")</f>
        <v>0</v>
      </c>
      <c r="N425" s="9" t="n">
        <f aca="false">IFERROR(L425-M425,"")</f>
        <v>0</v>
      </c>
    </row>
    <row r="426" customFormat="false" ht="15" hidden="false" customHeight="false" outlineLevel="0" collapsed="false">
      <c r="A426" s="10"/>
      <c r="B426" s="12"/>
      <c r="C426" s="10"/>
      <c r="D426" s="14" t="str">
        <f aca="false">IFERROR(IF(C426="","",INDEX(Suppliers!$B$5:$B$504,MATCH(C426,Suppliers!$A$5:$A$504,0))),"")</f>
        <v/>
      </c>
      <c r="E426" s="10" t="s">
        <v>24</v>
      </c>
      <c r="F426" s="12"/>
      <c r="G426" s="12"/>
      <c r="H426" s="10"/>
      <c r="I426" s="10"/>
      <c r="J426" s="9" t="n">
        <f aca="false">IFERROR(SUMIFS(PurchaseOrderLines!$H$5:$H$504,PurchaseOrderLines!$B$5:$B$504,A426),"")</f>
        <v>0</v>
      </c>
      <c r="K426" s="9" t="n">
        <f aca="false">IFERROR(SUMIFS(PurchaseOrderLines!$I$5:$I$504,PurchaseOrderLines!$B$5:$B$504,A426),"")</f>
        <v>0</v>
      </c>
      <c r="L426" s="9" t="n">
        <f aca="false">IFERROR(J426+K426,"")</f>
        <v>0</v>
      </c>
      <c r="M426" s="9" t="n">
        <f aca="false">IFERROR(SUMIFS(Payments!$E$5:$E$504,Payments!$D$5:$D$504,A426,Payments!$C$5:$C$504,"Out"),"")</f>
        <v>0</v>
      </c>
      <c r="N426" s="9" t="n">
        <f aca="false">IFERROR(L426-M426,"")</f>
        <v>0</v>
      </c>
    </row>
    <row r="427" customFormat="false" ht="15" hidden="false" customHeight="false" outlineLevel="0" collapsed="false">
      <c r="A427" s="10"/>
      <c r="B427" s="12"/>
      <c r="C427" s="10"/>
      <c r="D427" s="14" t="str">
        <f aca="false">IFERROR(IF(C427="","",INDEX(Suppliers!$B$5:$B$504,MATCH(C427,Suppliers!$A$5:$A$504,0))),"")</f>
        <v/>
      </c>
      <c r="E427" s="10" t="s">
        <v>24</v>
      </c>
      <c r="F427" s="12"/>
      <c r="G427" s="12"/>
      <c r="H427" s="10"/>
      <c r="I427" s="10"/>
      <c r="J427" s="9" t="n">
        <f aca="false">IFERROR(SUMIFS(PurchaseOrderLines!$H$5:$H$504,PurchaseOrderLines!$B$5:$B$504,A427),"")</f>
        <v>0</v>
      </c>
      <c r="K427" s="9" t="n">
        <f aca="false">IFERROR(SUMIFS(PurchaseOrderLines!$I$5:$I$504,PurchaseOrderLines!$B$5:$B$504,A427),"")</f>
        <v>0</v>
      </c>
      <c r="L427" s="9" t="n">
        <f aca="false">IFERROR(J427+K427,"")</f>
        <v>0</v>
      </c>
      <c r="M427" s="9" t="n">
        <f aca="false">IFERROR(SUMIFS(Payments!$E$5:$E$504,Payments!$D$5:$D$504,A427,Payments!$C$5:$C$504,"Out"),"")</f>
        <v>0</v>
      </c>
      <c r="N427" s="9" t="n">
        <f aca="false">IFERROR(L427-M427,"")</f>
        <v>0</v>
      </c>
    </row>
    <row r="428" customFormat="false" ht="15" hidden="false" customHeight="false" outlineLevel="0" collapsed="false">
      <c r="A428" s="10"/>
      <c r="B428" s="12"/>
      <c r="C428" s="10"/>
      <c r="D428" s="14" t="str">
        <f aca="false">IFERROR(IF(C428="","",INDEX(Suppliers!$B$5:$B$504,MATCH(C428,Suppliers!$A$5:$A$504,0))),"")</f>
        <v/>
      </c>
      <c r="E428" s="10" t="s">
        <v>24</v>
      </c>
      <c r="F428" s="12"/>
      <c r="G428" s="12"/>
      <c r="H428" s="10"/>
      <c r="I428" s="10"/>
      <c r="J428" s="9" t="n">
        <f aca="false">IFERROR(SUMIFS(PurchaseOrderLines!$H$5:$H$504,PurchaseOrderLines!$B$5:$B$504,A428),"")</f>
        <v>0</v>
      </c>
      <c r="K428" s="9" t="n">
        <f aca="false">IFERROR(SUMIFS(PurchaseOrderLines!$I$5:$I$504,PurchaseOrderLines!$B$5:$B$504,A428),"")</f>
        <v>0</v>
      </c>
      <c r="L428" s="9" t="n">
        <f aca="false">IFERROR(J428+K428,"")</f>
        <v>0</v>
      </c>
      <c r="M428" s="9" t="n">
        <f aca="false">IFERROR(SUMIFS(Payments!$E$5:$E$504,Payments!$D$5:$D$504,A428,Payments!$C$5:$C$504,"Out"),"")</f>
        <v>0</v>
      </c>
      <c r="N428" s="9" t="n">
        <f aca="false">IFERROR(L428-M428,"")</f>
        <v>0</v>
      </c>
    </row>
    <row r="429" customFormat="false" ht="15" hidden="false" customHeight="false" outlineLevel="0" collapsed="false">
      <c r="A429" s="10"/>
      <c r="B429" s="12"/>
      <c r="C429" s="10"/>
      <c r="D429" s="14" t="str">
        <f aca="false">IFERROR(IF(C429="","",INDEX(Suppliers!$B$5:$B$504,MATCH(C429,Suppliers!$A$5:$A$504,0))),"")</f>
        <v/>
      </c>
      <c r="E429" s="10" t="s">
        <v>24</v>
      </c>
      <c r="F429" s="12"/>
      <c r="G429" s="12"/>
      <c r="H429" s="10"/>
      <c r="I429" s="10"/>
      <c r="J429" s="9" t="n">
        <f aca="false">IFERROR(SUMIFS(PurchaseOrderLines!$H$5:$H$504,PurchaseOrderLines!$B$5:$B$504,A429),"")</f>
        <v>0</v>
      </c>
      <c r="K429" s="9" t="n">
        <f aca="false">IFERROR(SUMIFS(PurchaseOrderLines!$I$5:$I$504,PurchaseOrderLines!$B$5:$B$504,A429),"")</f>
        <v>0</v>
      </c>
      <c r="L429" s="9" t="n">
        <f aca="false">IFERROR(J429+K429,"")</f>
        <v>0</v>
      </c>
      <c r="M429" s="9" t="n">
        <f aca="false">IFERROR(SUMIFS(Payments!$E$5:$E$504,Payments!$D$5:$D$504,A429,Payments!$C$5:$C$504,"Out"),"")</f>
        <v>0</v>
      </c>
      <c r="N429" s="9" t="n">
        <f aca="false">IFERROR(L429-M429,"")</f>
        <v>0</v>
      </c>
    </row>
    <row r="430" customFormat="false" ht="15" hidden="false" customHeight="false" outlineLevel="0" collapsed="false">
      <c r="A430" s="10"/>
      <c r="B430" s="12"/>
      <c r="C430" s="10"/>
      <c r="D430" s="14" t="str">
        <f aca="false">IFERROR(IF(C430="","",INDEX(Suppliers!$B$5:$B$504,MATCH(C430,Suppliers!$A$5:$A$504,0))),"")</f>
        <v/>
      </c>
      <c r="E430" s="10" t="s">
        <v>24</v>
      </c>
      <c r="F430" s="12"/>
      <c r="G430" s="12"/>
      <c r="H430" s="10"/>
      <c r="I430" s="10"/>
      <c r="J430" s="9" t="n">
        <f aca="false">IFERROR(SUMIFS(PurchaseOrderLines!$H$5:$H$504,PurchaseOrderLines!$B$5:$B$504,A430),"")</f>
        <v>0</v>
      </c>
      <c r="K430" s="9" t="n">
        <f aca="false">IFERROR(SUMIFS(PurchaseOrderLines!$I$5:$I$504,PurchaseOrderLines!$B$5:$B$504,A430),"")</f>
        <v>0</v>
      </c>
      <c r="L430" s="9" t="n">
        <f aca="false">IFERROR(J430+K430,"")</f>
        <v>0</v>
      </c>
      <c r="M430" s="9" t="n">
        <f aca="false">IFERROR(SUMIFS(Payments!$E$5:$E$504,Payments!$D$5:$D$504,A430,Payments!$C$5:$C$504,"Out"),"")</f>
        <v>0</v>
      </c>
      <c r="N430" s="9" t="n">
        <f aca="false">IFERROR(L430-M430,"")</f>
        <v>0</v>
      </c>
    </row>
    <row r="431" customFormat="false" ht="15" hidden="false" customHeight="false" outlineLevel="0" collapsed="false">
      <c r="A431" s="10"/>
      <c r="B431" s="12"/>
      <c r="C431" s="10"/>
      <c r="D431" s="14" t="str">
        <f aca="false">IFERROR(IF(C431="","",INDEX(Suppliers!$B$5:$B$504,MATCH(C431,Suppliers!$A$5:$A$504,0))),"")</f>
        <v/>
      </c>
      <c r="E431" s="10" t="s">
        <v>24</v>
      </c>
      <c r="F431" s="12"/>
      <c r="G431" s="12"/>
      <c r="H431" s="10"/>
      <c r="I431" s="10"/>
      <c r="J431" s="9" t="n">
        <f aca="false">IFERROR(SUMIFS(PurchaseOrderLines!$H$5:$H$504,PurchaseOrderLines!$B$5:$B$504,A431),"")</f>
        <v>0</v>
      </c>
      <c r="K431" s="9" t="n">
        <f aca="false">IFERROR(SUMIFS(PurchaseOrderLines!$I$5:$I$504,PurchaseOrderLines!$B$5:$B$504,A431),"")</f>
        <v>0</v>
      </c>
      <c r="L431" s="9" t="n">
        <f aca="false">IFERROR(J431+K431,"")</f>
        <v>0</v>
      </c>
      <c r="M431" s="9" t="n">
        <f aca="false">IFERROR(SUMIFS(Payments!$E$5:$E$504,Payments!$D$5:$D$504,A431,Payments!$C$5:$C$504,"Out"),"")</f>
        <v>0</v>
      </c>
      <c r="N431" s="9" t="n">
        <f aca="false">IFERROR(L431-M431,"")</f>
        <v>0</v>
      </c>
    </row>
    <row r="432" customFormat="false" ht="15" hidden="false" customHeight="false" outlineLevel="0" collapsed="false">
      <c r="A432" s="10"/>
      <c r="B432" s="12"/>
      <c r="C432" s="10"/>
      <c r="D432" s="14" t="str">
        <f aca="false">IFERROR(IF(C432="","",INDEX(Suppliers!$B$5:$B$504,MATCH(C432,Suppliers!$A$5:$A$504,0))),"")</f>
        <v/>
      </c>
      <c r="E432" s="10" t="s">
        <v>24</v>
      </c>
      <c r="F432" s="12"/>
      <c r="G432" s="12"/>
      <c r="H432" s="10"/>
      <c r="I432" s="10"/>
      <c r="J432" s="9" t="n">
        <f aca="false">IFERROR(SUMIFS(PurchaseOrderLines!$H$5:$H$504,PurchaseOrderLines!$B$5:$B$504,A432),"")</f>
        <v>0</v>
      </c>
      <c r="K432" s="9" t="n">
        <f aca="false">IFERROR(SUMIFS(PurchaseOrderLines!$I$5:$I$504,PurchaseOrderLines!$B$5:$B$504,A432),"")</f>
        <v>0</v>
      </c>
      <c r="L432" s="9" t="n">
        <f aca="false">IFERROR(J432+K432,"")</f>
        <v>0</v>
      </c>
      <c r="M432" s="9" t="n">
        <f aca="false">IFERROR(SUMIFS(Payments!$E$5:$E$504,Payments!$D$5:$D$504,A432,Payments!$C$5:$C$504,"Out"),"")</f>
        <v>0</v>
      </c>
      <c r="N432" s="9" t="n">
        <f aca="false">IFERROR(L432-M432,"")</f>
        <v>0</v>
      </c>
    </row>
    <row r="433" customFormat="false" ht="15" hidden="false" customHeight="false" outlineLevel="0" collapsed="false">
      <c r="A433" s="10"/>
      <c r="B433" s="12"/>
      <c r="C433" s="10"/>
      <c r="D433" s="14" t="str">
        <f aca="false">IFERROR(IF(C433="","",INDEX(Suppliers!$B$5:$B$504,MATCH(C433,Suppliers!$A$5:$A$504,0))),"")</f>
        <v/>
      </c>
      <c r="E433" s="10" t="s">
        <v>24</v>
      </c>
      <c r="F433" s="12"/>
      <c r="G433" s="12"/>
      <c r="H433" s="10"/>
      <c r="I433" s="10"/>
      <c r="J433" s="9" t="n">
        <f aca="false">IFERROR(SUMIFS(PurchaseOrderLines!$H$5:$H$504,PurchaseOrderLines!$B$5:$B$504,A433),"")</f>
        <v>0</v>
      </c>
      <c r="K433" s="9" t="n">
        <f aca="false">IFERROR(SUMIFS(PurchaseOrderLines!$I$5:$I$504,PurchaseOrderLines!$B$5:$B$504,A433),"")</f>
        <v>0</v>
      </c>
      <c r="L433" s="9" t="n">
        <f aca="false">IFERROR(J433+K433,"")</f>
        <v>0</v>
      </c>
      <c r="M433" s="9" t="n">
        <f aca="false">IFERROR(SUMIFS(Payments!$E$5:$E$504,Payments!$D$5:$D$504,A433,Payments!$C$5:$C$504,"Out"),"")</f>
        <v>0</v>
      </c>
      <c r="N433" s="9" t="n">
        <f aca="false">IFERROR(L433-M433,"")</f>
        <v>0</v>
      </c>
    </row>
    <row r="434" customFormat="false" ht="15" hidden="false" customHeight="false" outlineLevel="0" collapsed="false">
      <c r="A434" s="10"/>
      <c r="B434" s="12"/>
      <c r="C434" s="10"/>
      <c r="D434" s="14" t="str">
        <f aca="false">IFERROR(IF(C434="","",INDEX(Suppliers!$B$5:$B$504,MATCH(C434,Suppliers!$A$5:$A$504,0))),"")</f>
        <v/>
      </c>
      <c r="E434" s="10" t="s">
        <v>24</v>
      </c>
      <c r="F434" s="12"/>
      <c r="G434" s="12"/>
      <c r="H434" s="10"/>
      <c r="I434" s="10"/>
      <c r="J434" s="9" t="n">
        <f aca="false">IFERROR(SUMIFS(PurchaseOrderLines!$H$5:$H$504,PurchaseOrderLines!$B$5:$B$504,A434),"")</f>
        <v>0</v>
      </c>
      <c r="K434" s="9" t="n">
        <f aca="false">IFERROR(SUMIFS(PurchaseOrderLines!$I$5:$I$504,PurchaseOrderLines!$B$5:$B$504,A434),"")</f>
        <v>0</v>
      </c>
      <c r="L434" s="9" t="n">
        <f aca="false">IFERROR(J434+K434,"")</f>
        <v>0</v>
      </c>
      <c r="M434" s="9" t="n">
        <f aca="false">IFERROR(SUMIFS(Payments!$E$5:$E$504,Payments!$D$5:$D$504,A434,Payments!$C$5:$C$504,"Out"),"")</f>
        <v>0</v>
      </c>
      <c r="N434" s="9" t="n">
        <f aca="false">IFERROR(L434-M434,"")</f>
        <v>0</v>
      </c>
    </row>
    <row r="435" customFormat="false" ht="15" hidden="false" customHeight="false" outlineLevel="0" collapsed="false">
      <c r="A435" s="10"/>
      <c r="B435" s="12"/>
      <c r="C435" s="10"/>
      <c r="D435" s="14" t="str">
        <f aca="false">IFERROR(IF(C435="","",INDEX(Suppliers!$B$5:$B$504,MATCH(C435,Suppliers!$A$5:$A$504,0))),"")</f>
        <v/>
      </c>
      <c r="E435" s="10" t="s">
        <v>24</v>
      </c>
      <c r="F435" s="12"/>
      <c r="G435" s="12"/>
      <c r="H435" s="10"/>
      <c r="I435" s="10"/>
      <c r="J435" s="9" t="n">
        <f aca="false">IFERROR(SUMIFS(PurchaseOrderLines!$H$5:$H$504,PurchaseOrderLines!$B$5:$B$504,A435),"")</f>
        <v>0</v>
      </c>
      <c r="K435" s="9" t="n">
        <f aca="false">IFERROR(SUMIFS(PurchaseOrderLines!$I$5:$I$504,PurchaseOrderLines!$B$5:$B$504,A435),"")</f>
        <v>0</v>
      </c>
      <c r="L435" s="9" t="n">
        <f aca="false">IFERROR(J435+K435,"")</f>
        <v>0</v>
      </c>
      <c r="M435" s="9" t="n">
        <f aca="false">IFERROR(SUMIFS(Payments!$E$5:$E$504,Payments!$D$5:$D$504,A435,Payments!$C$5:$C$504,"Out"),"")</f>
        <v>0</v>
      </c>
      <c r="N435" s="9" t="n">
        <f aca="false">IFERROR(L435-M435,"")</f>
        <v>0</v>
      </c>
    </row>
    <row r="436" customFormat="false" ht="15" hidden="false" customHeight="false" outlineLevel="0" collapsed="false">
      <c r="A436" s="10"/>
      <c r="B436" s="12"/>
      <c r="C436" s="10"/>
      <c r="D436" s="14" t="str">
        <f aca="false">IFERROR(IF(C436="","",INDEX(Suppliers!$B$5:$B$504,MATCH(C436,Suppliers!$A$5:$A$504,0))),"")</f>
        <v/>
      </c>
      <c r="E436" s="10" t="s">
        <v>24</v>
      </c>
      <c r="F436" s="12"/>
      <c r="G436" s="12"/>
      <c r="H436" s="10"/>
      <c r="I436" s="10"/>
      <c r="J436" s="9" t="n">
        <f aca="false">IFERROR(SUMIFS(PurchaseOrderLines!$H$5:$H$504,PurchaseOrderLines!$B$5:$B$504,A436),"")</f>
        <v>0</v>
      </c>
      <c r="K436" s="9" t="n">
        <f aca="false">IFERROR(SUMIFS(PurchaseOrderLines!$I$5:$I$504,PurchaseOrderLines!$B$5:$B$504,A436),"")</f>
        <v>0</v>
      </c>
      <c r="L436" s="9" t="n">
        <f aca="false">IFERROR(J436+K436,"")</f>
        <v>0</v>
      </c>
      <c r="M436" s="9" t="n">
        <f aca="false">IFERROR(SUMIFS(Payments!$E$5:$E$504,Payments!$D$5:$D$504,A436,Payments!$C$5:$C$504,"Out"),"")</f>
        <v>0</v>
      </c>
      <c r="N436" s="9" t="n">
        <f aca="false">IFERROR(L436-M436,"")</f>
        <v>0</v>
      </c>
    </row>
    <row r="437" customFormat="false" ht="15" hidden="false" customHeight="false" outlineLevel="0" collapsed="false">
      <c r="A437" s="10"/>
      <c r="B437" s="12"/>
      <c r="C437" s="10"/>
      <c r="D437" s="14" t="str">
        <f aca="false">IFERROR(IF(C437="","",INDEX(Suppliers!$B$5:$B$504,MATCH(C437,Suppliers!$A$5:$A$504,0))),"")</f>
        <v/>
      </c>
      <c r="E437" s="10" t="s">
        <v>24</v>
      </c>
      <c r="F437" s="12"/>
      <c r="G437" s="12"/>
      <c r="H437" s="10"/>
      <c r="I437" s="10"/>
      <c r="J437" s="9" t="n">
        <f aca="false">IFERROR(SUMIFS(PurchaseOrderLines!$H$5:$H$504,PurchaseOrderLines!$B$5:$B$504,A437),"")</f>
        <v>0</v>
      </c>
      <c r="K437" s="9" t="n">
        <f aca="false">IFERROR(SUMIFS(PurchaseOrderLines!$I$5:$I$504,PurchaseOrderLines!$B$5:$B$504,A437),"")</f>
        <v>0</v>
      </c>
      <c r="L437" s="9" t="n">
        <f aca="false">IFERROR(J437+K437,"")</f>
        <v>0</v>
      </c>
      <c r="M437" s="9" t="n">
        <f aca="false">IFERROR(SUMIFS(Payments!$E$5:$E$504,Payments!$D$5:$D$504,A437,Payments!$C$5:$C$504,"Out"),"")</f>
        <v>0</v>
      </c>
      <c r="N437" s="9" t="n">
        <f aca="false">IFERROR(L437-M437,"")</f>
        <v>0</v>
      </c>
    </row>
    <row r="438" customFormat="false" ht="15" hidden="false" customHeight="false" outlineLevel="0" collapsed="false">
      <c r="A438" s="10"/>
      <c r="B438" s="12"/>
      <c r="C438" s="10"/>
      <c r="D438" s="14" t="str">
        <f aca="false">IFERROR(IF(C438="","",INDEX(Suppliers!$B$5:$B$504,MATCH(C438,Suppliers!$A$5:$A$504,0))),"")</f>
        <v/>
      </c>
      <c r="E438" s="10" t="s">
        <v>24</v>
      </c>
      <c r="F438" s="12"/>
      <c r="G438" s="12"/>
      <c r="H438" s="10"/>
      <c r="I438" s="10"/>
      <c r="J438" s="9" t="n">
        <f aca="false">IFERROR(SUMIFS(PurchaseOrderLines!$H$5:$H$504,PurchaseOrderLines!$B$5:$B$504,A438),"")</f>
        <v>0</v>
      </c>
      <c r="K438" s="9" t="n">
        <f aca="false">IFERROR(SUMIFS(PurchaseOrderLines!$I$5:$I$504,PurchaseOrderLines!$B$5:$B$504,A438),"")</f>
        <v>0</v>
      </c>
      <c r="L438" s="9" t="n">
        <f aca="false">IFERROR(J438+K438,"")</f>
        <v>0</v>
      </c>
      <c r="M438" s="9" t="n">
        <f aca="false">IFERROR(SUMIFS(Payments!$E$5:$E$504,Payments!$D$5:$D$504,A438,Payments!$C$5:$C$504,"Out"),"")</f>
        <v>0</v>
      </c>
      <c r="N438" s="9" t="n">
        <f aca="false">IFERROR(L438-M438,"")</f>
        <v>0</v>
      </c>
    </row>
    <row r="439" customFormat="false" ht="15" hidden="false" customHeight="false" outlineLevel="0" collapsed="false">
      <c r="A439" s="10"/>
      <c r="B439" s="12"/>
      <c r="C439" s="10"/>
      <c r="D439" s="14" t="str">
        <f aca="false">IFERROR(IF(C439="","",INDEX(Suppliers!$B$5:$B$504,MATCH(C439,Suppliers!$A$5:$A$504,0))),"")</f>
        <v/>
      </c>
      <c r="E439" s="10" t="s">
        <v>24</v>
      </c>
      <c r="F439" s="12"/>
      <c r="G439" s="12"/>
      <c r="H439" s="10"/>
      <c r="I439" s="10"/>
      <c r="J439" s="9" t="n">
        <f aca="false">IFERROR(SUMIFS(PurchaseOrderLines!$H$5:$H$504,PurchaseOrderLines!$B$5:$B$504,A439),"")</f>
        <v>0</v>
      </c>
      <c r="K439" s="9" t="n">
        <f aca="false">IFERROR(SUMIFS(PurchaseOrderLines!$I$5:$I$504,PurchaseOrderLines!$B$5:$B$504,A439),"")</f>
        <v>0</v>
      </c>
      <c r="L439" s="9" t="n">
        <f aca="false">IFERROR(J439+K439,"")</f>
        <v>0</v>
      </c>
      <c r="M439" s="9" t="n">
        <f aca="false">IFERROR(SUMIFS(Payments!$E$5:$E$504,Payments!$D$5:$D$504,A439,Payments!$C$5:$C$504,"Out"),"")</f>
        <v>0</v>
      </c>
      <c r="N439" s="9" t="n">
        <f aca="false">IFERROR(L439-M439,"")</f>
        <v>0</v>
      </c>
    </row>
    <row r="440" customFormat="false" ht="15" hidden="false" customHeight="false" outlineLevel="0" collapsed="false">
      <c r="A440" s="10"/>
      <c r="B440" s="12"/>
      <c r="C440" s="10"/>
      <c r="D440" s="14" t="str">
        <f aca="false">IFERROR(IF(C440="","",INDEX(Suppliers!$B$5:$B$504,MATCH(C440,Suppliers!$A$5:$A$504,0))),"")</f>
        <v/>
      </c>
      <c r="E440" s="10" t="s">
        <v>24</v>
      </c>
      <c r="F440" s="12"/>
      <c r="G440" s="12"/>
      <c r="H440" s="10"/>
      <c r="I440" s="10"/>
      <c r="J440" s="9" t="n">
        <f aca="false">IFERROR(SUMIFS(PurchaseOrderLines!$H$5:$H$504,PurchaseOrderLines!$B$5:$B$504,A440),"")</f>
        <v>0</v>
      </c>
      <c r="K440" s="9" t="n">
        <f aca="false">IFERROR(SUMIFS(PurchaseOrderLines!$I$5:$I$504,PurchaseOrderLines!$B$5:$B$504,A440),"")</f>
        <v>0</v>
      </c>
      <c r="L440" s="9" t="n">
        <f aca="false">IFERROR(J440+K440,"")</f>
        <v>0</v>
      </c>
      <c r="M440" s="9" t="n">
        <f aca="false">IFERROR(SUMIFS(Payments!$E$5:$E$504,Payments!$D$5:$D$504,A440,Payments!$C$5:$C$504,"Out"),"")</f>
        <v>0</v>
      </c>
      <c r="N440" s="9" t="n">
        <f aca="false">IFERROR(L440-M440,"")</f>
        <v>0</v>
      </c>
    </row>
    <row r="441" customFormat="false" ht="15" hidden="false" customHeight="false" outlineLevel="0" collapsed="false">
      <c r="A441" s="10"/>
      <c r="B441" s="12"/>
      <c r="C441" s="10"/>
      <c r="D441" s="14" t="str">
        <f aca="false">IFERROR(IF(C441="","",INDEX(Suppliers!$B$5:$B$504,MATCH(C441,Suppliers!$A$5:$A$504,0))),"")</f>
        <v/>
      </c>
      <c r="E441" s="10" t="s">
        <v>24</v>
      </c>
      <c r="F441" s="12"/>
      <c r="G441" s="12"/>
      <c r="H441" s="10"/>
      <c r="I441" s="10"/>
      <c r="J441" s="9" t="n">
        <f aca="false">IFERROR(SUMIFS(PurchaseOrderLines!$H$5:$H$504,PurchaseOrderLines!$B$5:$B$504,A441),"")</f>
        <v>0</v>
      </c>
      <c r="K441" s="9" t="n">
        <f aca="false">IFERROR(SUMIFS(PurchaseOrderLines!$I$5:$I$504,PurchaseOrderLines!$B$5:$B$504,A441),"")</f>
        <v>0</v>
      </c>
      <c r="L441" s="9" t="n">
        <f aca="false">IFERROR(J441+K441,"")</f>
        <v>0</v>
      </c>
      <c r="M441" s="9" t="n">
        <f aca="false">IFERROR(SUMIFS(Payments!$E$5:$E$504,Payments!$D$5:$D$504,A441,Payments!$C$5:$C$504,"Out"),"")</f>
        <v>0</v>
      </c>
      <c r="N441" s="9" t="n">
        <f aca="false">IFERROR(L441-M441,"")</f>
        <v>0</v>
      </c>
    </row>
    <row r="442" customFormat="false" ht="15" hidden="false" customHeight="false" outlineLevel="0" collapsed="false">
      <c r="A442" s="10"/>
      <c r="B442" s="12"/>
      <c r="C442" s="10"/>
      <c r="D442" s="14" t="str">
        <f aca="false">IFERROR(IF(C442="","",INDEX(Suppliers!$B$5:$B$504,MATCH(C442,Suppliers!$A$5:$A$504,0))),"")</f>
        <v/>
      </c>
      <c r="E442" s="10" t="s">
        <v>24</v>
      </c>
      <c r="F442" s="12"/>
      <c r="G442" s="12"/>
      <c r="H442" s="10"/>
      <c r="I442" s="10"/>
      <c r="J442" s="9" t="n">
        <f aca="false">IFERROR(SUMIFS(PurchaseOrderLines!$H$5:$H$504,PurchaseOrderLines!$B$5:$B$504,A442),"")</f>
        <v>0</v>
      </c>
      <c r="K442" s="9" t="n">
        <f aca="false">IFERROR(SUMIFS(PurchaseOrderLines!$I$5:$I$504,PurchaseOrderLines!$B$5:$B$504,A442),"")</f>
        <v>0</v>
      </c>
      <c r="L442" s="9" t="n">
        <f aca="false">IFERROR(J442+K442,"")</f>
        <v>0</v>
      </c>
      <c r="M442" s="9" t="n">
        <f aca="false">IFERROR(SUMIFS(Payments!$E$5:$E$504,Payments!$D$5:$D$504,A442,Payments!$C$5:$C$504,"Out"),"")</f>
        <v>0</v>
      </c>
      <c r="N442" s="9" t="n">
        <f aca="false">IFERROR(L442-M442,"")</f>
        <v>0</v>
      </c>
    </row>
    <row r="443" customFormat="false" ht="15" hidden="false" customHeight="false" outlineLevel="0" collapsed="false">
      <c r="A443" s="10"/>
      <c r="B443" s="12"/>
      <c r="C443" s="10"/>
      <c r="D443" s="14" t="str">
        <f aca="false">IFERROR(IF(C443="","",INDEX(Suppliers!$B$5:$B$504,MATCH(C443,Suppliers!$A$5:$A$504,0))),"")</f>
        <v/>
      </c>
      <c r="E443" s="10" t="s">
        <v>24</v>
      </c>
      <c r="F443" s="12"/>
      <c r="G443" s="12"/>
      <c r="H443" s="10"/>
      <c r="I443" s="10"/>
      <c r="J443" s="9" t="n">
        <f aca="false">IFERROR(SUMIFS(PurchaseOrderLines!$H$5:$H$504,PurchaseOrderLines!$B$5:$B$504,A443),"")</f>
        <v>0</v>
      </c>
      <c r="K443" s="9" t="n">
        <f aca="false">IFERROR(SUMIFS(PurchaseOrderLines!$I$5:$I$504,PurchaseOrderLines!$B$5:$B$504,A443),"")</f>
        <v>0</v>
      </c>
      <c r="L443" s="9" t="n">
        <f aca="false">IFERROR(J443+K443,"")</f>
        <v>0</v>
      </c>
      <c r="M443" s="9" t="n">
        <f aca="false">IFERROR(SUMIFS(Payments!$E$5:$E$504,Payments!$D$5:$D$504,A443,Payments!$C$5:$C$504,"Out"),"")</f>
        <v>0</v>
      </c>
      <c r="N443" s="9" t="n">
        <f aca="false">IFERROR(L443-M443,"")</f>
        <v>0</v>
      </c>
    </row>
    <row r="444" customFormat="false" ht="15" hidden="false" customHeight="false" outlineLevel="0" collapsed="false">
      <c r="A444" s="10"/>
      <c r="B444" s="12"/>
      <c r="C444" s="10"/>
      <c r="D444" s="14" t="str">
        <f aca="false">IFERROR(IF(C444="","",INDEX(Suppliers!$B$5:$B$504,MATCH(C444,Suppliers!$A$5:$A$504,0))),"")</f>
        <v/>
      </c>
      <c r="E444" s="10" t="s">
        <v>24</v>
      </c>
      <c r="F444" s="12"/>
      <c r="G444" s="12"/>
      <c r="H444" s="10"/>
      <c r="I444" s="10"/>
      <c r="J444" s="9" t="n">
        <f aca="false">IFERROR(SUMIFS(PurchaseOrderLines!$H$5:$H$504,PurchaseOrderLines!$B$5:$B$504,A444),"")</f>
        <v>0</v>
      </c>
      <c r="K444" s="9" t="n">
        <f aca="false">IFERROR(SUMIFS(PurchaseOrderLines!$I$5:$I$504,PurchaseOrderLines!$B$5:$B$504,A444),"")</f>
        <v>0</v>
      </c>
      <c r="L444" s="9" t="n">
        <f aca="false">IFERROR(J444+K444,"")</f>
        <v>0</v>
      </c>
      <c r="M444" s="9" t="n">
        <f aca="false">IFERROR(SUMIFS(Payments!$E$5:$E$504,Payments!$D$5:$D$504,A444,Payments!$C$5:$C$504,"Out"),"")</f>
        <v>0</v>
      </c>
      <c r="N444" s="9" t="n">
        <f aca="false">IFERROR(L444-M444,"")</f>
        <v>0</v>
      </c>
    </row>
    <row r="445" customFormat="false" ht="15" hidden="false" customHeight="false" outlineLevel="0" collapsed="false">
      <c r="A445" s="10"/>
      <c r="B445" s="12"/>
      <c r="C445" s="10"/>
      <c r="D445" s="14" t="str">
        <f aca="false">IFERROR(IF(C445="","",INDEX(Suppliers!$B$5:$B$504,MATCH(C445,Suppliers!$A$5:$A$504,0))),"")</f>
        <v/>
      </c>
      <c r="E445" s="10" t="s">
        <v>24</v>
      </c>
      <c r="F445" s="12"/>
      <c r="G445" s="12"/>
      <c r="H445" s="10"/>
      <c r="I445" s="10"/>
      <c r="J445" s="9" t="n">
        <f aca="false">IFERROR(SUMIFS(PurchaseOrderLines!$H$5:$H$504,PurchaseOrderLines!$B$5:$B$504,A445),"")</f>
        <v>0</v>
      </c>
      <c r="K445" s="9" t="n">
        <f aca="false">IFERROR(SUMIFS(PurchaseOrderLines!$I$5:$I$504,PurchaseOrderLines!$B$5:$B$504,A445),"")</f>
        <v>0</v>
      </c>
      <c r="L445" s="9" t="n">
        <f aca="false">IFERROR(J445+K445,"")</f>
        <v>0</v>
      </c>
      <c r="M445" s="9" t="n">
        <f aca="false">IFERROR(SUMIFS(Payments!$E$5:$E$504,Payments!$D$5:$D$504,A445,Payments!$C$5:$C$504,"Out"),"")</f>
        <v>0</v>
      </c>
      <c r="N445" s="9" t="n">
        <f aca="false">IFERROR(L445-M445,"")</f>
        <v>0</v>
      </c>
    </row>
    <row r="446" customFormat="false" ht="15" hidden="false" customHeight="false" outlineLevel="0" collapsed="false">
      <c r="A446" s="10"/>
      <c r="B446" s="12"/>
      <c r="C446" s="10"/>
      <c r="D446" s="14" t="str">
        <f aca="false">IFERROR(IF(C446="","",INDEX(Suppliers!$B$5:$B$504,MATCH(C446,Suppliers!$A$5:$A$504,0))),"")</f>
        <v/>
      </c>
      <c r="E446" s="10" t="s">
        <v>24</v>
      </c>
      <c r="F446" s="12"/>
      <c r="G446" s="12"/>
      <c r="H446" s="10"/>
      <c r="I446" s="10"/>
      <c r="J446" s="9" t="n">
        <f aca="false">IFERROR(SUMIFS(PurchaseOrderLines!$H$5:$H$504,PurchaseOrderLines!$B$5:$B$504,A446),"")</f>
        <v>0</v>
      </c>
      <c r="K446" s="9" t="n">
        <f aca="false">IFERROR(SUMIFS(PurchaseOrderLines!$I$5:$I$504,PurchaseOrderLines!$B$5:$B$504,A446),"")</f>
        <v>0</v>
      </c>
      <c r="L446" s="9" t="n">
        <f aca="false">IFERROR(J446+K446,"")</f>
        <v>0</v>
      </c>
      <c r="M446" s="9" t="n">
        <f aca="false">IFERROR(SUMIFS(Payments!$E$5:$E$504,Payments!$D$5:$D$504,A446,Payments!$C$5:$C$504,"Out"),"")</f>
        <v>0</v>
      </c>
      <c r="N446" s="9" t="n">
        <f aca="false">IFERROR(L446-M446,"")</f>
        <v>0</v>
      </c>
    </row>
    <row r="447" customFormat="false" ht="15" hidden="false" customHeight="false" outlineLevel="0" collapsed="false">
      <c r="A447" s="10"/>
      <c r="B447" s="12"/>
      <c r="C447" s="10"/>
      <c r="D447" s="14" t="str">
        <f aca="false">IFERROR(IF(C447="","",INDEX(Suppliers!$B$5:$B$504,MATCH(C447,Suppliers!$A$5:$A$504,0))),"")</f>
        <v/>
      </c>
      <c r="E447" s="10" t="s">
        <v>24</v>
      </c>
      <c r="F447" s="12"/>
      <c r="G447" s="12"/>
      <c r="H447" s="10"/>
      <c r="I447" s="10"/>
      <c r="J447" s="9" t="n">
        <f aca="false">IFERROR(SUMIFS(PurchaseOrderLines!$H$5:$H$504,PurchaseOrderLines!$B$5:$B$504,A447),"")</f>
        <v>0</v>
      </c>
      <c r="K447" s="9" t="n">
        <f aca="false">IFERROR(SUMIFS(PurchaseOrderLines!$I$5:$I$504,PurchaseOrderLines!$B$5:$B$504,A447),"")</f>
        <v>0</v>
      </c>
      <c r="L447" s="9" t="n">
        <f aca="false">IFERROR(J447+K447,"")</f>
        <v>0</v>
      </c>
      <c r="M447" s="9" t="n">
        <f aca="false">IFERROR(SUMIFS(Payments!$E$5:$E$504,Payments!$D$5:$D$504,A447,Payments!$C$5:$C$504,"Out"),"")</f>
        <v>0</v>
      </c>
      <c r="N447" s="9" t="n">
        <f aca="false">IFERROR(L447-M447,"")</f>
        <v>0</v>
      </c>
    </row>
    <row r="448" customFormat="false" ht="15" hidden="false" customHeight="false" outlineLevel="0" collapsed="false">
      <c r="A448" s="10"/>
      <c r="B448" s="12"/>
      <c r="C448" s="10"/>
      <c r="D448" s="14" t="str">
        <f aca="false">IFERROR(IF(C448="","",INDEX(Suppliers!$B$5:$B$504,MATCH(C448,Suppliers!$A$5:$A$504,0))),"")</f>
        <v/>
      </c>
      <c r="E448" s="10" t="s">
        <v>24</v>
      </c>
      <c r="F448" s="12"/>
      <c r="G448" s="12"/>
      <c r="H448" s="10"/>
      <c r="I448" s="10"/>
      <c r="J448" s="9" t="n">
        <f aca="false">IFERROR(SUMIFS(PurchaseOrderLines!$H$5:$H$504,PurchaseOrderLines!$B$5:$B$504,A448),"")</f>
        <v>0</v>
      </c>
      <c r="K448" s="9" t="n">
        <f aca="false">IFERROR(SUMIFS(PurchaseOrderLines!$I$5:$I$504,PurchaseOrderLines!$B$5:$B$504,A448),"")</f>
        <v>0</v>
      </c>
      <c r="L448" s="9" t="n">
        <f aca="false">IFERROR(J448+K448,"")</f>
        <v>0</v>
      </c>
      <c r="M448" s="9" t="n">
        <f aca="false">IFERROR(SUMIFS(Payments!$E$5:$E$504,Payments!$D$5:$D$504,A448,Payments!$C$5:$C$504,"Out"),"")</f>
        <v>0</v>
      </c>
      <c r="N448" s="9" t="n">
        <f aca="false">IFERROR(L448-M448,"")</f>
        <v>0</v>
      </c>
    </row>
    <row r="449" customFormat="false" ht="15" hidden="false" customHeight="false" outlineLevel="0" collapsed="false">
      <c r="A449" s="10"/>
      <c r="B449" s="12"/>
      <c r="C449" s="10"/>
      <c r="D449" s="14" t="str">
        <f aca="false">IFERROR(IF(C449="","",INDEX(Suppliers!$B$5:$B$504,MATCH(C449,Suppliers!$A$5:$A$504,0))),"")</f>
        <v/>
      </c>
      <c r="E449" s="10" t="s">
        <v>24</v>
      </c>
      <c r="F449" s="12"/>
      <c r="G449" s="12"/>
      <c r="H449" s="10"/>
      <c r="I449" s="10"/>
      <c r="J449" s="9" t="n">
        <f aca="false">IFERROR(SUMIFS(PurchaseOrderLines!$H$5:$H$504,PurchaseOrderLines!$B$5:$B$504,A449),"")</f>
        <v>0</v>
      </c>
      <c r="K449" s="9" t="n">
        <f aca="false">IFERROR(SUMIFS(PurchaseOrderLines!$I$5:$I$504,PurchaseOrderLines!$B$5:$B$504,A449),"")</f>
        <v>0</v>
      </c>
      <c r="L449" s="9" t="n">
        <f aca="false">IFERROR(J449+K449,"")</f>
        <v>0</v>
      </c>
      <c r="M449" s="9" t="n">
        <f aca="false">IFERROR(SUMIFS(Payments!$E$5:$E$504,Payments!$D$5:$D$504,A449,Payments!$C$5:$C$504,"Out"),"")</f>
        <v>0</v>
      </c>
      <c r="N449" s="9" t="n">
        <f aca="false">IFERROR(L449-M449,"")</f>
        <v>0</v>
      </c>
    </row>
    <row r="450" customFormat="false" ht="15" hidden="false" customHeight="false" outlineLevel="0" collapsed="false">
      <c r="A450" s="10"/>
      <c r="B450" s="12"/>
      <c r="C450" s="10"/>
      <c r="D450" s="14" t="str">
        <f aca="false">IFERROR(IF(C450="","",INDEX(Suppliers!$B$5:$B$504,MATCH(C450,Suppliers!$A$5:$A$504,0))),"")</f>
        <v/>
      </c>
      <c r="E450" s="10" t="s">
        <v>24</v>
      </c>
      <c r="F450" s="12"/>
      <c r="G450" s="12"/>
      <c r="H450" s="10"/>
      <c r="I450" s="10"/>
      <c r="J450" s="9" t="n">
        <f aca="false">IFERROR(SUMIFS(PurchaseOrderLines!$H$5:$H$504,PurchaseOrderLines!$B$5:$B$504,A450),"")</f>
        <v>0</v>
      </c>
      <c r="K450" s="9" t="n">
        <f aca="false">IFERROR(SUMIFS(PurchaseOrderLines!$I$5:$I$504,PurchaseOrderLines!$B$5:$B$504,A450),"")</f>
        <v>0</v>
      </c>
      <c r="L450" s="9" t="n">
        <f aca="false">IFERROR(J450+K450,"")</f>
        <v>0</v>
      </c>
      <c r="M450" s="9" t="n">
        <f aca="false">IFERROR(SUMIFS(Payments!$E$5:$E$504,Payments!$D$5:$D$504,A450,Payments!$C$5:$C$504,"Out"),"")</f>
        <v>0</v>
      </c>
      <c r="N450" s="9" t="n">
        <f aca="false">IFERROR(L450-M450,"")</f>
        <v>0</v>
      </c>
    </row>
    <row r="451" customFormat="false" ht="15" hidden="false" customHeight="false" outlineLevel="0" collapsed="false">
      <c r="A451" s="10"/>
      <c r="B451" s="12"/>
      <c r="C451" s="10"/>
      <c r="D451" s="14" t="str">
        <f aca="false">IFERROR(IF(C451="","",INDEX(Suppliers!$B$5:$B$504,MATCH(C451,Suppliers!$A$5:$A$504,0))),"")</f>
        <v/>
      </c>
      <c r="E451" s="10" t="s">
        <v>24</v>
      </c>
      <c r="F451" s="12"/>
      <c r="G451" s="12"/>
      <c r="H451" s="10"/>
      <c r="I451" s="10"/>
      <c r="J451" s="9" t="n">
        <f aca="false">IFERROR(SUMIFS(PurchaseOrderLines!$H$5:$H$504,PurchaseOrderLines!$B$5:$B$504,A451),"")</f>
        <v>0</v>
      </c>
      <c r="K451" s="9" t="n">
        <f aca="false">IFERROR(SUMIFS(PurchaseOrderLines!$I$5:$I$504,PurchaseOrderLines!$B$5:$B$504,A451),"")</f>
        <v>0</v>
      </c>
      <c r="L451" s="9" t="n">
        <f aca="false">IFERROR(J451+K451,"")</f>
        <v>0</v>
      </c>
      <c r="M451" s="9" t="n">
        <f aca="false">IFERROR(SUMIFS(Payments!$E$5:$E$504,Payments!$D$5:$D$504,A451,Payments!$C$5:$C$504,"Out"),"")</f>
        <v>0</v>
      </c>
      <c r="N451" s="9" t="n">
        <f aca="false">IFERROR(L451-M451,"")</f>
        <v>0</v>
      </c>
    </row>
    <row r="452" customFormat="false" ht="15" hidden="false" customHeight="false" outlineLevel="0" collapsed="false">
      <c r="A452" s="10"/>
      <c r="B452" s="12"/>
      <c r="C452" s="10"/>
      <c r="D452" s="14" t="str">
        <f aca="false">IFERROR(IF(C452="","",INDEX(Suppliers!$B$5:$B$504,MATCH(C452,Suppliers!$A$5:$A$504,0))),"")</f>
        <v/>
      </c>
      <c r="E452" s="10" t="s">
        <v>24</v>
      </c>
      <c r="F452" s="12"/>
      <c r="G452" s="12"/>
      <c r="H452" s="10"/>
      <c r="I452" s="10"/>
      <c r="J452" s="9" t="n">
        <f aca="false">IFERROR(SUMIFS(PurchaseOrderLines!$H$5:$H$504,PurchaseOrderLines!$B$5:$B$504,A452),"")</f>
        <v>0</v>
      </c>
      <c r="K452" s="9" t="n">
        <f aca="false">IFERROR(SUMIFS(PurchaseOrderLines!$I$5:$I$504,PurchaseOrderLines!$B$5:$B$504,A452),"")</f>
        <v>0</v>
      </c>
      <c r="L452" s="9" t="n">
        <f aca="false">IFERROR(J452+K452,"")</f>
        <v>0</v>
      </c>
      <c r="M452" s="9" t="n">
        <f aca="false">IFERROR(SUMIFS(Payments!$E$5:$E$504,Payments!$D$5:$D$504,A452,Payments!$C$5:$C$504,"Out"),"")</f>
        <v>0</v>
      </c>
      <c r="N452" s="9" t="n">
        <f aca="false">IFERROR(L452-M452,"")</f>
        <v>0</v>
      </c>
    </row>
    <row r="453" customFormat="false" ht="15" hidden="false" customHeight="false" outlineLevel="0" collapsed="false">
      <c r="A453" s="10"/>
      <c r="B453" s="12"/>
      <c r="C453" s="10"/>
      <c r="D453" s="14" t="str">
        <f aca="false">IFERROR(IF(C453="","",INDEX(Suppliers!$B$5:$B$504,MATCH(C453,Suppliers!$A$5:$A$504,0))),"")</f>
        <v/>
      </c>
      <c r="E453" s="10" t="s">
        <v>24</v>
      </c>
      <c r="F453" s="12"/>
      <c r="G453" s="12"/>
      <c r="H453" s="10"/>
      <c r="I453" s="10"/>
      <c r="J453" s="9" t="n">
        <f aca="false">IFERROR(SUMIFS(PurchaseOrderLines!$H$5:$H$504,PurchaseOrderLines!$B$5:$B$504,A453),"")</f>
        <v>0</v>
      </c>
      <c r="K453" s="9" t="n">
        <f aca="false">IFERROR(SUMIFS(PurchaseOrderLines!$I$5:$I$504,PurchaseOrderLines!$B$5:$B$504,A453),"")</f>
        <v>0</v>
      </c>
      <c r="L453" s="9" t="n">
        <f aca="false">IFERROR(J453+K453,"")</f>
        <v>0</v>
      </c>
      <c r="M453" s="9" t="n">
        <f aca="false">IFERROR(SUMIFS(Payments!$E$5:$E$504,Payments!$D$5:$D$504,A453,Payments!$C$5:$C$504,"Out"),"")</f>
        <v>0</v>
      </c>
      <c r="N453" s="9" t="n">
        <f aca="false">IFERROR(L453-M453,"")</f>
        <v>0</v>
      </c>
    </row>
    <row r="454" customFormat="false" ht="15" hidden="false" customHeight="false" outlineLevel="0" collapsed="false">
      <c r="A454" s="10"/>
      <c r="B454" s="12"/>
      <c r="C454" s="10"/>
      <c r="D454" s="14" t="str">
        <f aca="false">IFERROR(IF(C454="","",INDEX(Suppliers!$B$5:$B$504,MATCH(C454,Suppliers!$A$5:$A$504,0))),"")</f>
        <v/>
      </c>
      <c r="E454" s="10" t="s">
        <v>24</v>
      </c>
      <c r="F454" s="12"/>
      <c r="G454" s="12"/>
      <c r="H454" s="10"/>
      <c r="I454" s="10"/>
      <c r="J454" s="9" t="n">
        <f aca="false">IFERROR(SUMIFS(PurchaseOrderLines!$H$5:$H$504,PurchaseOrderLines!$B$5:$B$504,A454),"")</f>
        <v>0</v>
      </c>
      <c r="K454" s="9" t="n">
        <f aca="false">IFERROR(SUMIFS(PurchaseOrderLines!$I$5:$I$504,PurchaseOrderLines!$B$5:$B$504,A454),"")</f>
        <v>0</v>
      </c>
      <c r="L454" s="9" t="n">
        <f aca="false">IFERROR(J454+K454,"")</f>
        <v>0</v>
      </c>
      <c r="M454" s="9" t="n">
        <f aca="false">IFERROR(SUMIFS(Payments!$E$5:$E$504,Payments!$D$5:$D$504,A454,Payments!$C$5:$C$504,"Out"),"")</f>
        <v>0</v>
      </c>
      <c r="N454" s="9" t="n">
        <f aca="false">IFERROR(L454-M454,"")</f>
        <v>0</v>
      </c>
    </row>
    <row r="455" customFormat="false" ht="15" hidden="false" customHeight="false" outlineLevel="0" collapsed="false">
      <c r="A455" s="10"/>
      <c r="B455" s="12"/>
      <c r="C455" s="10"/>
      <c r="D455" s="14" t="str">
        <f aca="false">IFERROR(IF(C455="","",INDEX(Suppliers!$B$5:$B$504,MATCH(C455,Suppliers!$A$5:$A$504,0))),"")</f>
        <v/>
      </c>
      <c r="E455" s="10" t="s">
        <v>24</v>
      </c>
      <c r="F455" s="12"/>
      <c r="G455" s="12"/>
      <c r="H455" s="10"/>
      <c r="I455" s="10"/>
      <c r="J455" s="9" t="n">
        <f aca="false">IFERROR(SUMIFS(PurchaseOrderLines!$H$5:$H$504,PurchaseOrderLines!$B$5:$B$504,A455),"")</f>
        <v>0</v>
      </c>
      <c r="K455" s="9" t="n">
        <f aca="false">IFERROR(SUMIFS(PurchaseOrderLines!$I$5:$I$504,PurchaseOrderLines!$B$5:$B$504,A455),"")</f>
        <v>0</v>
      </c>
      <c r="L455" s="9" t="n">
        <f aca="false">IFERROR(J455+K455,"")</f>
        <v>0</v>
      </c>
      <c r="M455" s="9" t="n">
        <f aca="false">IFERROR(SUMIFS(Payments!$E$5:$E$504,Payments!$D$5:$D$504,A455,Payments!$C$5:$C$504,"Out"),"")</f>
        <v>0</v>
      </c>
      <c r="N455" s="9" t="n">
        <f aca="false">IFERROR(L455-M455,"")</f>
        <v>0</v>
      </c>
    </row>
    <row r="456" customFormat="false" ht="15" hidden="false" customHeight="false" outlineLevel="0" collapsed="false">
      <c r="A456" s="10"/>
      <c r="B456" s="12"/>
      <c r="C456" s="10"/>
      <c r="D456" s="14" t="str">
        <f aca="false">IFERROR(IF(C456="","",INDEX(Suppliers!$B$5:$B$504,MATCH(C456,Suppliers!$A$5:$A$504,0))),"")</f>
        <v/>
      </c>
      <c r="E456" s="10" t="s">
        <v>24</v>
      </c>
      <c r="F456" s="12"/>
      <c r="G456" s="12"/>
      <c r="H456" s="10"/>
      <c r="I456" s="10"/>
      <c r="J456" s="9" t="n">
        <f aca="false">IFERROR(SUMIFS(PurchaseOrderLines!$H$5:$H$504,PurchaseOrderLines!$B$5:$B$504,A456),"")</f>
        <v>0</v>
      </c>
      <c r="K456" s="9" t="n">
        <f aca="false">IFERROR(SUMIFS(PurchaseOrderLines!$I$5:$I$504,PurchaseOrderLines!$B$5:$B$504,A456),"")</f>
        <v>0</v>
      </c>
      <c r="L456" s="9" t="n">
        <f aca="false">IFERROR(J456+K456,"")</f>
        <v>0</v>
      </c>
      <c r="M456" s="9" t="n">
        <f aca="false">IFERROR(SUMIFS(Payments!$E$5:$E$504,Payments!$D$5:$D$504,A456,Payments!$C$5:$C$504,"Out"),"")</f>
        <v>0</v>
      </c>
      <c r="N456" s="9" t="n">
        <f aca="false">IFERROR(L456-M456,"")</f>
        <v>0</v>
      </c>
    </row>
    <row r="457" customFormat="false" ht="15" hidden="false" customHeight="false" outlineLevel="0" collapsed="false">
      <c r="A457" s="10"/>
      <c r="B457" s="12"/>
      <c r="C457" s="10"/>
      <c r="D457" s="14" t="str">
        <f aca="false">IFERROR(IF(C457="","",INDEX(Suppliers!$B$5:$B$504,MATCH(C457,Suppliers!$A$5:$A$504,0))),"")</f>
        <v/>
      </c>
      <c r="E457" s="10" t="s">
        <v>24</v>
      </c>
      <c r="F457" s="12"/>
      <c r="G457" s="12"/>
      <c r="H457" s="10"/>
      <c r="I457" s="10"/>
      <c r="J457" s="9" t="n">
        <f aca="false">IFERROR(SUMIFS(PurchaseOrderLines!$H$5:$H$504,PurchaseOrderLines!$B$5:$B$504,A457),"")</f>
        <v>0</v>
      </c>
      <c r="K457" s="9" t="n">
        <f aca="false">IFERROR(SUMIFS(PurchaseOrderLines!$I$5:$I$504,PurchaseOrderLines!$B$5:$B$504,A457),"")</f>
        <v>0</v>
      </c>
      <c r="L457" s="9" t="n">
        <f aca="false">IFERROR(J457+K457,"")</f>
        <v>0</v>
      </c>
      <c r="M457" s="9" t="n">
        <f aca="false">IFERROR(SUMIFS(Payments!$E$5:$E$504,Payments!$D$5:$D$504,A457,Payments!$C$5:$C$504,"Out"),"")</f>
        <v>0</v>
      </c>
      <c r="N457" s="9" t="n">
        <f aca="false">IFERROR(L457-M457,"")</f>
        <v>0</v>
      </c>
    </row>
    <row r="458" customFormat="false" ht="15" hidden="false" customHeight="false" outlineLevel="0" collapsed="false">
      <c r="A458" s="10"/>
      <c r="B458" s="12"/>
      <c r="C458" s="10"/>
      <c r="D458" s="14" t="str">
        <f aca="false">IFERROR(IF(C458="","",INDEX(Suppliers!$B$5:$B$504,MATCH(C458,Suppliers!$A$5:$A$504,0))),"")</f>
        <v/>
      </c>
      <c r="E458" s="10" t="s">
        <v>24</v>
      </c>
      <c r="F458" s="12"/>
      <c r="G458" s="12"/>
      <c r="H458" s="10"/>
      <c r="I458" s="10"/>
      <c r="J458" s="9" t="n">
        <f aca="false">IFERROR(SUMIFS(PurchaseOrderLines!$H$5:$H$504,PurchaseOrderLines!$B$5:$B$504,A458),"")</f>
        <v>0</v>
      </c>
      <c r="K458" s="9" t="n">
        <f aca="false">IFERROR(SUMIFS(PurchaseOrderLines!$I$5:$I$504,PurchaseOrderLines!$B$5:$B$504,A458),"")</f>
        <v>0</v>
      </c>
      <c r="L458" s="9" t="n">
        <f aca="false">IFERROR(J458+K458,"")</f>
        <v>0</v>
      </c>
      <c r="M458" s="9" t="n">
        <f aca="false">IFERROR(SUMIFS(Payments!$E$5:$E$504,Payments!$D$5:$D$504,A458,Payments!$C$5:$C$504,"Out"),"")</f>
        <v>0</v>
      </c>
      <c r="N458" s="9" t="n">
        <f aca="false">IFERROR(L458-M458,"")</f>
        <v>0</v>
      </c>
    </row>
    <row r="459" customFormat="false" ht="15" hidden="false" customHeight="false" outlineLevel="0" collapsed="false">
      <c r="A459" s="10"/>
      <c r="B459" s="12"/>
      <c r="C459" s="10"/>
      <c r="D459" s="14" t="str">
        <f aca="false">IFERROR(IF(C459="","",INDEX(Suppliers!$B$5:$B$504,MATCH(C459,Suppliers!$A$5:$A$504,0))),"")</f>
        <v/>
      </c>
      <c r="E459" s="10" t="s">
        <v>24</v>
      </c>
      <c r="F459" s="12"/>
      <c r="G459" s="12"/>
      <c r="H459" s="10"/>
      <c r="I459" s="10"/>
      <c r="J459" s="9" t="n">
        <f aca="false">IFERROR(SUMIFS(PurchaseOrderLines!$H$5:$H$504,PurchaseOrderLines!$B$5:$B$504,A459),"")</f>
        <v>0</v>
      </c>
      <c r="K459" s="9" t="n">
        <f aca="false">IFERROR(SUMIFS(PurchaseOrderLines!$I$5:$I$504,PurchaseOrderLines!$B$5:$B$504,A459),"")</f>
        <v>0</v>
      </c>
      <c r="L459" s="9" t="n">
        <f aca="false">IFERROR(J459+K459,"")</f>
        <v>0</v>
      </c>
      <c r="M459" s="9" t="n">
        <f aca="false">IFERROR(SUMIFS(Payments!$E$5:$E$504,Payments!$D$5:$D$504,A459,Payments!$C$5:$C$504,"Out"),"")</f>
        <v>0</v>
      </c>
      <c r="N459" s="9" t="n">
        <f aca="false">IFERROR(L459-M459,"")</f>
        <v>0</v>
      </c>
    </row>
    <row r="460" customFormat="false" ht="15" hidden="false" customHeight="false" outlineLevel="0" collapsed="false">
      <c r="A460" s="10"/>
      <c r="B460" s="12"/>
      <c r="C460" s="10"/>
      <c r="D460" s="14" t="str">
        <f aca="false">IFERROR(IF(C460="","",INDEX(Suppliers!$B$5:$B$504,MATCH(C460,Suppliers!$A$5:$A$504,0))),"")</f>
        <v/>
      </c>
      <c r="E460" s="10" t="s">
        <v>24</v>
      </c>
      <c r="F460" s="12"/>
      <c r="G460" s="12"/>
      <c r="H460" s="10"/>
      <c r="I460" s="10"/>
      <c r="J460" s="9" t="n">
        <f aca="false">IFERROR(SUMIFS(PurchaseOrderLines!$H$5:$H$504,PurchaseOrderLines!$B$5:$B$504,A460),"")</f>
        <v>0</v>
      </c>
      <c r="K460" s="9" t="n">
        <f aca="false">IFERROR(SUMIFS(PurchaseOrderLines!$I$5:$I$504,PurchaseOrderLines!$B$5:$B$504,A460),"")</f>
        <v>0</v>
      </c>
      <c r="L460" s="9" t="n">
        <f aca="false">IFERROR(J460+K460,"")</f>
        <v>0</v>
      </c>
      <c r="M460" s="9" t="n">
        <f aca="false">IFERROR(SUMIFS(Payments!$E$5:$E$504,Payments!$D$5:$D$504,A460,Payments!$C$5:$C$504,"Out"),"")</f>
        <v>0</v>
      </c>
      <c r="N460" s="9" t="n">
        <f aca="false">IFERROR(L460-M460,"")</f>
        <v>0</v>
      </c>
    </row>
    <row r="461" customFormat="false" ht="15" hidden="false" customHeight="false" outlineLevel="0" collapsed="false">
      <c r="A461" s="10"/>
      <c r="B461" s="12"/>
      <c r="C461" s="10"/>
      <c r="D461" s="14" t="str">
        <f aca="false">IFERROR(IF(C461="","",INDEX(Suppliers!$B$5:$B$504,MATCH(C461,Suppliers!$A$5:$A$504,0))),"")</f>
        <v/>
      </c>
      <c r="E461" s="10" t="s">
        <v>24</v>
      </c>
      <c r="F461" s="12"/>
      <c r="G461" s="12"/>
      <c r="H461" s="10"/>
      <c r="I461" s="10"/>
      <c r="J461" s="9" t="n">
        <f aca="false">IFERROR(SUMIFS(PurchaseOrderLines!$H$5:$H$504,PurchaseOrderLines!$B$5:$B$504,A461),"")</f>
        <v>0</v>
      </c>
      <c r="K461" s="9" t="n">
        <f aca="false">IFERROR(SUMIFS(PurchaseOrderLines!$I$5:$I$504,PurchaseOrderLines!$B$5:$B$504,A461),"")</f>
        <v>0</v>
      </c>
      <c r="L461" s="9" t="n">
        <f aca="false">IFERROR(J461+K461,"")</f>
        <v>0</v>
      </c>
      <c r="M461" s="9" t="n">
        <f aca="false">IFERROR(SUMIFS(Payments!$E$5:$E$504,Payments!$D$5:$D$504,A461,Payments!$C$5:$C$504,"Out"),"")</f>
        <v>0</v>
      </c>
      <c r="N461" s="9" t="n">
        <f aca="false">IFERROR(L461-M461,"")</f>
        <v>0</v>
      </c>
    </row>
    <row r="462" customFormat="false" ht="15" hidden="false" customHeight="false" outlineLevel="0" collapsed="false">
      <c r="A462" s="10"/>
      <c r="B462" s="12"/>
      <c r="C462" s="10"/>
      <c r="D462" s="14" t="str">
        <f aca="false">IFERROR(IF(C462="","",INDEX(Suppliers!$B$5:$B$504,MATCH(C462,Suppliers!$A$5:$A$504,0))),"")</f>
        <v/>
      </c>
      <c r="E462" s="10" t="s">
        <v>24</v>
      </c>
      <c r="F462" s="12"/>
      <c r="G462" s="12"/>
      <c r="H462" s="10"/>
      <c r="I462" s="10"/>
      <c r="J462" s="9" t="n">
        <f aca="false">IFERROR(SUMIFS(PurchaseOrderLines!$H$5:$H$504,PurchaseOrderLines!$B$5:$B$504,A462),"")</f>
        <v>0</v>
      </c>
      <c r="K462" s="9" t="n">
        <f aca="false">IFERROR(SUMIFS(PurchaseOrderLines!$I$5:$I$504,PurchaseOrderLines!$B$5:$B$504,A462),"")</f>
        <v>0</v>
      </c>
      <c r="L462" s="9" t="n">
        <f aca="false">IFERROR(J462+K462,"")</f>
        <v>0</v>
      </c>
      <c r="M462" s="9" t="n">
        <f aca="false">IFERROR(SUMIFS(Payments!$E$5:$E$504,Payments!$D$5:$D$504,A462,Payments!$C$5:$C$504,"Out"),"")</f>
        <v>0</v>
      </c>
      <c r="N462" s="9" t="n">
        <f aca="false">IFERROR(L462-M462,"")</f>
        <v>0</v>
      </c>
    </row>
    <row r="463" customFormat="false" ht="15" hidden="false" customHeight="false" outlineLevel="0" collapsed="false">
      <c r="A463" s="10"/>
      <c r="B463" s="12"/>
      <c r="C463" s="10"/>
      <c r="D463" s="14" t="str">
        <f aca="false">IFERROR(IF(C463="","",INDEX(Suppliers!$B$5:$B$504,MATCH(C463,Suppliers!$A$5:$A$504,0))),"")</f>
        <v/>
      </c>
      <c r="E463" s="10" t="s">
        <v>24</v>
      </c>
      <c r="F463" s="12"/>
      <c r="G463" s="12"/>
      <c r="H463" s="10"/>
      <c r="I463" s="10"/>
      <c r="J463" s="9" t="n">
        <f aca="false">IFERROR(SUMIFS(PurchaseOrderLines!$H$5:$H$504,PurchaseOrderLines!$B$5:$B$504,A463),"")</f>
        <v>0</v>
      </c>
      <c r="K463" s="9" t="n">
        <f aca="false">IFERROR(SUMIFS(PurchaseOrderLines!$I$5:$I$504,PurchaseOrderLines!$B$5:$B$504,A463),"")</f>
        <v>0</v>
      </c>
      <c r="L463" s="9" t="n">
        <f aca="false">IFERROR(J463+K463,"")</f>
        <v>0</v>
      </c>
      <c r="M463" s="9" t="n">
        <f aca="false">IFERROR(SUMIFS(Payments!$E$5:$E$504,Payments!$D$5:$D$504,A463,Payments!$C$5:$C$504,"Out"),"")</f>
        <v>0</v>
      </c>
      <c r="N463" s="9" t="n">
        <f aca="false">IFERROR(L463-M463,"")</f>
        <v>0</v>
      </c>
    </row>
    <row r="464" customFormat="false" ht="15" hidden="false" customHeight="false" outlineLevel="0" collapsed="false">
      <c r="A464" s="10"/>
      <c r="B464" s="12"/>
      <c r="C464" s="10"/>
      <c r="D464" s="14" t="str">
        <f aca="false">IFERROR(IF(C464="","",INDEX(Suppliers!$B$5:$B$504,MATCH(C464,Suppliers!$A$5:$A$504,0))),"")</f>
        <v/>
      </c>
      <c r="E464" s="10" t="s">
        <v>24</v>
      </c>
      <c r="F464" s="12"/>
      <c r="G464" s="12"/>
      <c r="H464" s="10"/>
      <c r="I464" s="10"/>
      <c r="J464" s="9" t="n">
        <f aca="false">IFERROR(SUMIFS(PurchaseOrderLines!$H$5:$H$504,PurchaseOrderLines!$B$5:$B$504,A464),"")</f>
        <v>0</v>
      </c>
      <c r="K464" s="9" t="n">
        <f aca="false">IFERROR(SUMIFS(PurchaseOrderLines!$I$5:$I$504,PurchaseOrderLines!$B$5:$B$504,A464),"")</f>
        <v>0</v>
      </c>
      <c r="L464" s="9" t="n">
        <f aca="false">IFERROR(J464+K464,"")</f>
        <v>0</v>
      </c>
      <c r="M464" s="9" t="n">
        <f aca="false">IFERROR(SUMIFS(Payments!$E$5:$E$504,Payments!$D$5:$D$504,A464,Payments!$C$5:$C$504,"Out"),"")</f>
        <v>0</v>
      </c>
      <c r="N464" s="9" t="n">
        <f aca="false">IFERROR(L464-M464,"")</f>
        <v>0</v>
      </c>
    </row>
    <row r="465" customFormat="false" ht="15" hidden="false" customHeight="false" outlineLevel="0" collapsed="false">
      <c r="A465" s="10"/>
      <c r="B465" s="12"/>
      <c r="C465" s="10"/>
      <c r="D465" s="14" t="str">
        <f aca="false">IFERROR(IF(C465="","",INDEX(Suppliers!$B$5:$B$504,MATCH(C465,Suppliers!$A$5:$A$504,0))),"")</f>
        <v/>
      </c>
      <c r="E465" s="10" t="s">
        <v>24</v>
      </c>
      <c r="F465" s="12"/>
      <c r="G465" s="12"/>
      <c r="H465" s="10"/>
      <c r="I465" s="10"/>
      <c r="J465" s="9" t="n">
        <f aca="false">IFERROR(SUMIFS(PurchaseOrderLines!$H$5:$H$504,PurchaseOrderLines!$B$5:$B$504,A465),"")</f>
        <v>0</v>
      </c>
      <c r="K465" s="9" t="n">
        <f aca="false">IFERROR(SUMIFS(PurchaseOrderLines!$I$5:$I$504,PurchaseOrderLines!$B$5:$B$504,A465),"")</f>
        <v>0</v>
      </c>
      <c r="L465" s="9" t="n">
        <f aca="false">IFERROR(J465+K465,"")</f>
        <v>0</v>
      </c>
      <c r="M465" s="9" t="n">
        <f aca="false">IFERROR(SUMIFS(Payments!$E$5:$E$504,Payments!$D$5:$D$504,A465,Payments!$C$5:$C$504,"Out"),"")</f>
        <v>0</v>
      </c>
      <c r="N465" s="9" t="n">
        <f aca="false">IFERROR(L465-M465,"")</f>
        <v>0</v>
      </c>
    </row>
    <row r="466" customFormat="false" ht="15" hidden="false" customHeight="false" outlineLevel="0" collapsed="false">
      <c r="A466" s="10"/>
      <c r="B466" s="12"/>
      <c r="C466" s="10"/>
      <c r="D466" s="14" t="str">
        <f aca="false">IFERROR(IF(C466="","",INDEX(Suppliers!$B$5:$B$504,MATCH(C466,Suppliers!$A$5:$A$504,0))),"")</f>
        <v/>
      </c>
      <c r="E466" s="10" t="s">
        <v>24</v>
      </c>
      <c r="F466" s="12"/>
      <c r="G466" s="12"/>
      <c r="H466" s="10"/>
      <c r="I466" s="10"/>
      <c r="J466" s="9" t="n">
        <f aca="false">IFERROR(SUMIFS(PurchaseOrderLines!$H$5:$H$504,PurchaseOrderLines!$B$5:$B$504,A466),"")</f>
        <v>0</v>
      </c>
      <c r="K466" s="9" t="n">
        <f aca="false">IFERROR(SUMIFS(PurchaseOrderLines!$I$5:$I$504,PurchaseOrderLines!$B$5:$B$504,A466),"")</f>
        <v>0</v>
      </c>
      <c r="L466" s="9" t="n">
        <f aca="false">IFERROR(J466+K466,"")</f>
        <v>0</v>
      </c>
      <c r="M466" s="9" t="n">
        <f aca="false">IFERROR(SUMIFS(Payments!$E$5:$E$504,Payments!$D$5:$D$504,A466,Payments!$C$5:$C$504,"Out"),"")</f>
        <v>0</v>
      </c>
      <c r="N466" s="9" t="n">
        <f aca="false">IFERROR(L466-M466,"")</f>
        <v>0</v>
      </c>
    </row>
    <row r="467" customFormat="false" ht="15" hidden="false" customHeight="false" outlineLevel="0" collapsed="false">
      <c r="A467" s="10"/>
      <c r="B467" s="12"/>
      <c r="C467" s="10"/>
      <c r="D467" s="14" t="str">
        <f aca="false">IFERROR(IF(C467="","",INDEX(Suppliers!$B$5:$B$504,MATCH(C467,Suppliers!$A$5:$A$504,0))),"")</f>
        <v/>
      </c>
      <c r="E467" s="10" t="s">
        <v>24</v>
      </c>
      <c r="F467" s="12"/>
      <c r="G467" s="12"/>
      <c r="H467" s="10"/>
      <c r="I467" s="10"/>
      <c r="J467" s="9" t="n">
        <f aca="false">IFERROR(SUMIFS(PurchaseOrderLines!$H$5:$H$504,PurchaseOrderLines!$B$5:$B$504,A467),"")</f>
        <v>0</v>
      </c>
      <c r="K467" s="9" t="n">
        <f aca="false">IFERROR(SUMIFS(PurchaseOrderLines!$I$5:$I$504,PurchaseOrderLines!$B$5:$B$504,A467),"")</f>
        <v>0</v>
      </c>
      <c r="L467" s="9" t="n">
        <f aca="false">IFERROR(J467+K467,"")</f>
        <v>0</v>
      </c>
      <c r="M467" s="9" t="n">
        <f aca="false">IFERROR(SUMIFS(Payments!$E$5:$E$504,Payments!$D$5:$D$504,A467,Payments!$C$5:$C$504,"Out"),"")</f>
        <v>0</v>
      </c>
      <c r="N467" s="9" t="n">
        <f aca="false">IFERROR(L467-M467,"")</f>
        <v>0</v>
      </c>
    </row>
    <row r="468" customFormat="false" ht="15" hidden="false" customHeight="false" outlineLevel="0" collapsed="false">
      <c r="A468" s="10"/>
      <c r="B468" s="12"/>
      <c r="C468" s="10"/>
      <c r="D468" s="14" t="str">
        <f aca="false">IFERROR(IF(C468="","",INDEX(Suppliers!$B$5:$B$504,MATCH(C468,Suppliers!$A$5:$A$504,0))),"")</f>
        <v/>
      </c>
      <c r="E468" s="10" t="s">
        <v>24</v>
      </c>
      <c r="F468" s="12"/>
      <c r="G468" s="12"/>
      <c r="H468" s="10"/>
      <c r="I468" s="10"/>
      <c r="J468" s="9" t="n">
        <f aca="false">IFERROR(SUMIFS(PurchaseOrderLines!$H$5:$H$504,PurchaseOrderLines!$B$5:$B$504,A468),"")</f>
        <v>0</v>
      </c>
      <c r="K468" s="9" t="n">
        <f aca="false">IFERROR(SUMIFS(PurchaseOrderLines!$I$5:$I$504,PurchaseOrderLines!$B$5:$B$504,A468),"")</f>
        <v>0</v>
      </c>
      <c r="L468" s="9" t="n">
        <f aca="false">IFERROR(J468+K468,"")</f>
        <v>0</v>
      </c>
      <c r="M468" s="9" t="n">
        <f aca="false">IFERROR(SUMIFS(Payments!$E$5:$E$504,Payments!$D$5:$D$504,A468,Payments!$C$5:$C$504,"Out"),"")</f>
        <v>0</v>
      </c>
      <c r="N468" s="9" t="n">
        <f aca="false">IFERROR(L468-M468,"")</f>
        <v>0</v>
      </c>
    </row>
    <row r="469" customFormat="false" ht="15" hidden="false" customHeight="false" outlineLevel="0" collapsed="false">
      <c r="A469" s="10"/>
      <c r="B469" s="12"/>
      <c r="C469" s="10"/>
      <c r="D469" s="14" t="str">
        <f aca="false">IFERROR(IF(C469="","",INDEX(Suppliers!$B$5:$B$504,MATCH(C469,Suppliers!$A$5:$A$504,0))),"")</f>
        <v/>
      </c>
      <c r="E469" s="10" t="s">
        <v>24</v>
      </c>
      <c r="F469" s="12"/>
      <c r="G469" s="12"/>
      <c r="H469" s="10"/>
      <c r="I469" s="10"/>
      <c r="J469" s="9" t="n">
        <f aca="false">IFERROR(SUMIFS(PurchaseOrderLines!$H$5:$H$504,PurchaseOrderLines!$B$5:$B$504,A469),"")</f>
        <v>0</v>
      </c>
      <c r="K469" s="9" t="n">
        <f aca="false">IFERROR(SUMIFS(PurchaseOrderLines!$I$5:$I$504,PurchaseOrderLines!$B$5:$B$504,A469),"")</f>
        <v>0</v>
      </c>
      <c r="L469" s="9" t="n">
        <f aca="false">IFERROR(J469+K469,"")</f>
        <v>0</v>
      </c>
      <c r="M469" s="9" t="n">
        <f aca="false">IFERROR(SUMIFS(Payments!$E$5:$E$504,Payments!$D$5:$D$504,A469,Payments!$C$5:$C$504,"Out"),"")</f>
        <v>0</v>
      </c>
      <c r="N469" s="9" t="n">
        <f aca="false">IFERROR(L469-M469,"")</f>
        <v>0</v>
      </c>
    </row>
    <row r="470" customFormat="false" ht="15" hidden="false" customHeight="false" outlineLevel="0" collapsed="false">
      <c r="A470" s="10"/>
      <c r="B470" s="12"/>
      <c r="C470" s="10"/>
      <c r="D470" s="14" t="str">
        <f aca="false">IFERROR(IF(C470="","",INDEX(Suppliers!$B$5:$B$504,MATCH(C470,Suppliers!$A$5:$A$504,0))),"")</f>
        <v/>
      </c>
      <c r="E470" s="10" t="s">
        <v>24</v>
      </c>
      <c r="F470" s="12"/>
      <c r="G470" s="12"/>
      <c r="H470" s="10"/>
      <c r="I470" s="10"/>
      <c r="J470" s="9" t="n">
        <f aca="false">IFERROR(SUMIFS(PurchaseOrderLines!$H$5:$H$504,PurchaseOrderLines!$B$5:$B$504,A470),"")</f>
        <v>0</v>
      </c>
      <c r="K470" s="9" t="n">
        <f aca="false">IFERROR(SUMIFS(PurchaseOrderLines!$I$5:$I$504,PurchaseOrderLines!$B$5:$B$504,A470),"")</f>
        <v>0</v>
      </c>
      <c r="L470" s="9" t="n">
        <f aca="false">IFERROR(J470+K470,"")</f>
        <v>0</v>
      </c>
      <c r="M470" s="9" t="n">
        <f aca="false">IFERROR(SUMIFS(Payments!$E$5:$E$504,Payments!$D$5:$D$504,A470,Payments!$C$5:$C$504,"Out"),"")</f>
        <v>0</v>
      </c>
      <c r="N470" s="9" t="n">
        <f aca="false">IFERROR(L470-M470,"")</f>
        <v>0</v>
      </c>
    </row>
    <row r="471" customFormat="false" ht="15" hidden="false" customHeight="false" outlineLevel="0" collapsed="false">
      <c r="A471" s="10"/>
      <c r="B471" s="12"/>
      <c r="C471" s="10"/>
      <c r="D471" s="14" t="str">
        <f aca="false">IFERROR(IF(C471="","",INDEX(Suppliers!$B$5:$B$504,MATCH(C471,Suppliers!$A$5:$A$504,0))),"")</f>
        <v/>
      </c>
      <c r="E471" s="10" t="s">
        <v>24</v>
      </c>
      <c r="F471" s="12"/>
      <c r="G471" s="12"/>
      <c r="H471" s="10"/>
      <c r="I471" s="10"/>
      <c r="J471" s="9" t="n">
        <f aca="false">IFERROR(SUMIFS(PurchaseOrderLines!$H$5:$H$504,PurchaseOrderLines!$B$5:$B$504,A471),"")</f>
        <v>0</v>
      </c>
      <c r="K471" s="9" t="n">
        <f aca="false">IFERROR(SUMIFS(PurchaseOrderLines!$I$5:$I$504,PurchaseOrderLines!$B$5:$B$504,A471),"")</f>
        <v>0</v>
      </c>
      <c r="L471" s="9" t="n">
        <f aca="false">IFERROR(J471+K471,"")</f>
        <v>0</v>
      </c>
      <c r="M471" s="9" t="n">
        <f aca="false">IFERROR(SUMIFS(Payments!$E$5:$E$504,Payments!$D$5:$D$504,A471,Payments!$C$5:$C$504,"Out"),"")</f>
        <v>0</v>
      </c>
      <c r="N471" s="9" t="n">
        <f aca="false">IFERROR(L471-M471,"")</f>
        <v>0</v>
      </c>
    </row>
    <row r="472" customFormat="false" ht="15" hidden="false" customHeight="false" outlineLevel="0" collapsed="false">
      <c r="A472" s="10"/>
      <c r="B472" s="12"/>
      <c r="C472" s="10"/>
      <c r="D472" s="14" t="str">
        <f aca="false">IFERROR(IF(C472="","",INDEX(Suppliers!$B$5:$B$504,MATCH(C472,Suppliers!$A$5:$A$504,0))),"")</f>
        <v/>
      </c>
      <c r="E472" s="10" t="s">
        <v>24</v>
      </c>
      <c r="F472" s="12"/>
      <c r="G472" s="12"/>
      <c r="H472" s="10"/>
      <c r="I472" s="10"/>
      <c r="J472" s="9" t="n">
        <f aca="false">IFERROR(SUMIFS(PurchaseOrderLines!$H$5:$H$504,PurchaseOrderLines!$B$5:$B$504,A472),"")</f>
        <v>0</v>
      </c>
      <c r="K472" s="9" t="n">
        <f aca="false">IFERROR(SUMIFS(PurchaseOrderLines!$I$5:$I$504,PurchaseOrderLines!$B$5:$B$504,A472),"")</f>
        <v>0</v>
      </c>
      <c r="L472" s="9" t="n">
        <f aca="false">IFERROR(J472+K472,"")</f>
        <v>0</v>
      </c>
      <c r="M472" s="9" t="n">
        <f aca="false">IFERROR(SUMIFS(Payments!$E$5:$E$504,Payments!$D$5:$D$504,A472,Payments!$C$5:$C$504,"Out"),"")</f>
        <v>0</v>
      </c>
      <c r="N472" s="9" t="n">
        <f aca="false">IFERROR(L472-M472,"")</f>
        <v>0</v>
      </c>
    </row>
    <row r="473" customFormat="false" ht="15" hidden="false" customHeight="false" outlineLevel="0" collapsed="false">
      <c r="A473" s="10"/>
      <c r="B473" s="12"/>
      <c r="C473" s="10"/>
      <c r="D473" s="14" t="str">
        <f aca="false">IFERROR(IF(C473="","",INDEX(Suppliers!$B$5:$B$504,MATCH(C473,Suppliers!$A$5:$A$504,0))),"")</f>
        <v/>
      </c>
      <c r="E473" s="10" t="s">
        <v>24</v>
      </c>
      <c r="F473" s="12"/>
      <c r="G473" s="12"/>
      <c r="H473" s="10"/>
      <c r="I473" s="10"/>
      <c r="J473" s="9" t="n">
        <f aca="false">IFERROR(SUMIFS(PurchaseOrderLines!$H$5:$H$504,PurchaseOrderLines!$B$5:$B$504,A473),"")</f>
        <v>0</v>
      </c>
      <c r="K473" s="9" t="n">
        <f aca="false">IFERROR(SUMIFS(PurchaseOrderLines!$I$5:$I$504,PurchaseOrderLines!$B$5:$B$504,A473),"")</f>
        <v>0</v>
      </c>
      <c r="L473" s="9" t="n">
        <f aca="false">IFERROR(J473+K473,"")</f>
        <v>0</v>
      </c>
      <c r="M473" s="9" t="n">
        <f aca="false">IFERROR(SUMIFS(Payments!$E$5:$E$504,Payments!$D$5:$D$504,A473,Payments!$C$5:$C$504,"Out"),"")</f>
        <v>0</v>
      </c>
      <c r="N473" s="9" t="n">
        <f aca="false">IFERROR(L473-M473,"")</f>
        <v>0</v>
      </c>
    </row>
    <row r="474" customFormat="false" ht="15" hidden="false" customHeight="false" outlineLevel="0" collapsed="false">
      <c r="A474" s="10"/>
      <c r="B474" s="12"/>
      <c r="C474" s="10"/>
      <c r="D474" s="14" t="str">
        <f aca="false">IFERROR(IF(C474="","",INDEX(Suppliers!$B$5:$B$504,MATCH(C474,Suppliers!$A$5:$A$504,0))),"")</f>
        <v/>
      </c>
      <c r="E474" s="10" t="s">
        <v>24</v>
      </c>
      <c r="F474" s="12"/>
      <c r="G474" s="12"/>
      <c r="H474" s="10"/>
      <c r="I474" s="10"/>
      <c r="J474" s="9" t="n">
        <f aca="false">IFERROR(SUMIFS(PurchaseOrderLines!$H$5:$H$504,PurchaseOrderLines!$B$5:$B$504,A474),"")</f>
        <v>0</v>
      </c>
      <c r="K474" s="9" t="n">
        <f aca="false">IFERROR(SUMIFS(PurchaseOrderLines!$I$5:$I$504,PurchaseOrderLines!$B$5:$B$504,A474),"")</f>
        <v>0</v>
      </c>
      <c r="L474" s="9" t="n">
        <f aca="false">IFERROR(J474+K474,"")</f>
        <v>0</v>
      </c>
      <c r="M474" s="9" t="n">
        <f aca="false">IFERROR(SUMIFS(Payments!$E$5:$E$504,Payments!$D$5:$D$504,A474,Payments!$C$5:$C$504,"Out"),"")</f>
        <v>0</v>
      </c>
      <c r="N474" s="9" t="n">
        <f aca="false">IFERROR(L474-M474,"")</f>
        <v>0</v>
      </c>
    </row>
    <row r="475" customFormat="false" ht="15" hidden="false" customHeight="false" outlineLevel="0" collapsed="false">
      <c r="A475" s="10"/>
      <c r="B475" s="12"/>
      <c r="C475" s="10"/>
      <c r="D475" s="14" t="str">
        <f aca="false">IFERROR(IF(C475="","",INDEX(Suppliers!$B$5:$B$504,MATCH(C475,Suppliers!$A$5:$A$504,0))),"")</f>
        <v/>
      </c>
      <c r="E475" s="10" t="s">
        <v>24</v>
      </c>
      <c r="F475" s="12"/>
      <c r="G475" s="12"/>
      <c r="H475" s="10"/>
      <c r="I475" s="10"/>
      <c r="J475" s="9" t="n">
        <f aca="false">IFERROR(SUMIFS(PurchaseOrderLines!$H$5:$H$504,PurchaseOrderLines!$B$5:$B$504,A475),"")</f>
        <v>0</v>
      </c>
      <c r="K475" s="9" t="n">
        <f aca="false">IFERROR(SUMIFS(PurchaseOrderLines!$I$5:$I$504,PurchaseOrderLines!$B$5:$B$504,A475),"")</f>
        <v>0</v>
      </c>
      <c r="L475" s="9" t="n">
        <f aca="false">IFERROR(J475+K475,"")</f>
        <v>0</v>
      </c>
      <c r="M475" s="9" t="n">
        <f aca="false">IFERROR(SUMIFS(Payments!$E$5:$E$504,Payments!$D$5:$D$504,A475,Payments!$C$5:$C$504,"Out"),"")</f>
        <v>0</v>
      </c>
      <c r="N475" s="9" t="n">
        <f aca="false">IFERROR(L475-M475,"")</f>
        <v>0</v>
      </c>
    </row>
    <row r="476" customFormat="false" ht="15" hidden="false" customHeight="false" outlineLevel="0" collapsed="false">
      <c r="A476" s="10"/>
      <c r="B476" s="12"/>
      <c r="C476" s="10"/>
      <c r="D476" s="14" t="str">
        <f aca="false">IFERROR(IF(C476="","",INDEX(Suppliers!$B$5:$B$504,MATCH(C476,Suppliers!$A$5:$A$504,0))),"")</f>
        <v/>
      </c>
      <c r="E476" s="10" t="s">
        <v>24</v>
      </c>
      <c r="F476" s="12"/>
      <c r="G476" s="12"/>
      <c r="H476" s="10"/>
      <c r="I476" s="10"/>
      <c r="J476" s="9" t="n">
        <f aca="false">IFERROR(SUMIFS(PurchaseOrderLines!$H$5:$H$504,PurchaseOrderLines!$B$5:$B$504,A476),"")</f>
        <v>0</v>
      </c>
      <c r="K476" s="9" t="n">
        <f aca="false">IFERROR(SUMIFS(PurchaseOrderLines!$I$5:$I$504,PurchaseOrderLines!$B$5:$B$504,A476),"")</f>
        <v>0</v>
      </c>
      <c r="L476" s="9" t="n">
        <f aca="false">IFERROR(J476+K476,"")</f>
        <v>0</v>
      </c>
      <c r="M476" s="9" t="n">
        <f aca="false">IFERROR(SUMIFS(Payments!$E$5:$E$504,Payments!$D$5:$D$504,A476,Payments!$C$5:$C$504,"Out"),"")</f>
        <v>0</v>
      </c>
      <c r="N476" s="9" t="n">
        <f aca="false">IFERROR(L476-M476,"")</f>
        <v>0</v>
      </c>
    </row>
    <row r="477" customFormat="false" ht="15" hidden="false" customHeight="false" outlineLevel="0" collapsed="false">
      <c r="A477" s="10"/>
      <c r="B477" s="12"/>
      <c r="C477" s="10"/>
      <c r="D477" s="14" t="str">
        <f aca="false">IFERROR(IF(C477="","",INDEX(Suppliers!$B$5:$B$504,MATCH(C477,Suppliers!$A$5:$A$504,0))),"")</f>
        <v/>
      </c>
      <c r="E477" s="10" t="s">
        <v>24</v>
      </c>
      <c r="F477" s="12"/>
      <c r="G477" s="12"/>
      <c r="H477" s="10"/>
      <c r="I477" s="10"/>
      <c r="J477" s="9" t="n">
        <f aca="false">IFERROR(SUMIFS(PurchaseOrderLines!$H$5:$H$504,PurchaseOrderLines!$B$5:$B$504,A477),"")</f>
        <v>0</v>
      </c>
      <c r="K477" s="9" t="n">
        <f aca="false">IFERROR(SUMIFS(PurchaseOrderLines!$I$5:$I$504,PurchaseOrderLines!$B$5:$B$504,A477),"")</f>
        <v>0</v>
      </c>
      <c r="L477" s="9" t="n">
        <f aca="false">IFERROR(J477+K477,"")</f>
        <v>0</v>
      </c>
      <c r="M477" s="9" t="n">
        <f aca="false">IFERROR(SUMIFS(Payments!$E$5:$E$504,Payments!$D$5:$D$504,A477,Payments!$C$5:$C$504,"Out"),"")</f>
        <v>0</v>
      </c>
      <c r="N477" s="9" t="n">
        <f aca="false">IFERROR(L477-M477,"")</f>
        <v>0</v>
      </c>
    </row>
    <row r="478" customFormat="false" ht="15" hidden="false" customHeight="false" outlineLevel="0" collapsed="false">
      <c r="A478" s="10"/>
      <c r="B478" s="12"/>
      <c r="C478" s="10"/>
      <c r="D478" s="14" t="str">
        <f aca="false">IFERROR(IF(C478="","",INDEX(Suppliers!$B$5:$B$504,MATCH(C478,Suppliers!$A$5:$A$504,0))),"")</f>
        <v/>
      </c>
      <c r="E478" s="10" t="s">
        <v>24</v>
      </c>
      <c r="F478" s="12"/>
      <c r="G478" s="12"/>
      <c r="H478" s="10"/>
      <c r="I478" s="10"/>
      <c r="J478" s="9" t="n">
        <f aca="false">IFERROR(SUMIFS(PurchaseOrderLines!$H$5:$H$504,PurchaseOrderLines!$B$5:$B$504,A478),"")</f>
        <v>0</v>
      </c>
      <c r="K478" s="9" t="n">
        <f aca="false">IFERROR(SUMIFS(PurchaseOrderLines!$I$5:$I$504,PurchaseOrderLines!$B$5:$B$504,A478),"")</f>
        <v>0</v>
      </c>
      <c r="L478" s="9" t="n">
        <f aca="false">IFERROR(J478+K478,"")</f>
        <v>0</v>
      </c>
      <c r="M478" s="9" t="n">
        <f aca="false">IFERROR(SUMIFS(Payments!$E$5:$E$504,Payments!$D$5:$D$504,A478,Payments!$C$5:$C$504,"Out"),"")</f>
        <v>0</v>
      </c>
      <c r="N478" s="9" t="n">
        <f aca="false">IFERROR(L478-M478,"")</f>
        <v>0</v>
      </c>
    </row>
    <row r="479" customFormat="false" ht="15" hidden="false" customHeight="false" outlineLevel="0" collapsed="false">
      <c r="A479" s="10"/>
      <c r="B479" s="12"/>
      <c r="C479" s="10"/>
      <c r="D479" s="14" t="str">
        <f aca="false">IFERROR(IF(C479="","",INDEX(Suppliers!$B$5:$B$504,MATCH(C479,Suppliers!$A$5:$A$504,0))),"")</f>
        <v/>
      </c>
      <c r="E479" s="10" t="s">
        <v>24</v>
      </c>
      <c r="F479" s="12"/>
      <c r="G479" s="12"/>
      <c r="H479" s="10"/>
      <c r="I479" s="10"/>
      <c r="J479" s="9" t="n">
        <f aca="false">IFERROR(SUMIFS(PurchaseOrderLines!$H$5:$H$504,PurchaseOrderLines!$B$5:$B$504,A479),"")</f>
        <v>0</v>
      </c>
      <c r="K479" s="9" t="n">
        <f aca="false">IFERROR(SUMIFS(PurchaseOrderLines!$I$5:$I$504,PurchaseOrderLines!$B$5:$B$504,A479),"")</f>
        <v>0</v>
      </c>
      <c r="L479" s="9" t="n">
        <f aca="false">IFERROR(J479+K479,"")</f>
        <v>0</v>
      </c>
      <c r="M479" s="9" t="n">
        <f aca="false">IFERROR(SUMIFS(Payments!$E$5:$E$504,Payments!$D$5:$D$504,A479,Payments!$C$5:$C$504,"Out"),"")</f>
        <v>0</v>
      </c>
      <c r="N479" s="9" t="n">
        <f aca="false">IFERROR(L479-M479,"")</f>
        <v>0</v>
      </c>
    </row>
    <row r="480" customFormat="false" ht="15" hidden="false" customHeight="false" outlineLevel="0" collapsed="false">
      <c r="A480" s="10"/>
      <c r="B480" s="12"/>
      <c r="C480" s="10"/>
      <c r="D480" s="14" t="str">
        <f aca="false">IFERROR(IF(C480="","",INDEX(Suppliers!$B$5:$B$504,MATCH(C480,Suppliers!$A$5:$A$504,0))),"")</f>
        <v/>
      </c>
      <c r="E480" s="10" t="s">
        <v>24</v>
      </c>
      <c r="F480" s="12"/>
      <c r="G480" s="12"/>
      <c r="H480" s="10"/>
      <c r="I480" s="10"/>
      <c r="J480" s="9" t="n">
        <f aca="false">IFERROR(SUMIFS(PurchaseOrderLines!$H$5:$H$504,PurchaseOrderLines!$B$5:$B$504,A480),"")</f>
        <v>0</v>
      </c>
      <c r="K480" s="9" t="n">
        <f aca="false">IFERROR(SUMIFS(PurchaseOrderLines!$I$5:$I$504,PurchaseOrderLines!$B$5:$B$504,A480),"")</f>
        <v>0</v>
      </c>
      <c r="L480" s="9" t="n">
        <f aca="false">IFERROR(J480+K480,"")</f>
        <v>0</v>
      </c>
      <c r="M480" s="9" t="n">
        <f aca="false">IFERROR(SUMIFS(Payments!$E$5:$E$504,Payments!$D$5:$D$504,A480,Payments!$C$5:$C$504,"Out"),"")</f>
        <v>0</v>
      </c>
      <c r="N480" s="9" t="n">
        <f aca="false">IFERROR(L480-M480,"")</f>
        <v>0</v>
      </c>
    </row>
    <row r="481" customFormat="false" ht="15" hidden="false" customHeight="false" outlineLevel="0" collapsed="false">
      <c r="A481" s="10"/>
      <c r="B481" s="12"/>
      <c r="C481" s="10"/>
      <c r="D481" s="14" t="str">
        <f aca="false">IFERROR(IF(C481="","",INDEX(Suppliers!$B$5:$B$504,MATCH(C481,Suppliers!$A$5:$A$504,0))),"")</f>
        <v/>
      </c>
      <c r="E481" s="10" t="s">
        <v>24</v>
      </c>
      <c r="F481" s="12"/>
      <c r="G481" s="12"/>
      <c r="H481" s="10"/>
      <c r="I481" s="10"/>
      <c r="J481" s="9" t="n">
        <f aca="false">IFERROR(SUMIFS(PurchaseOrderLines!$H$5:$H$504,PurchaseOrderLines!$B$5:$B$504,A481),"")</f>
        <v>0</v>
      </c>
      <c r="K481" s="9" t="n">
        <f aca="false">IFERROR(SUMIFS(PurchaseOrderLines!$I$5:$I$504,PurchaseOrderLines!$B$5:$B$504,A481),"")</f>
        <v>0</v>
      </c>
      <c r="L481" s="9" t="n">
        <f aca="false">IFERROR(J481+K481,"")</f>
        <v>0</v>
      </c>
      <c r="M481" s="9" t="n">
        <f aca="false">IFERROR(SUMIFS(Payments!$E$5:$E$504,Payments!$D$5:$D$504,A481,Payments!$C$5:$C$504,"Out"),"")</f>
        <v>0</v>
      </c>
      <c r="N481" s="9" t="n">
        <f aca="false">IFERROR(L481-M481,"")</f>
        <v>0</v>
      </c>
    </row>
    <row r="482" customFormat="false" ht="15" hidden="false" customHeight="false" outlineLevel="0" collapsed="false">
      <c r="A482" s="10"/>
      <c r="B482" s="12"/>
      <c r="C482" s="10"/>
      <c r="D482" s="14" t="str">
        <f aca="false">IFERROR(IF(C482="","",INDEX(Suppliers!$B$5:$B$504,MATCH(C482,Suppliers!$A$5:$A$504,0))),"")</f>
        <v/>
      </c>
      <c r="E482" s="10" t="s">
        <v>24</v>
      </c>
      <c r="F482" s="12"/>
      <c r="G482" s="12"/>
      <c r="H482" s="10"/>
      <c r="I482" s="10"/>
      <c r="J482" s="9" t="n">
        <f aca="false">IFERROR(SUMIFS(PurchaseOrderLines!$H$5:$H$504,PurchaseOrderLines!$B$5:$B$504,A482),"")</f>
        <v>0</v>
      </c>
      <c r="K482" s="9" t="n">
        <f aca="false">IFERROR(SUMIFS(PurchaseOrderLines!$I$5:$I$504,PurchaseOrderLines!$B$5:$B$504,A482),"")</f>
        <v>0</v>
      </c>
      <c r="L482" s="9" t="n">
        <f aca="false">IFERROR(J482+K482,"")</f>
        <v>0</v>
      </c>
      <c r="M482" s="9" t="n">
        <f aca="false">IFERROR(SUMIFS(Payments!$E$5:$E$504,Payments!$D$5:$D$504,A482,Payments!$C$5:$C$504,"Out"),"")</f>
        <v>0</v>
      </c>
      <c r="N482" s="9" t="n">
        <f aca="false">IFERROR(L482-M482,"")</f>
        <v>0</v>
      </c>
    </row>
    <row r="483" customFormat="false" ht="15" hidden="false" customHeight="false" outlineLevel="0" collapsed="false">
      <c r="A483" s="10"/>
      <c r="B483" s="12"/>
      <c r="C483" s="10"/>
      <c r="D483" s="14" t="str">
        <f aca="false">IFERROR(IF(C483="","",INDEX(Suppliers!$B$5:$B$504,MATCH(C483,Suppliers!$A$5:$A$504,0))),"")</f>
        <v/>
      </c>
      <c r="E483" s="10" t="s">
        <v>24</v>
      </c>
      <c r="F483" s="12"/>
      <c r="G483" s="12"/>
      <c r="H483" s="10"/>
      <c r="I483" s="10"/>
      <c r="J483" s="9" t="n">
        <f aca="false">IFERROR(SUMIFS(PurchaseOrderLines!$H$5:$H$504,PurchaseOrderLines!$B$5:$B$504,A483),"")</f>
        <v>0</v>
      </c>
      <c r="K483" s="9" t="n">
        <f aca="false">IFERROR(SUMIFS(PurchaseOrderLines!$I$5:$I$504,PurchaseOrderLines!$B$5:$B$504,A483),"")</f>
        <v>0</v>
      </c>
      <c r="L483" s="9" t="n">
        <f aca="false">IFERROR(J483+K483,"")</f>
        <v>0</v>
      </c>
      <c r="M483" s="9" t="n">
        <f aca="false">IFERROR(SUMIFS(Payments!$E$5:$E$504,Payments!$D$5:$D$504,A483,Payments!$C$5:$C$504,"Out"),"")</f>
        <v>0</v>
      </c>
      <c r="N483" s="9" t="n">
        <f aca="false">IFERROR(L483-M483,"")</f>
        <v>0</v>
      </c>
    </row>
    <row r="484" customFormat="false" ht="15" hidden="false" customHeight="false" outlineLevel="0" collapsed="false">
      <c r="A484" s="10"/>
      <c r="B484" s="12"/>
      <c r="C484" s="10"/>
      <c r="D484" s="14" t="str">
        <f aca="false">IFERROR(IF(C484="","",INDEX(Suppliers!$B$5:$B$504,MATCH(C484,Suppliers!$A$5:$A$504,0))),"")</f>
        <v/>
      </c>
      <c r="E484" s="10" t="s">
        <v>24</v>
      </c>
      <c r="F484" s="12"/>
      <c r="G484" s="12"/>
      <c r="H484" s="10"/>
      <c r="I484" s="10"/>
      <c r="J484" s="9" t="n">
        <f aca="false">IFERROR(SUMIFS(PurchaseOrderLines!$H$5:$H$504,PurchaseOrderLines!$B$5:$B$504,A484),"")</f>
        <v>0</v>
      </c>
      <c r="K484" s="9" t="n">
        <f aca="false">IFERROR(SUMIFS(PurchaseOrderLines!$I$5:$I$504,PurchaseOrderLines!$B$5:$B$504,A484),"")</f>
        <v>0</v>
      </c>
      <c r="L484" s="9" t="n">
        <f aca="false">IFERROR(J484+K484,"")</f>
        <v>0</v>
      </c>
      <c r="M484" s="9" t="n">
        <f aca="false">IFERROR(SUMIFS(Payments!$E$5:$E$504,Payments!$D$5:$D$504,A484,Payments!$C$5:$C$504,"Out"),"")</f>
        <v>0</v>
      </c>
      <c r="N484" s="9" t="n">
        <f aca="false">IFERROR(L484-M484,"")</f>
        <v>0</v>
      </c>
    </row>
    <row r="485" customFormat="false" ht="15" hidden="false" customHeight="false" outlineLevel="0" collapsed="false">
      <c r="A485" s="10"/>
      <c r="B485" s="12"/>
      <c r="C485" s="10"/>
      <c r="D485" s="14" t="str">
        <f aca="false">IFERROR(IF(C485="","",INDEX(Suppliers!$B$5:$B$504,MATCH(C485,Suppliers!$A$5:$A$504,0))),"")</f>
        <v/>
      </c>
      <c r="E485" s="10" t="s">
        <v>24</v>
      </c>
      <c r="F485" s="12"/>
      <c r="G485" s="12"/>
      <c r="H485" s="10"/>
      <c r="I485" s="10"/>
      <c r="J485" s="9" t="n">
        <f aca="false">IFERROR(SUMIFS(PurchaseOrderLines!$H$5:$H$504,PurchaseOrderLines!$B$5:$B$504,A485),"")</f>
        <v>0</v>
      </c>
      <c r="K485" s="9" t="n">
        <f aca="false">IFERROR(SUMIFS(PurchaseOrderLines!$I$5:$I$504,PurchaseOrderLines!$B$5:$B$504,A485),"")</f>
        <v>0</v>
      </c>
      <c r="L485" s="9" t="n">
        <f aca="false">IFERROR(J485+K485,"")</f>
        <v>0</v>
      </c>
      <c r="M485" s="9" t="n">
        <f aca="false">IFERROR(SUMIFS(Payments!$E$5:$E$504,Payments!$D$5:$D$504,A485,Payments!$C$5:$C$504,"Out"),"")</f>
        <v>0</v>
      </c>
      <c r="N485" s="9" t="n">
        <f aca="false">IFERROR(L485-M485,"")</f>
        <v>0</v>
      </c>
    </row>
    <row r="486" customFormat="false" ht="15" hidden="false" customHeight="false" outlineLevel="0" collapsed="false">
      <c r="A486" s="10"/>
      <c r="B486" s="12"/>
      <c r="C486" s="10"/>
      <c r="D486" s="14" t="str">
        <f aca="false">IFERROR(IF(C486="","",INDEX(Suppliers!$B$5:$B$504,MATCH(C486,Suppliers!$A$5:$A$504,0))),"")</f>
        <v/>
      </c>
      <c r="E486" s="10" t="s">
        <v>24</v>
      </c>
      <c r="F486" s="12"/>
      <c r="G486" s="12"/>
      <c r="H486" s="10"/>
      <c r="I486" s="10"/>
      <c r="J486" s="9" t="n">
        <f aca="false">IFERROR(SUMIFS(PurchaseOrderLines!$H$5:$H$504,PurchaseOrderLines!$B$5:$B$504,A486),"")</f>
        <v>0</v>
      </c>
      <c r="K486" s="9" t="n">
        <f aca="false">IFERROR(SUMIFS(PurchaseOrderLines!$I$5:$I$504,PurchaseOrderLines!$B$5:$B$504,A486),"")</f>
        <v>0</v>
      </c>
      <c r="L486" s="9" t="n">
        <f aca="false">IFERROR(J486+K486,"")</f>
        <v>0</v>
      </c>
      <c r="M486" s="9" t="n">
        <f aca="false">IFERROR(SUMIFS(Payments!$E$5:$E$504,Payments!$D$5:$D$504,A486,Payments!$C$5:$C$504,"Out"),"")</f>
        <v>0</v>
      </c>
      <c r="N486" s="9" t="n">
        <f aca="false">IFERROR(L486-M486,"")</f>
        <v>0</v>
      </c>
    </row>
    <row r="487" customFormat="false" ht="15" hidden="false" customHeight="false" outlineLevel="0" collapsed="false">
      <c r="A487" s="10"/>
      <c r="B487" s="12"/>
      <c r="C487" s="10"/>
      <c r="D487" s="14" t="str">
        <f aca="false">IFERROR(IF(C487="","",INDEX(Suppliers!$B$5:$B$504,MATCH(C487,Suppliers!$A$5:$A$504,0))),"")</f>
        <v/>
      </c>
      <c r="E487" s="10" t="s">
        <v>24</v>
      </c>
      <c r="F487" s="12"/>
      <c r="G487" s="12"/>
      <c r="H487" s="10"/>
      <c r="I487" s="10"/>
      <c r="J487" s="9" t="n">
        <f aca="false">IFERROR(SUMIFS(PurchaseOrderLines!$H$5:$H$504,PurchaseOrderLines!$B$5:$B$504,A487),"")</f>
        <v>0</v>
      </c>
      <c r="K487" s="9" t="n">
        <f aca="false">IFERROR(SUMIFS(PurchaseOrderLines!$I$5:$I$504,PurchaseOrderLines!$B$5:$B$504,A487),"")</f>
        <v>0</v>
      </c>
      <c r="L487" s="9" t="n">
        <f aca="false">IFERROR(J487+K487,"")</f>
        <v>0</v>
      </c>
      <c r="M487" s="9" t="n">
        <f aca="false">IFERROR(SUMIFS(Payments!$E$5:$E$504,Payments!$D$5:$D$504,A487,Payments!$C$5:$C$504,"Out"),"")</f>
        <v>0</v>
      </c>
      <c r="N487" s="9" t="n">
        <f aca="false">IFERROR(L487-M487,"")</f>
        <v>0</v>
      </c>
    </row>
    <row r="488" customFormat="false" ht="15" hidden="false" customHeight="false" outlineLevel="0" collapsed="false">
      <c r="A488" s="10"/>
      <c r="B488" s="12"/>
      <c r="C488" s="10"/>
      <c r="D488" s="14" t="str">
        <f aca="false">IFERROR(IF(C488="","",INDEX(Suppliers!$B$5:$B$504,MATCH(C488,Suppliers!$A$5:$A$504,0))),"")</f>
        <v/>
      </c>
      <c r="E488" s="10" t="s">
        <v>24</v>
      </c>
      <c r="F488" s="12"/>
      <c r="G488" s="12"/>
      <c r="H488" s="10"/>
      <c r="I488" s="10"/>
      <c r="J488" s="9" t="n">
        <f aca="false">IFERROR(SUMIFS(PurchaseOrderLines!$H$5:$H$504,PurchaseOrderLines!$B$5:$B$504,A488),"")</f>
        <v>0</v>
      </c>
      <c r="K488" s="9" t="n">
        <f aca="false">IFERROR(SUMIFS(PurchaseOrderLines!$I$5:$I$504,PurchaseOrderLines!$B$5:$B$504,A488),"")</f>
        <v>0</v>
      </c>
      <c r="L488" s="9" t="n">
        <f aca="false">IFERROR(J488+K488,"")</f>
        <v>0</v>
      </c>
      <c r="M488" s="9" t="n">
        <f aca="false">IFERROR(SUMIFS(Payments!$E$5:$E$504,Payments!$D$5:$D$504,A488,Payments!$C$5:$C$504,"Out"),"")</f>
        <v>0</v>
      </c>
      <c r="N488" s="9" t="n">
        <f aca="false">IFERROR(L488-M488,"")</f>
        <v>0</v>
      </c>
    </row>
    <row r="489" customFormat="false" ht="15" hidden="false" customHeight="false" outlineLevel="0" collapsed="false">
      <c r="A489" s="10"/>
      <c r="B489" s="12"/>
      <c r="C489" s="10"/>
      <c r="D489" s="14" t="str">
        <f aca="false">IFERROR(IF(C489="","",INDEX(Suppliers!$B$5:$B$504,MATCH(C489,Suppliers!$A$5:$A$504,0))),"")</f>
        <v/>
      </c>
      <c r="E489" s="10" t="s">
        <v>24</v>
      </c>
      <c r="F489" s="12"/>
      <c r="G489" s="12"/>
      <c r="H489" s="10"/>
      <c r="I489" s="10"/>
      <c r="J489" s="9" t="n">
        <f aca="false">IFERROR(SUMIFS(PurchaseOrderLines!$H$5:$H$504,PurchaseOrderLines!$B$5:$B$504,A489),"")</f>
        <v>0</v>
      </c>
      <c r="K489" s="9" t="n">
        <f aca="false">IFERROR(SUMIFS(PurchaseOrderLines!$I$5:$I$504,PurchaseOrderLines!$B$5:$B$504,A489),"")</f>
        <v>0</v>
      </c>
      <c r="L489" s="9" t="n">
        <f aca="false">IFERROR(J489+K489,"")</f>
        <v>0</v>
      </c>
      <c r="M489" s="9" t="n">
        <f aca="false">IFERROR(SUMIFS(Payments!$E$5:$E$504,Payments!$D$5:$D$504,A489,Payments!$C$5:$C$504,"Out"),"")</f>
        <v>0</v>
      </c>
      <c r="N489" s="9" t="n">
        <f aca="false">IFERROR(L489-M489,"")</f>
        <v>0</v>
      </c>
    </row>
    <row r="490" customFormat="false" ht="15" hidden="false" customHeight="false" outlineLevel="0" collapsed="false">
      <c r="A490" s="10"/>
      <c r="B490" s="12"/>
      <c r="C490" s="10"/>
      <c r="D490" s="14" t="str">
        <f aca="false">IFERROR(IF(C490="","",INDEX(Suppliers!$B$5:$B$504,MATCH(C490,Suppliers!$A$5:$A$504,0))),"")</f>
        <v/>
      </c>
      <c r="E490" s="10" t="s">
        <v>24</v>
      </c>
      <c r="F490" s="12"/>
      <c r="G490" s="12"/>
      <c r="H490" s="10"/>
      <c r="I490" s="10"/>
      <c r="J490" s="9" t="n">
        <f aca="false">IFERROR(SUMIFS(PurchaseOrderLines!$H$5:$H$504,PurchaseOrderLines!$B$5:$B$504,A490),"")</f>
        <v>0</v>
      </c>
      <c r="K490" s="9" t="n">
        <f aca="false">IFERROR(SUMIFS(PurchaseOrderLines!$I$5:$I$504,PurchaseOrderLines!$B$5:$B$504,A490),"")</f>
        <v>0</v>
      </c>
      <c r="L490" s="9" t="n">
        <f aca="false">IFERROR(J490+K490,"")</f>
        <v>0</v>
      </c>
      <c r="M490" s="9" t="n">
        <f aca="false">IFERROR(SUMIFS(Payments!$E$5:$E$504,Payments!$D$5:$D$504,A490,Payments!$C$5:$C$504,"Out"),"")</f>
        <v>0</v>
      </c>
      <c r="N490" s="9" t="n">
        <f aca="false">IFERROR(L490-M490,"")</f>
        <v>0</v>
      </c>
    </row>
    <row r="491" customFormat="false" ht="15" hidden="false" customHeight="false" outlineLevel="0" collapsed="false">
      <c r="A491" s="10"/>
      <c r="B491" s="12"/>
      <c r="C491" s="10"/>
      <c r="D491" s="14" t="str">
        <f aca="false">IFERROR(IF(C491="","",INDEX(Suppliers!$B$5:$B$504,MATCH(C491,Suppliers!$A$5:$A$504,0))),"")</f>
        <v/>
      </c>
      <c r="E491" s="10" t="s">
        <v>24</v>
      </c>
      <c r="F491" s="12"/>
      <c r="G491" s="12"/>
      <c r="H491" s="10"/>
      <c r="I491" s="10"/>
      <c r="J491" s="9" t="n">
        <f aca="false">IFERROR(SUMIFS(PurchaseOrderLines!$H$5:$H$504,PurchaseOrderLines!$B$5:$B$504,A491),"")</f>
        <v>0</v>
      </c>
      <c r="K491" s="9" t="n">
        <f aca="false">IFERROR(SUMIFS(PurchaseOrderLines!$I$5:$I$504,PurchaseOrderLines!$B$5:$B$504,A491),"")</f>
        <v>0</v>
      </c>
      <c r="L491" s="9" t="n">
        <f aca="false">IFERROR(J491+K491,"")</f>
        <v>0</v>
      </c>
      <c r="M491" s="9" t="n">
        <f aca="false">IFERROR(SUMIFS(Payments!$E$5:$E$504,Payments!$D$5:$D$504,A491,Payments!$C$5:$C$504,"Out"),"")</f>
        <v>0</v>
      </c>
      <c r="N491" s="9" t="n">
        <f aca="false">IFERROR(L491-M491,"")</f>
        <v>0</v>
      </c>
    </row>
    <row r="492" customFormat="false" ht="15" hidden="false" customHeight="false" outlineLevel="0" collapsed="false">
      <c r="A492" s="10"/>
      <c r="B492" s="12"/>
      <c r="C492" s="10"/>
      <c r="D492" s="14" t="str">
        <f aca="false">IFERROR(IF(C492="","",INDEX(Suppliers!$B$5:$B$504,MATCH(C492,Suppliers!$A$5:$A$504,0))),"")</f>
        <v/>
      </c>
      <c r="E492" s="10" t="s">
        <v>24</v>
      </c>
      <c r="F492" s="12"/>
      <c r="G492" s="12"/>
      <c r="H492" s="10"/>
      <c r="I492" s="10"/>
      <c r="J492" s="9" t="n">
        <f aca="false">IFERROR(SUMIFS(PurchaseOrderLines!$H$5:$H$504,PurchaseOrderLines!$B$5:$B$504,A492),"")</f>
        <v>0</v>
      </c>
      <c r="K492" s="9" t="n">
        <f aca="false">IFERROR(SUMIFS(PurchaseOrderLines!$I$5:$I$504,PurchaseOrderLines!$B$5:$B$504,A492),"")</f>
        <v>0</v>
      </c>
      <c r="L492" s="9" t="n">
        <f aca="false">IFERROR(J492+K492,"")</f>
        <v>0</v>
      </c>
      <c r="M492" s="9" t="n">
        <f aca="false">IFERROR(SUMIFS(Payments!$E$5:$E$504,Payments!$D$5:$D$504,A492,Payments!$C$5:$C$504,"Out"),"")</f>
        <v>0</v>
      </c>
      <c r="N492" s="9" t="n">
        <f aca="false">IFERROR(L492-M492,"")</f>
        <v>0</v>
      </c>
    </row>
    <row r="493" customFormat="false" ht="15" hidden="false" customHeight="false" outlineLevel="0" collapsed="false">
      <c r="A493" s="10"/>
      <c r="B493" s="12"/>
      <c r="C493" s="10"/>
      <c r="D493" s="14" t="str">
        <f aca="false">IFERROR(IF(C493="","",INDEX(Suppliers!$B$5:$B$504,MATCH(C493,Suppliers!$A$5:$A$504,0))),"")</f>
        <v/>
      </c>
      <c r="E493" s="10" t="s">
        <v>24</v>
      </c>
      <c r="F493" s="12"/>
      <c r="G493" s="12"/>
      <c r="H493" s="10"/>
      <c r="I493" s="10"/>
      <c r="J493" s="9" t="n">
        <f aca="false">IFERROR(SUMIFS(PurchaseOrderLines!$H$5:$H$504,PurchaseOrderLines!$B$5:$B$504,A493),"")</f>
        <v>0</v>
      </c>
      <c r="K493" s="9" t="n">
        <f aca="false">IFERROR(SUMIFS(PurchaseOrderLines!$I$5:$I$504,PurchaseOrderLines!$B$5:$B$504,A493),"")</f>
        <v>0</v>
      </c>
      <c r="L493" s="9" t="n">
        <f aca="false">IFERROR(J493+K493,"")</f>
        <v>0</v>
      </c>
      <c r="M493" s="9" t="n">
        <f aca="false">IFERROR(SUMIFS(Payments!$E$5:$E$504,Payments!$D$5:$D$504,A493,Payments!$C$5:$C$504,"Out"),"")</f>
        <v>0</v>
      </c>
      <c r="N493" s="9" t="n">
        <f aca="false">IFERROR(L493-M493,"")</f>
        <v>0</v>
      </c>
    </row>
    <row r="494" customFormat="false" ht="15" hidden="false" customHeight="false" outlineLevel="0" collapsed="false">
      <c r="A494" s="10"/>
      <c r="B494" s="12"/>
      <c r="C494" s="10"/>
      <c r="D494" s="14" t="str">
        <f aca="false">IFERROR(IF(C494="","",INDEX(Suppliers!$B$5:$B$504,MATCH(C494,Suppliers!$A$5:$A$504,0))),"")</f>
        <v/>
      </c>
      <c r="E494" s="10" t="s">
        <v>24</v>
      </c>
      <c r="F494" s="12"/>
      <c r="G494" s="12"/>
      <c r="H494" s="10"/>
      <c r="I494" s="10"/>
      <c r="J494" s="9" t="n">
        <f aca="false">IFERROR(SUMIFS(PurchaseOrderLines!$H$5:$H$504,PurchaseOrderLines!$B$5:$B$504,A494),"")</f>
        <v>0</v>
      </c>
      <c r="K494" s="9" t="n">
        <f aca="false">IFERROR(SUMIFS(PurchaseOrderLines!$I$5:$I$504,PurchaseOrderLines!$B$5:$B$504,A494),"")</f>
        <v>0</v>
      </c>
      <c r="L494" s="9" t="n">
        <f aca="false">IFERROR(J494+K494,"")</f>
        <v>0</v>
      </c>
      <c r="M494" s="9" t="n">
        <f aca="false">IFERROR(SUMIFS(Payments!$E$5:$E$504,Payments!$D$5:$D$504,A494,Payments!$C$5:$C$504,"Out"),"")</f>
        <v>0</v>
      </c>
      <c r="N494" s="9" t="n">
        <f aca="false">IFERROR(L494-M494,"")</f>
        <v>0</v>
      </c>
    </row>
    <row r="495" customFormat="false" ht="15" hidden="false" customHeight="false" outlineLevel="0" collapsed="false">
      <c r="A495" s="10"/>
      <c r="B495" s="12"/>
      <c r="C495" s="10"/>
      <c r="D495" s="14" t="str">
        <f aca="false">IFERROR(IF(C495="","",INDEX(Suppliers!$B$5:$B$504,MATCH(C495,Suppliers!$A$5:$A$504,0))),"")</f>
        <v/>
      </c>
      <c r="E495" s="10" t="s">
        <v>24</v>
      </c>
      <c r="F495" s="12"/>
      <c r="G495" s="12"/>
      <c r="H495" s="10"/>
      <c r="I495" s="10"/>
      <c r="J495" s="9" t="n">
        <f aca="false">IFERROR(SUMIFS(PurchaseOrderLines!$H$5:$H$504,PurchaseOrderLines!$B$5:$B$504,A495),"")</f>
        <v>0</v>
      </c>
      <c r="K495" s="9" t="n">
        <f aca="false">IFERROR(SUMIFS(PurchaseOrderLines!$I$5:$I$504,PurchaseOrderLines!$B$5:$B$504,A495),"")</f>
        <v>0</v>
      </c>
      <c r="L495" s="9" t="n">
        <f aca="false">IFERROR(J495+K495,"")</f>
        <v>0</v>
      </c>
      <c r="M495" s="9" t="n">
        <f aca="false">IFERROR(SUMIFS(Payments!$E$5:$E$504,Payments!$D$5:$D$504,A495,Payments!$C$5:$C$504,"Out"),"")</f>
        <v>0</v>
      </c>
      <c r="N495" s="9" t="n">
        <f aca="false">IFERROR(L495-M495,"")</f>
        <v>0</v>
      </c>
    </row>
    <row r="496" customFormat="false" ht="15" hidden="false" customHeight="false" outlineLevel="0" collapsed="false">
      <c r="A496" s="10"/>
      <c r="B496" s="12"/>
      <c r="C496" s="10"/>
      <c r="D496" s="14" t="str">
        <f aca="false">IFERROR(IF(C496="","",INDEX(Suppliers!$B$5:$B$504,MATCH(C496,Suppliers!$A$5:$A$504,0))),"")</f>
        <v/>
      </c>
      <c r="E496" s="10" t="s">
        <v>24</v>
      </c>
      <c r="F496" s="12"/>
      <c r="G496" s="12"/>
      <c r="H496" s="10"/>
      <c r="I496" s="10"/>
      <c r="J496" s="9" t="n">
        <f aca="false">IFERROR(SUMIFS(PurchaseOrderLines!$H$5:$H$504,PurchaseOrderLines!$B$5:$B$504,A496),"")</f>
        <v>0</v>
      </c>
      <c r="K496" s="9" t="n">
        <f aca="false">IFERROR(SUMIFS(PurchaseOrderLines!$I$5:$I$504,PurchaseOrderLines!$B$5:$B$504,A496),"")</f>
        <v>0</v>
      </c>
      <c r="L496" s="9" t="n">
        <f aca="false">IFERROR(J496+K496,"")</f>
        <v>0</v>
      </c>
      <c r="M496" s="9" t="n">
        <f aca="false">IFERROR(SUMIFS(Payments!$E$5:$E$504,Payments!$D$5:$D$504,A496,Payments!$C$5:$C$504,"Out"),"")</f>
        <v>0</v>
      </c>
      <c r="N496" s="9" t="n">
        <f aca="false">IFERROR(L496-M496,"")</f>
        <v>0</v>
      </c>
    </row>
    <row r="497" customFormat="false" ht="15" hidden="false" customHeight="false" outlineLevel="0" collapsed="false">
      <c r="A497" s="10"/>
      <c r="B497" s="12"/>
      <c r="C497" s="10"/>
      <c r="D497" s="14" t="str">
        <f aca="false">IFERROR(IF(C497="","",INDEX(Suppliers!$B$5:$B$504,MATCH(C497,Suppliers!$A$5:$A$504,0))),"")</f>
        <v/>
      </c>
      <c r="E497" s="10" t="s">
        <v>24</v>
      </c>
      <c r="F497" s="12"/>
      <c r="G497" s="12"/>
      <c r="H497" s="10"/>
      <c r="I497" s="10"/>
      <c r="J497" s="9" t="n">
        <f aca="false">IFERROR(SUMIFS(PurchaseOrderLines!$H$5:$H$504,PurchaseOrderLines!$B$5:$B$504,A497),"")</f>
        <v>0</v>
      </c>
      <c r="K497" s="9" t="n">
        <f aca="false">IFERROR(SUMIFS(PurchaseOrderLines!$I$5:$I$504,PurchaseOrderLines!$B$5:$B$504,A497),"")</f>
        <v>0</v>
      </c>
      <c r="L497" s="9" t="n">
        <f aca="false">IFERROR(J497+K497,"")</f>
        <v>0</v>
      </c>
      <c r="M497" s="9" t="n">
        <f aca="false">IFERROR(SUMIFS(Payments!$E$5:$E$504,Payments!$D$5:$D$504,A497,Payments!$C$5:$C$504,"Out"),"")</f>
        <v>0</v>
      </c>
      <c r="N497" s="9" t="n">
        <f aca="false">IFERROR(L497-M497,"")</f>
        <v>0</v>
      </c>
    </row>
    <row r="498" customFormat="false" ht="15" hidden="false" customHeight="false" outlineLevel="0" collapsed="false">
      <c r="A498" s="10"/>
      <c r="B498" s="12"/>
      <c r="C498" s="10"/>
      <c r="D498" s="14" t="str">
        <f aca="false">IFERROR(IF(C498="","",INDEX(Suppliers!$B$5:$B$504,MATCH(C498,Suppliers!$A$5:$A$504,0))),"")</f>
        <v/>
      </c>
      <c r="E498" s="10" t="s">
        <v>24</v>
      </c>
      <c r="F498" s="12"/>
      <c r="G498" s="12"/>
      <c r="H498" s="10"/>
      <c r="I498" s="10"/>
      <c r="J498" s="9" t="n">
        <f aca="false">IFERROR(SUMIFS(PurchaseOrderLines!$H$5:$H$504,PurchaseOrderLines!$B$5:$B$504,A498),"")</f>
        <v>0</v>
      </c>
      <c r="K498" s="9" t="n">
        <f aca="false">IFERROR(SUMIFS(PurchaseOrderLines!$I$5:$I$504,PurchaseOrderLines!$B$5:$B$504,A498),"")</f>
        <v>0</v>
      </c>
      <c r="L498" s="9" t="n">
        <f aca="false">IFERROR(J498+K498,"")</f>
        <v>0</v>
      </c>
      <c r="M498" s="9" t="n">
        <f aca="false">IFERROR(SUMIFS(Payments!$E$5:$E$504,Payments!$D$5:$D$504,A498,Payments!$C$5:$C$504,"Out"),"")</f>
        <v>0</v>
      </c>
      <c r="N498" s="9" t="n">
        <f aca="false">IFERROR(L498-M498,"")</f>
        <v>0</v>
      </c>
    </row>
    <row r="499" customFormat="false" ht="15" hidden="false" customHeight="false" outlineLevel="0" collapsed="false">
      <c r="A499" s="10"/>
      <c r="B499" s="12"/>
      <c r="C499" s="10"/>
      <c r="D499" s="14" t="str">
        <f aca="false">IFERROR(IF(C499="","",INDEX(Suppliers!$B$5:$B$504,MATCH(C499,Suppliers!$A$5:$A$504,0))),"")</f>
        <v/>
      </c>
      <c r="E499" s="10" t="s">
        <v>24</v>
      </c>
      <c r="F499" s="12"/>
      <c r="G499" s="12"/>
      <c r="H499" s="10"/>
      <c r="I499" s="10"/>
      <c r="J499" s="9" t="n">
        <f aca="false">IFERROR(SUMIFS(PurchaseOrderLines!$H$5:$H$504,PurchaseOrderLines!$B$5:$B$504,A499),"")</f>
        <v>0</v>
      </c>
      <c r="K499" s="9" t="n">
        <f aca="false">IFERROR(SUMIFS(PurchaseOrderLines!$I$5:$I$504,PurchaseOrderLines!$B$5:$B$504,A499),"")</f>
        <v>0</v>
      </c>
      <c r="L499" s="9" t="n">
        <f aca="false">IFERROR(J499+K499,"")</f>
        <v>0</v>
      </c>
      <c r="M499" s="9" t="n">
        <f aca="false">IFERROR(SUMIFS(Payments!$E$5:$E$504,Payments!$D$5:$D$504,A499,Payments!$C$5:$C$504,"Out"),"")</f>
        <v>0</v>
      </c>
      <c r="N499" s="9" t="n">
        <f aca="false">IFERROR(L499-M499,"")</f>
        <v>0</v>
      </c>
    </row>
    <row r="500" customFormat="false" ht="15" hidden="false" customHeight="false" outlineLevel="0" collapsed="false">
      <c r="A500" s="10"/>
      <c r="B500" s="12"/>
      <c r="C500" s="10"/>
      <c r="D500" s="14" t="str">
        <f aca="false">IFERROR(IF(C500="","",INDEX(Suppliers!$B$5:$B$504,MATCH(C500,Suppliers!$A$5:$A$504,0))),"")</f>
        <v/>
      </c>
      <c r="E500" s="10" t="s">
        <v>24</v>
      </c>
      <c r="F500" s="12"/>
      <c r="G500" s="12"/>
      <c r="H500" s="10"/>
      <c r="I500" s="10"/>
      <c r="J500" s="9" t="n">
        <f aca="false">IFERROR(SUMIFS(PurchaseOrderLines!$H$5:$H$504,PurchaseOrderLines!$B$5:$B$504,A500),"")</f>
        <v>0</v>
      </c>
      <c r="K500" s="9" t="n">
        <f aca="false">IFERROR(SUMIFS(PurchaseOrderLines!$I$5:$I$504,PurchaseOrderLines!$B$5:$B$504,A500),"")</f>
        <v>0</v>
      </c>
      <c r="L500" s="9" t="n">
        <f aca="false">IFERROR(J500+K500,"")</f>
        <v>0</v>
      </c>
      <c r="M500" s="9" t="n">
        <f aca="false">IFERROR(SUMIFS(Payments!$E$5:$E$504,Payments!$D$5:$D$504,A500,Payments!$C$5:$C$504,"Out"),"")</f>
        <v>0</v>
      </c>
      <c r="N500" s="9" t="n">
        <f aca="false">IFERROR(L500-M500,"")</f>
        <v>0</v>
      </c>
    </row>
    <row r="501" customFormat="false" ht="15" hidden="false" customHeight="false" outlineLevel="0" collapsed="false">
      <c r="A501" s="10"/>
      <c r="B501" s="12"/>
      <c r="C501" s="10"/>
      <c r="D501" s="14" t="str">
        <f aca="false">IFERROR(IF(C501="","",INDEX(Suppliers!$B$5:$B$504,MATCH(C501,Suppliers!$A$5:$A$504,0))),"")</f>
        <v/>
      </c>
      <c r="E501" s="10" t="s">
        <v>24</v>
      </c>
      <c r="F501" s="12"/>
      <c r="G501" s="12"/>
      <c r="H501" s="10"/>
      <c r="I501" s="10"/>
      <c r="J501" s="9" t="n">
        <f aca="false">IFERROR(SUMIFS(PurchaseOrderLines!$H$5:$H$504,PurchaseOrderLines!$B$5:$B$504,A501),"")</f>
        <v>0</v>
      </c>
      <c r="K501" s="9" t="n">
        <f aca="false">IFERROR(SUMIFS(PurchaseOrderLines!$I$5:$I$504,PurchaseOrderLines!$B$5:$B$504,A501),"")</f>
        <v>0</v>
      </c>
      <c r="L501" s="9" t="n">
        <f aca="false">IFERROR(J501+K501,"")</f>
        <v>0</v>
      </c>
      <c r="M501" s="9" t="n">
        <f aca="false">IFERROR(SUMIFS(Payments!$E$5:$E$504,Payments!$D$5:$D$504,A501,Payments!$C$5:$C$504,"Out"),"")</f>
        <v>0</v>
      </c>
      <c r="N501" s="9" t="n">
        <f aca="false">IFERROR(L501-M501,"")</f>
        <v>0</v>
      </c>
    </row>
    <row r="502" customFormat="false" ht="15" hidden="false" customHeight="false" outlineLevel="0" collapsed="false">
      <c r="A502" s="10"/>
      <c r="B502" s="12"/>
      <c r="C502" s="10"/>
      <c r="D502" s="14" t="str">
        <f aca="false">IFERROR(IF(C502="","",INDEX(Suppliers!$B$5:$B$504,MATCH(C502,Suppliers!$A$5:$A$504,0))),"")</f>
        <v/>
      </c>
      <c r="E502" s="10" t="s">
        <v>24</v>
      </c>
      <c r="F502" s="12"/>
      <c r="G502" s="12"/>
      <c r="H502" s="10"/>
      <c r="I502" s="10"/>
      <c r="J502" s="9" t="n">
        <f aca="false">IFERROR(SUMIFS(PurchaseOrderLines!$H$5:$H$504,PurchaseOrderLines!$B$5:$B$504,A502),"")</f>
        <v>0</v>
      </c>
      <c r="K502" s="9" t="n">
        <f aca="false">IFERROR(SUMIFS(PurchaseOrderLines!$I$5:$I$504,PurchaseOrderLines!$B$5:$B$504,A502),"")</f>
        <v>0</v>
      </c>
      <c r="L502" s="9" t="n">
        <f aca="false">IFERROR(J502+K502,"")</f>
        <v>0</v>
      </c>
      <c r="M502" s="9" t="n">
        <f aca="false">IFERROR(SUMIFS(Payments!$E$5:$E$504,Payments!$D$5:$D$504,A502,Payments!$C$5:$C$504,"Out"),"")</f>
        <v>0</v>
      </c>
      <c r="N502" s="9" t="n">
        <f aca="false">IFERROR(L502-M502,"")</f>
        <v>0</v>
      </c>
    </row>
    <row r="503" customFormat="false" ht="15" hidden="false" customHeight="false" outlineLevel="0" collapsed="false">
      <c r="A503" s="10"/>
      <c r="B503" s="12"/>
      <c r="C503" s="10"/>
      <c r="D503" s="14" t="str">
        <f aca="false">IFERROR(IF(C503="","",INDEX(Suppliers!$B$5:$B$504,MATCH(C503,Suppliers!$A$5:$A$504,0))),"")</f>
        <v/>
      </c>
      <c r="E503" s="10" t="s">
        <v>24</v>
      </c>
      <c r="F503" s="12"/>
      <c r="G503" s="12"/>
      <c r="H503" s="10"/>
      <c r="I503" s="10"/>
      <c r="J503" s="9" t="n">
        <f aca="false">IFERROR(SUMIFS(PurchaseOrderLines!$H$5:$H$504,PurchaseOrderLines!$B$5:$B$504,A503),"")</f>
        <v>0</v>
      </c>
      <c r="K503" s="9" t="n">
        <f aca="false">IFERROR(SUMIFS(PurchaseOrderLines!$I$5:$I$504,PurchaseOrderLines!$B$5:$B$504,A503),"")</f>
        <v>0</v>
      </c>
      <c r="L503" s="9" t="n">
        <f aca="false">IFERROR(J503+K503,"")</f>
        <v>0</v>
      </c>
      <c r="M503" s="9" t="n">
        <f aca="false">IFERROR(SUMIFS(Payments!$E$5:$E$504,Payments!$D$5:$D$504,A503,Payments!$C$5:$C$504,"Out"),"")</f>
        <v>0</v>
      </c>
      <c r="N503" s="9" t="n">
        <f aca="false">IFERROR(L503-M503,"")</f>
        <v>0</v>
      </c>
    </row>
    <row r="504" customFormat="false" ht="15" hidden="false" customHeight="false" outlineLevel="0" collapsed="false">
      <c r="A504" s="10"/>
      <c r="B504" s="12"/>
      <c r="C504" s="10"/>
      <c r="D504" s="14" t="str">
        <f aca="false">IFERROR(IF(C504="","",INDEX(Suppliers!$B$5:$B$504,MATCH(C504,Suppliers!$A$5:$A$504,0))),"")</f>
        <v/>
      </c>
      <c r="E504" s="10" t="s">
        <v>24</v>
      </c>
      <c r="F504" s="12"/>
      <c r="G504" s="12"/>
      <c r="H504" s="10"/>
      <c r="I504" s="10"/>
      <c r="J504" s="9" t="n">
        <f aca="false">IFERROR(SUMIFS(PurchaseOrderLines!$H$5:$H$504,PurchaseOrderLines!$B$5:$B$504,A504),"")</f>
        <v>0</v>
      </c>
      <c r="K504" s="9" t="n">
        <f aca="false">IFERROR(SUMIFS(PurchaseOrderLines!$I$5:$I$504,PurchaseOrderLines!$B$5:$B$504,A504),"")</f>
        <v>0</v>
      </c>
      <c r="L504" s="9" t="n">
        <f aca="false">IFERROR(J504+K504,"")</f>
        <v>0</v>
      </c>
      <c r="M504" s="9" t="n">
        <f aca="false">IFERROR(SUMIFS(Payments!$E$5:$E$504,Payments!$D$5:$D$504,A504,Payments!$C$5:$C$504,"Out"),"")</f>
        <v>0</v>
      </c>
      <c r="N504" s="9" t="n">
        <f aca="false">IFERROR(L504-M504,"")</f>
        <v>0</v>
      </c>
    </row>
  </sheetData>
  <dataValidations count="2">
    <dataValidation allowBlank="true" error="Must match an existing Suppliers record" errorStyle="stop" errorTitle="Invalid foreign key" operator="between" showDropDown="false" showErrorMessage="false" showInputMessage="false" sqref="C5:C504" type="list">
      <formula1>Suppliers!$A$5:$A$504</formula1>
      <formula2>0</formula2>
    </dataValidation>
    <dataValidation allowBlank="true" error="Choose from po_status" errorStyle="stop" errorTitle="Invalid" operator="between" showDropDown="false" showErrorMessage="false" showInputMessage="false" sqref="E5:E504" type="list">
      <formula1>enum_po_status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K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10" min="8" style="0" width="13"/>
    <col collapsed="false" customWidth="true" hidden="false" outlineLevel="0" max="11" min="11" style="0" width="12"/>
  </cols>
  <sheetData>
    <row r="1" customFormat="false" ht="19.7" hidden="false" customHeight="false" outlineLevel="0" collapsed="false">
      <c r="A1" s="1" t="s">
        <v>200</v>
      </c>
    </row>
    <row r="2" customFormat="false" ht="15" hidden="false" customHeight="false" outlineLevel="0" collapsed="false">
      <c r="A2" s="2" t="s">
        <v>201</v>
      </c>
    </row>
    <row r="4" customFormat="false" ht="15" hidden="false" customHeight="false" outlineLevel="0" collapsed="false">
      <c r="A4" s="6" t="s">
        <v>168</v>
      </c>
      <c r="B4" s="6" t="s">
        <v>187</v>
      </c>
      <c r="C4" s="6" t="s">
        <v>99</v>
      </c>
      <c r="D4" s="6" t="s">
        <v>169</v>
      </c>
      <c r="E4" s="6" t="s">
        <v>170</v>
      </c>
      <c r="F4" s="6" t="s">
        <v>171</v>
      </c>
      <c r="G4" s="6" t="s">
        <v>173</v>
      </c>
      <c r="H4" s="6" t="s">
        <v>174</v>
      </c>
      <c r="I4" s="6" t="s">
        <v>175</v>
      </c>
      <c r="J4" s="6" t="s">
        <v>176</v>
      </c>
      <c r="K4" s="6" t="s">
        <v>202</v>
      </c>
    </row>
    <row r="5" customFormat="false" ht="15" hidden="false" customHeight="false" outlineLevel="0" collapsed="false">
      <c r="A5" s="10" t="s">
        <v>203</v>
      </c>
      <c r="B5" s="10" t="s">
        <v>193</v>
      </c>
      <c r="C5" s="10" t="s">
        <v>108</v>
      </c>
      <c r="D5" s="14" t="str">
        <f aca="false">IFERROR(IF(C5="","",INDEX(Products!$C$5:$C$504,MATCH(C5,Products!$A$5:$A$504,0))),"")</f>
        <v>Standard Widget (Type A)</v>
      </c>
      <c r="E5" s="13" t="n">
        <v>500</v>
      </c>
      <c r="F5" s="11" t="n">
        <v>4.8</v>
      </c>
      <c r="G5" s="10" t="s">
        <v>114</v>
      </c>
      <c r="H5" s="9" t="n">
        <f aca="false">IFERROR(E5*F5,"")</f>
        <v>2400</v>
      </c>
      <c r="I5" s="9" t="n">
        <f aca="false">IFERROR(H5*IFERROR(VLOOKUP(G5,VatRates,2,FALSE()),0),"")</f>
        <v>480</v>
      </c>
      <c r="J5" s="9" t="n">
        <f aca="false">IFERROR(H5+I5,"")</f>
        <v>2880</v>
      </c>
      <c r="K5" s="13" t="n">
        <v>500</v>
      </c>
    </row>
    <row r="6" customFormat="false" ht="15" hidden="false" customHeight="false" outlineLevel="0" collapsed="false">
      <c r="A6" s="10" t="s">
        <v>204</v>
      </c>
      <c r="B6" s="10" t="s">
        <v>193</v>
      </c>
      <c r="C6" s="10" t="s">
        <v>115</v>
      </c>
      <c r="D6" s="14" t="str">
        <f aca="false">IFERROR(IF(C6="","",INDEX(Products!$C$5:$C$504,MATCH(C6,Products!$A$5:$A$504,0))),"")</f>
        <v>Premium Widget (Type B)</v>
      </c>
      <c r="E6" s="13" t="n">
        <v>200</v>
      </c>
      <c r="F6" s="11" t="n">
        <v>9.2</v>
      </c>
      <c r="G6" s="10" t="s">
        <v>114</v>
      </c>
      <c r="H6" s="9" t="n">
        <f aca="false">IFERROR(E6*F6,"")</f>
        <v>1840</v>
      </c>
      <c r="I6" s="9" t="n">
        <f aca="false">IFERROR(H6*IFERROR(VLOOKUP(G6,VatRates,2,FALSE()),0),"")</f>
        <v>368</v>
      </c>
      <c r="J6" s="9" t="n">
        <f aca="false">IFERROR(H6+I6,"")</f>
        <v>2208</v>
      </c>
      <c r="K6" s="13" t="n">
        <v>200</v>
      </c>
    </row>
    <row r="7" customFormat="false" ht="15" hidden="false" customHeight="false" outlineLevel="0" collapsed="false">
      <c r="A7" s="10" t="s">
        <v>205</v>
      </c>
      <c r="B7" s="10" t="s">
        <v>195</v>
      </c>
      <c r="C7" s="10" t="s">
        <v>119</v>
      </c>
      <c r="D7" s="14" t="str">
        <f aca="false">IFERROR(IF(C7="","",INDEX(Products!$C$5:$C$504,MATCH(C7,Products!$A$5:$A$504,0))),"")</f>
        <v>Small Packaging Box</v>
      </c>
      <c r="E7" s="13" t="n">
        <v>2000</v>
      </c>
      <c r="F7" s="11" t="n">
        <v>0.45</v>
      </c>
      <c r="G7" s="10" t="s">
        <v>114</v>
      </c>
      <c r="H7" s="9" t="n">
        <f aca="false">IFERROR(E7*F7,"")</f>
        <v>900</v>
      </c>
      <c r="I7" s="9" t="n">
        <f aca="false">IFERROR(H7*IFERROR(VLOOKUP(G7,VatRates,2,FALSE()),0),"")</f>
        <v>180</v>
      </c>
      <c r="J7" s="9" t="n">
        <f aca="false">IFERROR(H7+I7,"")</f>
        <v>1080</v>
      </c>
      <c r="K7" s="13" t="n">
        <v>2000</v>
      </c>
    </row>
    <row r="8" customFormat="false" ht="15" hidden="false" customHeight="false" outlineLevel="0" collapsed="false">
      <c r="A8" s="10" t="s">
        <v>206</v>
      </c>
      <c r="B8" s="10" t="s">
        <v>197</v>
      </c>
      <c r="C8" s="10" t="s">
        <v>129</v>
      </c>
      <c r="D8" s="14" t="str">
        <f aca="false">IFERROR(IF(C8="","",INDEX(Products!$C$5:$C$504,MATCH(C8,Products!$A$5:$A$504,0))),"")</f>
        <v>Raw Steel Sheet</v>
      </c>
      <c r="E8" s="13" t="n">
        <v>40</v>
      </c>
      <c r="F8" s="11" t="n">
        <v>48</v>
      </c>
      <c r="G8" s="10" t="s">
        <v>114</v>
      </c>
      <c r="H8" s="9" t="n">
        <f aca="false">IFERROR(E8*F8,"")</f>
        <v>1920</v>
      </c>
      <c r="I8" s="9" t="n">
        <f aca="false">IFERROR(H8*IFERROR(VLOOKUP(G8,VatRates,2,FALSE()),0),"")</f>
        <v>384</v>
      </c>
      <c r="J8" s="9" t="n">
        <f aca="false">IFERROR(H8+I8,"")</f>
        <v>2304</v>
      </c>
      <c r="K8" s="13" t="n">
        <v>40</v>
      </c>
    </row>
    <row r="9" customFormat="false" ht="15" hidden="false" customHeight="false" outlineLevel="0" collapsed="false">
      <c r="A9" s="10" t="s">
        <v>207</v>
      </c>
      <c r="B9" s="10" t="s">
        <v>197</v>
      </c>
      <c r="C9" s="10" t="s">
        <v>135</v>
      </c>
      <c r="D9" s="14" t="str">
        <f aca="false">IFERROR(IF(C9="","",INDEX(Products!$C$5:$C$504,MATCH(C9,Products!$A$5:$A$504,0))),"")</f>
        <v>Workshop Consumables Pack</v>
      </c>
      <c r="E9" s="13" t="n">
        <v>10</v>
      </c>
      <c r="F9" s="11" t="n">
        <v>35</v>
      </c>
      <c r="G9" s="10" t="s">
        <v>114</v>
      </c>
      <c r="H9" s="9" t="n">
        <f aca="false">IFERROR(E9*F9,"")</f>
        <v>350</v>
      </c>
      <c r="I9" s="9" t="n">
        <f aca="false">IFERROR(H9*IFERROR(VLOOKUP(G9,VatRates,2,FALSE()),0),"")</f>
        <v>70</v>
      </c>
      <c r="J9" s="9" t="n">
        <f aca="false">IFERROR(H9+I9,"")</f>
        <v>420</v>
      </c>
      <c r="K9" s="13" t="n">
        <v>10</v>
      </c>
    </row>
    <row r="10" customFormat="false" ht="15" hidden="false" customHeight="false" outlineLevel="0" collapsed="false">
      <c r="A10" s="10" t="s">
        <v>208</v>
      </c>
      <c r="B10" s="10" t="s">
        <v>199</v>
      </c>
      <c r="C10" s="10" t="s">
        <v>108</v>
      </c>
      <c r="D10" s="14" t="str">
        <f aca="false">IFERROR(IF(C10="","",INDEX(Products!$C$5:$C$504,MATCH(C10,Products!$A$5:$A$504,0))),"")</f>
        <v>Standard Widget (Type A)</v>
      </c>
      <c r="E10" s="13" t="n">
        <v>300</v>
      </c>
      <c r="F10" s="11" t="n">
        <v>4.8</v>
      </c>
      <c r="G10" s="10" t="s">
        <v>114</v>
      </c>
      <c r="H10" s="9" t="n">
        <f aca="false">IFERROR(E10*F10,"")</f>
        <v>1440</v>
      </c>
      <c r="I10" s="9" t="n">
        <f aca="false">IFERROR(H10*IFERROR(VLOOKUP(G10,VatRates,2,FALSE()),0),"")</f>
        <v>288</v>
      </c>
      <c r="J10" s="9" t="n">
        <f aca="false">IFERROR(H10+I10,"")</f>
        <v>1728</v>
      </c>
      <c r="K10" s="13" t="n">
        <v>0</v>
      </c>
    </row>
    <row r="11" customFormat="false" ht="15" hidden="false" customHeight="false" outlineLevel="0" collapsed="false">
      <c r="A11" s="10"/>
      <c r="B11" s="10"/>
      <c r="C11" s="10"/>
      <c r="D11" s="14" t="str">
        <f aca="false">IFERROR(IF(C11="","",INDEX(Products!$C$5:$C$504,MATCH(C11,Products!$A$5:$A$504,0))),"")</f>
        <v/>
      </c>
      <c r="E11" s="13" t="n">
        <v>1</v>
      </c>
      <c r="F11" s="11"/>
      <c r="G11" s="10" t="s">
        <v>114</v>
      </c>
      <c r="H11" s="9" t="n">
        <f aca="false">IFERROR(E11*F11,"")</f>
        <v>0</v>
      </c>
      <c r="I11" s="9" t="n">
        <f aca="false">IFERROR(H11*IFERROR(VLOOKUP(G11,VatRates,2,FALSE()),0),"")</f>
        <v>0</v>
      </c>
      <c r="J11" s="9" t="n">
        <f aca="false">IFERROR(H11+I11,"")</f>
        <v>0</v>
      </c>
      <c r="K11" s="13" t="n">
        <v>0</v>
      </c>
    </row>
    <row r="12" customFormat="false" ht="15" hidden="false" customHeight="false" outlineLevel="0" collapsed="false">
      <c r="A12" s="10"/>
      <c r="B12" s="10"/>
      <c r="C12" s="10"/>
      <c r="D12" s="14" t="str">
        <f aca="false">IFERROR(IF(C12="","",INDEX(Products!$C$5:$C$504,MATCH(C12,Products!$A$5:$A$504,0))),"")</f>
        <v/>
      </c>
      <c r="E12" s="13" t="n">
        <v>1</v>
      </c>
      <c r="F12" s="11"/>
      <c r="G12" s="10" t="s">
        <v>114</v>
      </c>
      <c r="H12" s="9" t="n">
        <f aca="false">IFERROR(E12*F12,"")</f>
        <v>0</v>
      </c>
      <c r="I12" s="9" t="n">
        <f aca="false">IFERROR(H12*IFERROR(VLOOKUP(G12,VatRates,2,FALSE()),0),"")</f>
        <v>0</v>
      </c>
      <c r="J12" s="9" t="n">
        <f aca="false">IFERROR(H12+I12,"")</f>
        <v>0</v>
      </c>
      <c r="K12" s="13" t="n">
        <v>0</v>
      </c>
    </row>
    <row r="13" customFormat="false" ht="15" hidden="false" customHeight="false" outlineLevel="0" collapsed="false">
      <c r="A13" s="10"/>
      <c r="B13" s="10"/>
      <c r="C13" s="10"/>
      <c r="D13" s="14" t="str">
        <f aca="false">IFERROR(IF(C13="","",INDEX(Products!$C$5:$C$504,MATCH(C13,Products!$A$5:$A$504,0))),"")</f>
        <v/>
      </c>
      <c r="E13" s="13" t="n">
        <v>1</v>
      </c>
      <c r="F13" s="11"/>
      <c r="G13" s="10" t="s">
        <v>114</v>
      </c>
      <c r="H13" s="9" t="n">
        <f aca="false">IFERROR(E13*F13,"")</f>
        <v>0</v>
      </c>
      <c r="I13" s="9" t="n">
        <f aca="false">IFERROR(H13*IFERROR(VLOOKUP(G13,VatRates,2,FALSE()),0),"")</f>
        <v>0</v>
      </c>
      <c r="J13" s="9" t="n">
        <f aca="false">IFERROR(H13+I13,"")</f>
        <v>0</v>
      </c>
      <c r="K13" s="13" t="n">
        <v>0</v>
      </c>
    </row>
    <row r="14" customFormat="false" ht="15" hidden="false" customHeight="false" outlineLevel="0" collapsed="false">
      <c r="A14" s="10"/>
      <c r="B14" s="10"/>
      <c r="C14" s="10"/>
      <c r="D14" s="14" t="str">
        <f aca="false">IFERROR(IF(C14="","",INDEX(Products!$C$5:$C$504,MATCH(C14,Products!$A$5:$A$504,0))),"")</f>
        <v/>
      </c>
      <c r="E14" s="13" t="n">
        <v>1</v>
      </c>
      <c r="F14" s="11"/>
      <c r="G14" s="10" t="s">
        <v>114</v>
      </c>
      <c r="H14" s="9" t="n">
        <f aca="false">IFERROR(E14*F14,"")</f>
        <v>0</v>
      </c>
      <c r="I14" s="9" t="n">
        <f aca="false">IFERROR(H14*IFERROR(VLOOKUP(G14,VatRates,2,FALSE()),0),"")</f>
        <v>0</v>
      </c>
      <c r="J14" s="9" t="n">
        <f aca="false">IFERROR(H14+I14,"")</f>
        <v>0</v>
      </c>
      <c r="K14" s="13" t="n">
        <v>0</v>
      </c>
    </row>
    <row r="15" customFormat="false" ht="15" hidden="false" customHeight="false" outlineLevel="0" collapsed="false">
      <c r="A15" s="10"/>
      <c r="B15" s="10"/>
      <c r="C15" s="10"/>
      <c r="D15" s="14" t="str">
        <f aca="false">IFERROR(IF(C15="","",INDEX(Products!$C$5:$C$504,MATCH(C15,Products!$A$5:$A$504,0))),"")</f>
        <v/>
      </c>
      <c r="E15" s="13" t="n">
        <v>1</v>
      </c>
      <c r="F15" s="11"/>
      <c r="G15" s="10" t="s">
        <v>114</v>
      </c>
      <c r="H15" s="9" t="n">
        <f aca="false">IFERROR(E15*F15,"")</f>
        <v>0</v>
      </c>
      <c r="I15" s="9" t="n">
        <f aca="false">IFERROR(H15*IFERROR(VLOOKUP(G15,VatRates,2,FALSE()),0),"")</f>
        <v>0</v>
      </c>
      <c r="J15" s="9" t="n">
        <f aca="false">IFERROR(H15+I15,"")</f>
        <v>0</v>
      </c>
      <c r="K15" s="13" t="n">
        <v>0</v>
      </c>
    </row>
    <row r="16" customFormat="false" ht="15" hidden="false" customHeight="false" outlineLevel="0" collapsed="false">
      <c r="A16" s="10"/>
      <c r="B16" s="10"/>
      <c r="C16" s="10"/>
      <c r="D16" s="14" t="str">
        <f aca="false">IFERROR(IF(C16="","",INDEX(Products!$C$5:$C$504,MATCH(C16,Products!$A$5:$A$504,0))),"")</f>
        <v/>
      </c>
      <c r="E16" s="13" t="n">
        <v>1</v>
      </c>
      <c r="F16" s="11"/>
      <c r="G16" s="10" t="s">
        <v>114</v>
      </c>
      <c r="H16" s="9" t="n">
        <f aca="false">IFERROR(E16*F16,"")</f>
        <v>0</v>
      </c>
      <c r="I16" s="9" t="n">
        <f aca="false">IFERROR(H16*IFERROR(VLOOKUP(G16,VatRates,2,FALSE()),0),"")</f>
        <v>0</v>
      </c>
      <c r="J16" s="9" t="n">
        <f aca="false">IFERROR(H16+I16,"")</f>
        <v>0</v>
      </c>
      <c r="K16" s="13" t="n">
        <v>0</v>
      </c>
    </row>
    <row r="17" customFormat="false" ht="15" hidden="false" customHeight="false" outlineLevel="0" collapsed="false">
      <c r="A17" s="10"/>
      <c r="B17" s="10"/>
      <c r="C17" s="10"/>
      <c r="D17" s="14" t="str">
        <f aca="false">IFERROR(IF(C17="","",INDEX(Products!$C$5:$C$504,MATCH(C17,Products!$A$5:$A$504,0))),"")</f>
        <v/>
      </c>
      <c r="E17" s="13" t="n">
        <v>1</v>
      </c>
      <c r="F17" s="11"/>
      <c r="G17" s="10" t="s">
        <v>114</v>
      </c>
      <c r="H17" s="9" t="n">
        <f aca="false">IFERROR(E17*F17,"")</f>
        <v>0</v>
      </c>
      <c r="I17" s="9" t="n">
        <f aca="false">IFERROR(H17*IFERROR(VLOOKUP(G17,VatRates,2,FALSE()),0),"")</f>
        <v>0</v>
      </c>
      <c r="J17" s="9" t="n">
        <f aca="false">IFERROR(H17+I17,"")</f>
        <v>0</v>
      </c>
      <c r="K17" s="13" t="n">
        <v>0</v>
      </c>
    </row>
    <row r="18" customFormat="false" ht="15" hidden="false" customHeight="false" outlineLevel="0" collapsed="false">
      <c r="A18" s="10"/>
      <c r="B18" s="10"/>
      <c r="C18" s="10"/>
      <c r="D18" s="14" t="str">
        <f aca="false">IFERROR(IF(C18="","",INDEX(Products!$C$5:$C$504,MATCH(C18,Products!$A$5:$A$504,0))),"")</f>
        <v/>
      </c>
      <c r="E18" s="13" t="n">
        <v>1</v>
      </c>
      <c r="F18" s="11"/>
      <c r="G18" s="10" t="s">
        <v>114</v>
      </c>
      <c r="H18" s="9" t="n">
        <f aca="false">IFERROR(E18*F18,"")</f>
        <v>0</v>
      </c>
      <c r="I18" s="9" t="n">
        <f aca="false">IFERROR(H18*IFERROR(VLOOKUP(G18,VatRates,2,FALSE()),0),"")</f>
        <v>0</v>
      </c>
      <c r="J18" s="9" t="n">
        <f aca="false">IFERROR(H18+I18,"")</f>
        <v>0</v>
      </c>
      <c r="K18" s="13" t="n">
        <v>0</v>
      </c>
    </row>
    <row r="19" customFormat="false" ht="15" hidden="false" customHeight="false" outlineLevel="0" collapsed="false">
      <c r="A19" s="10"/>
      <c r="B19" s="10"/>
      <c r="C19" s="10"/>
      <c r="D19" s="14" t="str">
        <f aca="false">IFERROR(IF(C19="","",INDEX(Products!$C$5:$C$504,MATCH(C19,Products!$A$5:$A$504,0))),"")</f>
        <v/>
      </c>
      <c r="E19" s="13" t="n">
        <v>1</v>
      </c>
      <c r="F19" s="11"/>
      <c r="G19" s="10" t="s">
        <v>114</v>
      </c>
      <c r="H19" s="9" t="n">
        <f aca="false">IFERROR(E19*F19,"")</f>
        <v>0</v>
      </c>
      <c r="I19" s="9" t="n">
        <f aca="false">IFERROR(H19*IFERROR(VLOOKUP(G19,VatRates,2,FALSE()),0),"")</f>
        <v>0</v>
      </c>
      <c r="J19" s="9" t="n">
        <f aca="false">IFERROR(H19+I19,"")</f>
        <v>0</v>
      </c>
      <c r="K19" s="13" t="n">
        <v>0</v>
      </c>
    </row>
    <row r="20" customFormat="false" ht="15" hidden="false" customHeight="false" outlineLevel="0" collapsed="false">
      <c r="A20" s="10"/>
      <c r="B20" s="10"/>
      <c r="C20" s="10"/>
      <c r="D20" s="14" t="str">
        <f aca="false">IFERROR(IF(C20="","",INDEX(Products!$C$5:$C$504,MATCH(C20,Products!$A$5:$A$504,0))),"")</f>
        <v/>
      </c>
      <c r="E20" s="13" t="n">
        <v>1</v>
      </c>
      <c r="F20" s="11"/>
      <c r="G20" s="10" t="s">
        <v>114</v>
      </c>
      <c r="H20" s="9" t="n">
        <f aca="false">IFERROR(E20*F20,"")</f>
        <v>0</v>
      </c>
      <c r="I20" s="9" t="n">
        <f aca="false">IFERROR(H20*IFERROR(VLOOKUP(G20,VatRates,2,FALSE()),0),"")</f>
        <v>0</v>
      </c>
      <c r="J20" s="9" t="n">
        <f aca="false">IFERROR(H20+I20,"")</f>
        <v>0</v>
      </c>
      <c r="K20" s="13" t="n">
        <v>0</v>
      </c>
    </row>
    <row r="21" customFormat="false" ht="15" hidden="false" customHeight="false" outlineLevel="0" collapsed="false">
      <c r="A21" s="10"/>
      <c r="B21" s="10"/>
      <c r="C21" s="10"/>
      <c r="D21" s="14" t="str">
        <f aca="false">IFERROR(IF(C21="","",INDEX(Products!$C$5:$C$504,MATCH(C21,Products!$A$5:$A$504,0))),"")</f>
        <v/>
      </c>
      <c r="E21" s="13" t="n">
        <v>1</v>
      </c>
      <c r="F21" s="11"/>
      <c r="G21" s="10" t="s">
        <v>114</v>
      </c>
      <c r="H21" s="9" t="n">
        <f aca="false">IFERROR(E21*F21,"")</f>
        <v>0</v>
      </c>
      <c r="I21" s="9" t="n">
        <f aca="false">IFERROR(H21*IFERROR(VLOOKUP(G21,VatRates,2,FALSE()),0),"")</f>
        <v>0</v>
      </c>
      <c r="J21" s="9" t="n">
        <f aca="false">IFERROR(H21+I21,"")</f>
        <v>0</v>
      </c>
      <c r="K21" s="13" t="n">
        <v>0</v>
      </c>
    </row>
    <row r="22" customFormat="false" ht="15" hidden="false" customHeight="false" outlineLevel="0" collapsed="false">
      <c r="A22" s="10"/>
      <c r="B22" s="10"/>
      <c r="C22" s="10"/>
      <c r="D22" s="14" t="str">
        <f aca="false">IFERROR(IF(C22="","",INDEX(Products!$C$5:$C$504,MATCH(C22,Products!$A$5:$A$504,0))),"")</f>
        <v/>
      </c>
      <c r="E22" s="13" t="n">
        <v>1</v>
      </c>
      <c r="F22" s="11"/>
      <c r="G22" s="10" t="s">
        <v>114</v>
      </c>
      <c r="H22" s="9" t="n">
        <f aca="false">IFERROR(E22*F22,"")</f>
        <v>0</v>
      </c>
      <c r="I22" s="9" t="n">
        <f aca="false">IFERROR(H22*IFERROR(VLOOKUP(G22,VatRates,2,FALSE()),0),"")</f>
        <v>0</v>
      </c>
      <c r="J22" s="9" t="n">
        <f aca="false">IFERROR(H22+I22,"")</f>
        <v>0</v>
      </c>
      <c r="K22" s="13" t="n">
        <v>0</v>
      </c>
    </row>
    <row r="23" customFormat="false" ht="15" hidden="false" customHeight="false" outlineLevel="0" collapsed="false">
      <c r="A23" s="10"/>
      <c r="B23" s="10"/>
      <c r="C23" s="10"/>
      <c r="D23" s="14" t="str">
        <f aca="false">IFERROR(IF(C23="","",INDEX(Products!$C$5:$C$504,MATCH(C23,Products!$A$5:$A$504,0))),"")</f>
        <v/>
      </c>
      <c r="E23" s="13" t="n">
        <v>1</v>
      </c>
      <c r="F23" s="11"/>
      <c r="G23" s="10" t="s">
        <v>114</v>
      </c>
      <c r="H23" s="9" t="n">
        <f aca="false">IFERROR(E23*F23,"")</f>
        <v>0</v>
      </c>
      <c r="I23" s="9" t="n">
        <f aca="false">IFERROR(H23*IFERROR(VLOOKUP(G23,VatRates,2,FALSE()),0),"")</f>
        <v>0</v>
      </c>
      <c r="J23" s="9" t="n">
        <f aca="false">IFERROR(H23+I23,"")</f>
        <v>0</v>
      </c>
      <c r="K23" s="13" t="n">
        <v>0</v>
      </c>
    </row>
    <row r="24" customFormat="false" ht="15" hidden="false" customHeight="false" outlineLevel="0" collapsed="false">
      <c r="A24" s="10"/>
      <c r="B24" s="10"/>
      <c r="C24" s="10"/>
      <c r="D24" s="14" t="str">
        <f aca="false">IFERROR(IF(C24="","",INDEX(Products!$C$5:$C$504,MATCH(C24,Products!$A$5:$A$504,0))),"")</f>
        <v/>
      </c>
      <c r="E24" s="13" t="n">
        <v>1</v>
      </c>
      <c r="F24" s="11"/>
      <c r="G24" s="10" t="s">
        <v>114</v>
      </c>
      <c r="H24" s="9" t="n">
        <f aca="false">IFERROR(E24*F24,"")</f>
        <v>0</v>
      </c>
      <c r="I24" s="9" t="n">
        <f aca="false">IFERROR(H24*IFERROR(VLOOKUP(G24,VatRates,2,FALSE()),0),"")</f>
        <v>0</v>
      </c>
      <c r="J24" s="9" t="n">
        <f aca="false">IFERROR(H24+I24,"")</f>
        <v>0</v>
      </c>
      <c r="K24" s="13" t="n">
        <v>0</v>
      </c>
    </row>
    <row r="25" customFormat="false" ht="15" hidden="false" customHeight="false" outlineLevel="0" collapsed="false">
      <c r="A25" s="10"/>
      <c r="B25" s="10"/>
      <c r="C25" s="10"/>
      <c r="D25" s="14" t="str">
        <f aca="false">IFERROR(IF(C25="","",INDEX(Products!$C$5:$C$504,MATCH(C25,Products!$A$5:$A$504,0))),"")</f>
        <v/>
      </c>
      <c r="E25" s="13" t="n">
        <v>1</v>
      </c>
      <c r="F25" s="11"/>
      <c r="G25" s="10" t="s">
        <v>114</v>
      </c>
      <c r="H25" s="9" t="n">
        <f aca="false">IFERROR(E25*F25,"")</f>
        <v>0</v>
      </c>
      <c r="I25" s="9" t="n">
        <f aca="false">IFERROR(H25*IFERROR(VLOOKUP(G25,VatRates,2,FALSE()),0),"")</f>
        <v>0</v>
      </c>
      <c r="J25" s="9" t="n">
        <f aca="false">IFERROR(H25+I25,"")</f>
        <v>0</v>
      </c>
      <c r="K25" s="13" t="n">
        <v>0</v>
      </c>
    </row>
    <row r="26" customFormat="false" ht="15" hidden="false" customHeight="false" outlineLevel="0" collapsed="false">
      <c r="A26" s="10"/>
      <c r="B26" s="10"/>
      <c r="C26" s="10"/>
      <c r="D26" s="14" t="str">
        <f aca="false">IFERROR(IF(C26="","",INDEX(Products!$C$5:$C$504,MATCH(C26,Products!$A$5:$A$504,0))),"")</f>
        <v/>
      </c>
      <c r="E26" s="13" t="n">
        <v>1</v>
      </c>
      <c r="F26" s="11"/>
      <c r="G26" s="10" t="s">
        <v>114</v>
      </c>
      <c r="H26" s="9" t="n">
        <f aca="false">IFERROR(E26*F26,"")</f>
        <v>0</v>
      </c>
      <c r="I26" s="9" t="n">
        <f aca="false">IFERROR(H26*IFERROR(VLOOKUP(G26,VatRates,2,FALSE()),0),"")</f>
        <v>0</v>
      </c>
      <c r="J26" s="9" t="n">
        <f aca="false">IFERROR(H26+I26,"")</f>
        <v>0</v>
      </c>
      <c r="K26" s="13" t="n">
        <v>0</v>
      </c>
    </row>
    <row r="27" customFormat="false" ht="15" hidden="false" customHeight="false" outlineLevel="0" collapsed="false">
      <c r="A27" s="10"/>
      <c r="B27" s="10"/>
      <c r="C27" s="10"/>
      <c r="D27" s="14" t="str">
        <f aca="false">IFERROR(IF(C27="","",INDEX(Products!$C$5:$C$504,MATCH(C27,Products!$A$5:$A$504,0))),"")</f>
        <v/>
      </c>
      <c r="E27" s="13" t="n">
        <v>1</v>
      </c>
      <c r="F27" s="11"/>
      <c r="G27" s="10" t="s">
        <v>114</v>
      </c>
      <c r="H27" s="9" t="n">
        <f aca="false">IFERROR(E27*F27,"")</f>
        <v>0</v>
      </c>
      <c r="I27" s="9" t="n">
        <f aca="false">IFERROR(H27*IFERROR(VLOOKUP(G27,VatRates,2,FALSE()),0),"")</f>
        <v>0</v>
      </c>
      <c r="J27" s="9" t="n">
        <f aca="false">IFERROR(H27+I27,"")</f>
        <v>0</v>
      </c>
      <c r="K27" s="13" t="n">
        <v>0</v>
      </c>
    </row>
    <row r="28" customFormat="false" ht="15" hidden="false" customHeight="false" outlineLevel="0" collapsed="false">
      <c r="A28" s="10"/>
      <c r="B28" s="10"/>
      <c r="C28" s="10"/>
      <c r="D28" s="14" t="str">
        <f aca="false">IFERROR(IF(C28="","",INDEX(Products!$C$5:$C$504,MATCH(C28,Products!$A$5:$A$504,0))),"")</f>
        <v/>
      </c>
      <c r="E28" s="13" t="n">
        <v>1</v>
      </c>
      <c r="F28" s="11"/>
      <c r="G28" s="10" t="s">
        <v>114</v>
      </c>
      <c r="H28" s="9" t="n">
        <f aca="false">IFERROR(E28*F28,"")</f>
        <v>0</v>
      </c>
      <c r="I28" s="9" t="n">
        <f aca="false">IFERROR(H28*IFERROR(VLOOKUP(G28,VatRates,2,FALSE()),0),"")</f>
        <v>0</v>
      </c>
      <c r="J28" s="9" t="n">
        <f aca="false">IFERROR(H28+I28,"")</f>
        <v>0</v>
      </c>
      <c r="K28" s="13" t="n">
        <v>0</v>
      </c>
    </row>
    <row r="29" customFormat="false" ht="15" hidden="false" customHeight="false" outlineLevel="0" collapsed="false">
      <c r="A29" s="10"/>
      <c r="B29" s="10"/>
      <c r="C29" s="10"/>
      <c r="D29" s="14" t="str">
        <f aca="false">IFERROR(IF(C29="","",INDEX(Products!$C$5:$C$504,MATCH(C29,Products!$A$5:$A$504,0))),"")</f>
        <v/>
      </c>
      <c r="E29" s="13" t="n">
        <v>1</v>
      </c>
      <c r="F29" s="11"/>
      <c r="G29" s="10" t="s">
        <v>114</v>
      </c>
      <c r="H29" s="9" t="n">
        <f aca="false">IFERROR(E29*F29,"")</f>
        <v>0</v>
      </c>
      <c r="I29" s="9" t="n">
        <f aca="false">IFERROR(H29*IFERROR(VLOOKUP(G29,VatRates,2,FALSE()),0),"")</f>
        <v>0</v>
      </c>
      <c r="J29" s="9" t="n">
        <f aca="false">IFERROR(H29+I29,"")</f>
        <v>0</v>
      </c>
      <c r="K29" s="13" t="n">
        <v>0</v>
      </c>
    </row>
    <row r="30" customFormat="false" ht="15" hidden="false" customHeight="false" outlineLevel="0" collapsed="false">
      <c r="A30" s="10"/>
      <c r="B30" s="10"/>
      <c r="C30" s="10"/>
      <c r="D30" s="14" t="str">
        <f aca="false">IFERROR(IF(C30="","",INDEX(Products!$C$5:$C$504,MATCH(C30,Products!$A$5:$A$504,0))),"")</f>
        <v/>
      </c>
      <c r="E30" s="13" t="n">
        <v>1</v>
      </c>
      <c r="F30" s="11"/>
      <c r="G30" s="10" t="s">
        <v>114</v>
      </c>
      <c r="H30" s="9" t="n">
        <f aca="false">IFERROR(E30*F30,"")</f>
        <v>0</v>
      </c>
      <c r="I30" s="9" t="n">
        <f aca="false">IFERROR(H30*IFERROR(VLOOKUP(G30,VatRates,2,FALSE()),0),"")</f>
        <v>0</v>
      </c>
      <c r="J30" s="9" t="n">
        <f aca="false">IFERROR(H30+I30,"")</f>
        <v>0</v>
      </c>
      <c r="K30" s="13" t="n">
        <v>0</v>
      </c>
    </row>
    <row r="31" customFormat="false" ht="15" hidden="false" customHeight="false" outlineLevel="0" collapsed="false">
      <c r="A31" s="10"/>
      <c r="B31" s="10"/>
      <c r="C31" s="10"/>
      <c r="D31" s="14" t="str">
        <f aca="false">IFERROR(IF(C31="","",INDEX(Products!$C$5:$C$504,MATCH(C31,Products!$A$5:$A$504,0))),"")</f>
        <v/>
      </c>
      <c r="E31" s="13" t="n">
        <v>1</v>
      </c>
      <c r="F31" s="11"/>
      <c r="G31" s="10" t="s">
        <v>114</v>
      </c>
      <c r="H31" s="9" t="n">
        <f aca="false">IFERROR(E31*F31,"")</f>
        <v>0</v>
      </c>
      <c r="I31" s="9" t="n">
        <f aca="false">IFERROR(H31*IFERROR(VLOOKUP(G31,VatRates,2,FALSE()),0),"")</f>
        <v>0</v>
      </c>
      <c r="J31" s="9" t="n">
        <f aca="false">IFERROR(H31+I31,"")</f>
        <v>0</v>
      </c>
      <c r="K31" s="13" t="n">
        <v>0</v>
      </c>
    </row>
    <row r="32" customFormat="false" ht="15" hidden="false" customHeight="false" outlineLevel="0" collapsed="false">
      <c r="A32" s="10"/>
      <c r="B32" s="10"/>
      <c r="C32" s="10"/>
      <c r="D32" s="14" t="str">
        <f aca="false">IFERROR(IF(C32="","",INDEX(Products!$C$5:$C$504,MATCH(C32,Products!$A$5:$A$504,0))),"")</f>
        <v/>
      </c>
      <c r="E32" s="13" t="n">
        <v>1</v>
      </c>
      <c r="F32" s="11"/>
      <c r="G32" s="10" t="s">
        <v>114</v>
      </c>
      <c r="H32" s="9" t="n">
        <f aca="false">IFERROR(E32*F32,"")</f>
        <v>0</v>
      </c>
      <c r="I32" s="9" t="n">
        <f aca="false">IFERROR(H32*IFERROR(VLOOKUP(G32,VatRates,2,FALSE()),0),"")</f>
        <v>0</v>
      </c>
      <c r="J32" s="9" t="n">
        <f aca="false">IFERROR(H32+I32,"")</f>
        <v>0</v>
      </c>
      <c r="K32" s="13" t="n">
        <v>0</v>
      </c>
    </row>
    <row r="33" customFormat="false" ht="15" hidden="false" customHeight="false" outlineLevel="0" collapsed="false">
      <c r="A33" s="10"/>
      <c r="B33" s="10"/>
      <c r="C33" s="10"/>
      <c r="D33" s="14" t="str">
        <f aca="false">IFERROR(IF(C33="","",INDEX(Products!$C$5:$C$504,MATCH(C33,Products!$A$5:$A$504,0))),"")</f>
        <v/>
      </c>
      <c r="E33" s="13" t="n">
        <v>1</v>
      </c>
      <c r="F33" s="11"/>
      <c r="G33" s="10" t="s">
        <v>114</v>
      </c>
      <c r="H33" s="9" t="n">
        <f aca="false">IFERROR(E33*F33,"")</f>
        <v>0</v>
      </c>
      <c r="I33" s="9" t="n">
        <f aca="false">IFERROR(H33*IFERROR(VLOOKUP(G33,VatRates,2,FALSE()),0),"")</f>
        <v>0</v>
      </c>
      <c r="J33" s="9" t="n">
        <f aca="false">IFERROR(H33+I33,"")</f>
        <v>0</v>
      </c>
      <c r="K33" s="13" t="n">
        <v>0</v>
      </c>
    </row>
    <row r="34" customFormat="false" ht="15" hidden="false" customHeight="false" outlineLevel="0" collapsed="false">
      <c r="A34" s="10"/>
      <c r="B34" s="10"/>
      <c r="C34" s="10"/>
      <c r="D34" s="14" t="str">
        <f aca="false">IFERROR(IF(C34="","",INDEX(Products!$C$5:$C$504,MATCH(C34,Products!$A$5:$A$504,0))),"")</f>
        <v/>
      </c>
      <c r="E34" s="13" t="n">
        <v>1</v>
      </c>
      <c r="F34" s="11"/>
      <c r="G34" s="10" t="s">
        <v>114</v>
      </c>
      <c r="H34" s="9" t="n">
        <f aca="false">IFERROR(E34*F34,"")</f>
        <v>0</v>
      </c>
      <c r="I34" s="9" t="n">
        <f aca="false">IFERROR(H34*IFERROR(VLOOKUP(G34,VatRates,2,FALSE()),0),"")</f>
        <v>0</v>
      </c>
      <c r="J34" s="9" t="n">
        <f aca="false">IFERROR(H34+I34,"")</f>
        <v>0</v>
      </c>
      <c r="K34" s="13" t="n">
        <v>0</v>
      </c>
    </row>
    <row r="35" customFormat="false" ht="15" hidden="false" customHeight="false" outlineLevel="0" collapsed="false">
      <c r="A35" s="10"/>
      <c r="B35" s="10"/>
      <c r="C35" s="10"/>
      <c r="D35" s="14" t="str">
        <f aca="false">IFERROR(IF(C35="","",INDEX(Products!$C$5:$C$504,MATCH(C35,Products!$A$5:$A$504,0))),"")</f>
        <v/>
      </c>
      <c r="E35" s="13" t="n">
        <v>1</v>
      </c>
      <c r="F35" s="11"/>
      <c r="G35" s="10" t="s">
        <v>114</v>
      </c>
      <c r="H35" s="9" t="n">
        <f aca="false">IFERROR(E35*F35,"")</f>
        <v>0</v>
      </c>
      <c r="I35" s="9" t="n">
        <f aca="false">IFERROR(H35*IFERROR(VLOOKUP(G35,VatRates,2,FALSE()),0),"")</f>
        <v>0</v>
      </c>
      <c r="J35" s="9" t="n">
        <f aca="false">IFERROR(H35+I35,"")</f>
        <v>0</v>
      </c>
      <c r="K35" s="13" t="n">
        <v>0</v>
      </c>
    </row>
    <row r="36" customFormat="false" ht="15" hidden="false" customHeight="false" outlineLevel="0" collapsed="false">
      <c r="A36" s="10"/>
      <c r="B36" s="10"/>
      <c r="C36" s="10"/>
      <c r="D36" s="14" t="str">
        <f aca="false">IFERROR(IF(C36="","",INDEX(Products!$C$5:$C$504,MATCH(C36,Products!$A$5:$A$504,0))),"")</f>
        <v/>
      </c>
      <c r="E36" s="13" t="n">
        <v>1</v>
      </c>
      <c r="F36" s="11"/>
      <c r="G36" s="10" t="s">
        <v>114</v>
      </c>
      <c r="H36" s="9" t="n">
        <f aca="false">IFERROR(E36*F36,"")</f>
        <v>0</v>
      </c>
      <c r="I36" s="9" t="n">
        <f aca="false">IFERROR(H36*IFERROR(VLOOKUP(G36,VatRates,2,FALSE()),0),"")</f>
        <v>0</v>
      </c>
      <c r="J36" s="9" t="n">
        <f aca="false">IFERROR(H36+I36,"")</f>
        <v>0</v>
      </c>
      <c r="K36" s="13" t="n">
        <v>0</v>
      </c>
    </row>
    <row r="37" customFormat="false" ht="15" hidden="false" customHeight="false" outlineLevel="0" collapsed="false">
      <c r="A37" s="10"/>
      <c r="B37" s="10"/>
      <c r="C37" s="10"/>
      <c r="D37" s="14" t="str">
        <f aca="false">IFERROR(IF(C37="","",INDEX(Products!$C$5:$C$504,MATCH(C37,Products!$A$5:$A$504,0))),"")</f>
        <v/>
      </c>
      <c r="E37" s="13" t="n">
        <v>1</v>
      </c>
      <c r="F37" s="11"/>
      <c r="G37" s="10" t="s">
        <v>114</v>
      </c>
      <c r="H37" s="9" t="n">
        <f aca="false">IFERROR(E37*F37,"")</f>
        <v>0</v>
      </c>
      <c r="I37" s="9" t="n">
        <f aca="false">IFERROR(H37*IFERROR(VLOOKUP(G37,VatRates,2,FALSE()),0),"")</f>
        <v>0</v>
      </c>
      <c r="J37" s="9" t="n">
        <f aca="false">IFERROR(H37+I37,"")</f>
        <v>0</v>
      </c>
      <c r="K37" s="13" t="n">
        <v>0</v>
      </c>
    </row>
    <row r="38" customFormat="false" ht="15" hidden="false" customHeight="false" outlineLevel="0" collapsed="false">
      <c r="A38" s="10"/>
      <c r="B38" s="10"/>
      <c r="C38" s="10"/>
      <c r="D38" s="14" t="str">
        <f aca="false">IFERROR(IF(C38="","",INDEX(Products!$C$5:$C$504,MATCH(C38,Products!$A$5:$A$504,0))),"")</f>
        <v/>
      </c>
      <c r="E38" s="13" t="n">
        <v>1</v>
      </c>
      <c r="F38" s="11"/>
      <c r="G38" s="10" t="s">
        <v>114</v>
      </c>
      <c r="H38" s="9" t="n">
        <f aca="false">IFERROR(E38*F38,"")</f>
        <v>0</v>
      </c>
      <c r="I38" s="9" t="n">
        <f aca="false">IFERROR(H38*IFERROR(VLOOKUP(G38,VatRates,2,FALSE()),0),"")</f>
        <v>0</v>
      </c>
      <c r="J38" s="9" t="n">
        <f aca="false">IFERROR(H38+I38,"")</f>
        <v>0</v>
      </c>
      <c r="K38" s="13" t="n">
        <v>0</v>
      </c>
    </row>
    <row r="39" customFormat="false" ht="15" hidden="false" customHeight="false" outlineLevel="0" collapsed="false">
      <c r="A39" s="10"/>
      <c r="B39" s="10"/>
      <c r="C39" s="10"/>
      <c r="D39" s="14" t="str">
        <f aca="false">IFERROR(IF(C39="","",INDEX(Products!$C$5:$C$504,MATCH(C39,Products!$A$5:$A$504,0))),"")</f>
        <v/>
      </c>
      <c r="E39" s="13" t="n">
        <v>1</v>
      </c>
      <c r="F39" s="11"/>
      <c r="G39" s="10" t="s">
        <v>114</v>
      </c>
      <c r="H39" s="9" t="n">
        <f aca="false">IFERROR(E39*F39,"")</f>
        <v>0</v>
      </c>
      <c r="I39" s="9" t="n">
        <f aca="false">IFERROR(H39*IFERROR(VLOOKUP(G39,VatRates,2,FALSE()),0),"")</f>
        <v>0</v>
      </c>
      <c r="J39" s="9" t="n">
        <f aca="false">IFERROR(H39+I39,"")</f>
        <v>0</v>
      </c>
      <c r="K39" s="13" t="n">
        <v>0</v>
      </c>
    </row>
    <row r="40" customFormat="false" ht="15" hidden="false" customHeight="false" outlineLevel="0" collapsed="false">
      <c r="A40" s="10"/>
      <c r="B40" s="10"/>
      <c r="C40" s="10"/>
      <c r="D40" s="14" t="str">
        <f aca="false">IFERROR(IF(C40="","",INDEX(Products!$C$5:$C$504,MATCH(C40,Products!$A$5:$A$504,0))),"")</f>
        <v/>
      </c>
      <c r="E40" s="13" t="n">
        <v>1</v>
      </c>
      <c r="F40" s="11"/>
      <c r="G40" s="10" t="s">
        <v>114</v>
      </c>
      <c r="H40" s="9" t="n">
        <f aca="false">IFERROR(E40*F40,"")</f>
        <v>0</v>
      </c>
      <c r="I40" s="9" t="n">
        <f aca="false">IFERROR(H40*IFERROR(VLOOKUP(G40,VatRates,2,FALSE()),0),"")</f>
        <v>0</v>
      </c>
      <c r="J40" s="9" t="n">
        <f aca="false">IFERROR(H40+I40,"")</f>
        <v>0</v>
      </c>
      <c r="K40" s="13" t="n">
        <v>0</v>
      </c>
    </row>
    <row r="41" customFormat="false" ht="15" hidden="false" customHeight="false" outlineLevel="0" collapsed="false">
      <c r="A41" s="10"/>
      <c r="B41" s="10"/>
      <c r="C41" s="10"/>
      <c r="D41" s="14" t="str">
        <f aca="false">IFERROR(IF(C41="","",INDEX(Products!$C$5:$C$504,MATCH(C41,Products!$A$5:$A$504,0))),"")</f>
        <v/>
      </c>
      <c r="E41" s="13" t="n">
        <v>1</v>
      </c>
      <c r="F41" s="11"/>
      <c r="G41" s="10" t="s">
        <v>114</v>
      </c>
      <c r="H41" s="9" t="n">
        <f aca="false">IFERROR(E41*F41,"")</f>
        <v>0</v>
      </c>
      <c r="I41" s="9" t="n">
        <f aca="false">IFERROR(H41*IFERROR(VLOOKUP(G41,VatRates,2,FALSE()),0),"")</f>
        <v>0</v>
      </c>
      <c r="J41" s="9" t="n">
        <f aca="false">IFERROR(H41+I41,"")</f>
        <v>0</v>
      </c>
      <c r="K41" s="13" t="n">
        <v>0</v>
      </c>
    </row>
    <row r="42" customFormat="false" ht="15" hidden="false" customHeight="false" outlineLevel="0" collapsed="false">
      <c r="A42" s="10"/>
      <c r="B42" s="10"/>
      <c r="C42" s="10"/>
      <c r="D42" s="14" t="str">
        <f aca="false">IFERROR(IF(C42="","",INDEX(Products!$C$5:$C$504,MATCH(C42,Products!$A$5:$A$504,0))),"")</f>
        <v/>
      </c>
      <c r="E42" s="13" t="n">
        <v>1</v>
      </c>
      <c r="F42" s="11"/>
      <c r="G42" s="10" t="s">
        <v>114</v>
      </c>
      <c r="H42" s="9" t="n">
        <f aca="false">IFERROR(E42*F42,"")</f>
        <v>0</v>
      </c>
      <c r="I42" s="9" t="n">
        <f aca="false">IFERROR(H42*IFERROR(VLOOKUP(G42,VatRates,2,FALSE()),0),"")</f>
        <v>0</v>
      </c>
      <c r="J42" s="9" t="n">
        <f aca="false">IFERROR(H42+I42,"")</f>
        <v>0</v>
      </c>
      <c r="K42" s="13" t="n">
        <v>0</v>
      </c>
    </row>
    <row r="43" customFormat="false" ht="15" hidden="false" customHeight="false" outlineLevel="0" collapsed="false">
      <c r="A43" s="10"/>
      <c r="B43" s="10"/>
      <c r="C43" s="10"/>
      <c r="D43" s="14" t="str">
        <f aca="false">IFERROR(IF(C43="","",INDEX(Products!$C$5:$C$504,MATCH(C43,Products!$A$5:$A$504,0))),"")</f>
        <v/>
      </c>
      <c r="E43" s="13" t="n">
        <v>1</v>
      </c>
      <c r="F43" s="11"/>
      <c r="G43" s="10" t="s">
        <v>114</v>
      </c>
      <c r="H43" s="9" t="n">
        <f aca="false">IFERROR(E43*F43,"")</f>
        <v>0</v>
      </c>
      <c r="I43" s="9" t="n">
        <f aca="false">IFERROR(H43*IFERROR(VLOOKUP(G43,VatRates,2,FALSE()),0),"")</f>
        <v>0</v>
      </c>
      <c r="J43" s="9" t="n">
        <f aca="false">IFERROR(H43+I43,"")</f>
        <v>0</v>
      </c>
      <c r="K43" s="13" t="n">
        <v>0</v>
      </c>
    </row>
    <row r="44" customFormat="false" ht="15" hidden="false" customHeight="false" outlineLevel="0" collapsed="false">
      <c r="A44" s="10"/>
      <c r="B44" s="10"/>
      <c r="C44" s="10"/>
      <c r="D44" s="14" t="str">
        <f aca="false">IFERROR(IF(C44="","",INDEX(Products!$C$5:$C$504,MATCH(C44,Products!$A$5:$A$504,0))),"")</f>
        <v/>
      </c>
      <c r="E44" s="13" t="n">
        <v>1</v>
      </c>
      <c r="F44" s="11"/>
      <c r="G44" s="10" t="s">
        <v>114</v>
      </c>
      <c r="H44" s="9" t="n">
        <f aca="false">IFERROR(E44*F44,"")</f>
        <v>0</v>
      </c>
      <c r="I44" s="9" t="n">
        <f aca="false">IFERROR(H44*IFERROR(VLOOKUP(G44,VatRates,2,FALSE()),0),"")</f>
        <v>0</v>
      </c>
      <c r="J44" s="9" t="n">
        <f aca="false">IFERROR(H44+I44,"")</f>
        <v>0</v>
      </c>
      <c r="K44" s="13" t="n">
        <v>0</v>
      </c>
    </row>
    <row r="45" customFormat="false" ht="15" hidden="false" customHeight="false" outlineLevel="0" collapsed="false">
      <c r="A45" s="10"/>
      <c r="B45" s="10"/>
      <c r="C45" s="10"/>
      <c r="D45" s="14" t="str">
        <f aca="false">IFERROR(IF(C45="","",INDEX(Products!$C$5:$C$504,MATCH(C45,Products!$A$5:$A$504,0))),"")</f>
        <v/>
      </c>
      <c r="E45" s="13" t="n">
        <v>1</v>
      </c>
      <c r="F45" s="11"/>
      <c r="G45" s="10" t="s">
        <v>114</v>
      </c>
      <c r="H45" s="9" t="n">
        <f aca="false">IFERROR(E45*F45,"")</f>
        <v>0</v>
      </c>
      <c r="I45" s="9" t="n">
        <f aca="false">IFERROR(H45*IFERROR(VLOOKUP(G45,VatRates,2,FALSE()),0),"")</f>
        <v>0</v>
      </c>
      <c r="J45" s="9" t="n">
        <f aca="false">IFERROR(H45+I45,"")</f>
        <v>0</v>
      </c>
      <c r="K45" s="13" t="n">
        <v>0</v>
      </c>
    </row>
    <row r="46" customFormat="false" ht="15" hidden="false" customHeight="false" outlineLevel="0" collapsed="false">
      <c r="A46" s="10"/>
      <c r="B46" s="10"/>
      <c r="C46" s="10"/>
      <c r="D46" s="14" t="str">
        <f aca="false">IFERROR(IF(C46="","",INDEX(Products!$C$5:$C$504,MATCH(C46,Products!$A$5:$A$504,0))),"")</f>
        <v/>
      </c>
      <c r="E46" s="13" t="n">
        <v>1</v>
      </c>
      <c r="F46" s="11"/>
      <c r="G46" s="10" t="s">
        <v>114</v>
      </c>
      <c r="H46" s="9" t="n">
        <f aca="false">IFERROR(E46*F46,"")</f>
        <v>0</v>
      </c>
      <c r="I46" s="9" t="n">
        <f aca="false">IFERROR(H46*IFERROR(VLOOKUP(G46,VatRates,2,FALSE()),0),"")</f>
        <v>0</v>
      </c>
      <c r="J46" s="9" t="n">
        <f aca="false">IFERROR(H46+I46,"")</f>
        <v>0</v>
      </c>
      <c r="K46" s="13" t="n">
        <v>0</v>
      </c>
    </row>
    <row r="47" customFormat="false" ht="15" hidden="false" customHeight="false" outlineLevel="0" collapsed="false">
      <c r="A47" s="10"/>
      <c r="B47" s="10"/>
      <c r="C47" s="10"/>
      <c r="D47" s="14" t="str">
        <f aca="false">IFERROR(IF(C47="","",INDEX(Products!$C$5:$C$504,MATCH(C47,Products!$A$5:$A$504,0))),"")</f>
        <v/>
      </c>
      <c r="E47" s="13" t="n">
        <v>1</v>
      </c>
      <c r="F47" s="11"/>
      <c r="G47" s="10" t="s">
        <v>114</v>
      </c>
      <c r="H47" s="9" t="n">
        <f aca="false">IFERROR(E47*F47,"")</f>
        <v>0</v>
      </c>
      <c r="I47" s="9" t="n">
        <f aca="false">IFERROR(H47*IFERROR(VLOOKUP(G47,VatRates,2,FALSE()),0),"")</f>
        <v>0</v>
      </c>
      <c r="J47" s="9" t="n">
        <f aca="false">IFERROR(H47+I47,"")</f>
        <v>0</v>
      </c>
      <c r="K47" s="13" t="n">
        <v>0</v>
      </c>
    </row>
    <row r="48" customFormat="false" ht="15" hidden="false" customHeight="false" outlineLevel="0" collapsed="false">
      <c r="A48" s="10"/>
      <c r="B48" s="10"/>
      <c r="C48" s="10"/>
      <c r="D48" s="14" t="str">
        <f aca="false">IFERROR(IF(C48="","",INDEX(Products!$C$5:$C$504,MATCH(C48,Products!$A$5:$A$504,0))),"")</f>
        <v/>
      </c>
      <c r="E48" s="13" t="n">
        <v>1</v>
      </c>
      <c r="F48" s="11"/>
      <c r="G48" s="10" t="s">
        <v>114</v>
      </c>
      <c r="H48" s="9" t="n">
        <f aca="false">IFERROR(E48*F48,"")</f>
        <v>0</v>
      </c>
      <c r="I48" s="9" t="n">
        <f aca="false">IFERROR(H48*IFERROR(VLOOKUP(G48,VatRates,2,FALSE()),0),"")</f>
        <v>0</v>
      </c>
      <c r="J48" s="9" t="n">
        <f aca="false">IFERROR(H48+I48,"")</f>
        <v>0</v>
      </c>
      <c r="K48" s="13" t="n">
        <v>0</v>
      </c>
    </row>
    <row r="49" customFormat="false" ht="15" hidden="false" customHeight="false" outlineLevel="0" collapsed="false">
      <c r="A49" s="10"/>
      <c r="B49" s="10"/>
      <c r="C49" s="10"/>
      <c r="D49" s="14" t="str">
        <f aca="false">IFERROR(IF(C49="","",INDEX(Products!$C$5:$C$504,MATCH(C49,Products!$A$5:$A$504,0))),"")</f>
        <v/>
      </c>
      <c r="E49" s="13" t="n">
        <v>1</v>
      </c>
      <c r="F49" s="11"/>
      <c r="G49" s="10" t="s">
        <v>114</v>
      </c>
      <c r="H49" s="9" t="n">
        <f aca="false">IFERROR(E49*F49,"")</f>
        <v>0</v>
      </c>
      <c r="I49" s="9" t="n">
        <f aca="false">IFERROR(H49*IFERROR(VLOOKUP(G49,VatRates,2,FALSE()),0),"")</f>
        <v>0</v>
      </c>
      <c r="J49" s="9" t="n">
        <f aca="false">IFERROR(H49+I49,"")</f>
        <v>0</v>
      </c>
      <c r="K49" s="13" t="n">
        <v>0</v>
      </c>
    </row>
    <row r="50" customFormat="false" ht="15" hidden="false" customHeight="false" outlineLevel="0" collapsed="false">
      <c r="A50" s="10"/>
      <c r="B50" s="10"/>
      <c r="C50" s="10"/>
      <c r="D50" s="14" t="str">
        <f aca="false">IFERROR(IF(C50="","",INDEX(Products!$C$5:$C$504,MATCH(C50,Products!$A$5:$A$504,0))),"")</f>
        <v/>
      </c>
      <c r="E50" s="13" t="n">
        <v>1</v>
      </c>
      <c r="F50" s="11"/>
      <c r="G50" s="10" t="s">
        <v>114</v>
      </c>
      <c r="H50" s="9" t="n">
        <f aca="false">IFERROR(E50*F50,"")</f>
        <v>0</v>
      </c>
      <c r="I50" s="9" t="n">
        <f aca="false">IFERROR(H50*IFERROR(VLOOKUP(G50,VatRates,2,FALSE()),0),"")</f>
        <v>0</v>
      </c>
      <c r="J50" s="9" t="n">
        <f aca="false">IFERROR(H50+I50,"")</f>
        <v>0</v>
      </c>
      <c r="K50" s="13" t="n">
        <v>0</v>
      </c>
    </row>
    <row r="51" customFormat="false" ht="15" hidden="false" customHeight="false" outlineLevel="0" collapsed="false">
      <c r="A51" s="10"/>
      <c r="B51" s="10"/>
      <c r="C51" s="10"/>
      <c r="D51" s="14" t="str">
        <f aca="false">IFERROR(IF(C51="","",INDEX(Products!$C$5:$C$504,MATCH(C51,Products!$A$5:$A$504,0))),"")</f>
        <v/>
      </c>
      <c r="E51" s="13" t="n">
        <v>1</v>
      </c>
      <c r="F51" s="11"/>
      <c r="G51" s="10" t="s">
        <v>114</v>
      </c>
      <c r="H51" s="9" t="n">
        <f aca="false">IFERROR(E51*F51,"")</f>
        <v>0</v>
      </c>
      <c r="I51" s="9" t="n">
        <f aca="false">IFERROR(H51*IFERROR(VLOOKUP(G51,VatRates,2,FALSE()),0),"")</f>
        <v>0</v>
      </c>
      <c r="J51" s="9" t="n">
        <f aca="false">IFERROR(H51+I51,"")</f>
        <v>0</v>
      </c>
      <c r="K51" s="13" t="n">
        <v>0</v>
      </c>
    </row>
    <row r="52" customFormat="false" ht="15" hidden="false" customHeight="false" outlineLevel="0" collapsed="false">
      <c r="A52" s="10"/>
      <c r="B52" s="10"/>
      <c r="C52" s="10"/>
      <c r="D52" s="14" t="str">
        <f aca="false">IFERROR(IF(C52="","",INDEX(Products!$C$5:$C$504,MATCH(C52,Products!$A$5:$A$504,0))),"")</f>
        <v/>
      </c>
      <c r="E52" s="13" t="n">
        <v>1</v>
      </c>
      <c r="F52" s="11"/>
      <c r="G52" s="10" t="s">
        <v>114</v>
      </c>
      <c r="H52" s="9" t="n">
        <f aca="false">IFERROR(E52*F52,"")</f>
        <v>0</v>
      </c>
      <c r="I52" s="9" t="n">
        <f aca="false">IFERROR(H52*IFERROR(VLOOKUP(G52,VatRates,2,FALSE()),0),"")</f>
        <v>0</v>
      </c>
      <c r="J52" s="9" t="n">
        <f aca="false">IFERROR(H52+I52,"")</f>
        <v>0</v>
      </c>
      <c r="K52" s="13" t="n">
        <v>0</v>
      </c>
    </row>
    <row r="53" customFormat="false" ht="15" hidden="false" customHeight="false" outlineLevel="0" collapsed="false">
      <c r="A53" s="10"/>
      <c r="B53" s="10"/>
      <c r="C53" s="10"/>
      <c r="D53" s="14" t="str">
        <f aca="false">IFERROR(IF(C53="","",INDEX(Products!$C$5:$C$504,MATCH(C53,Products!$A$5:$A$504,0))),"")</f>
        <v/>
      </c>
      <c r="E53" s="13" t="n">
        <v>1</v>
      </c>
      <c r="F53" s="11"/>
      <c r="G53" s="10" t="s">
        <v>114</v>
      </c>
      <c r="H53" s="9" t="n">
        <f aca="false">IFERROR(E53*F53,"")</f>
        <v>0</v>
      </c>
      <c r="I53" s="9" t="n">
        <f aca="false">IFERROR(H53*IFERROR(VLOOKUP(G53,VatRates,2,FALSE()),0),"")</f>
        <v>0</v>
      </c>
      <c r="J53" s="9" t="n">
        <f aca="false">IFERROR(H53+I53,"")</f>
        <v>0</v>
      </c>
      <c r="K53" s="13" t="n">
        <v>0</v>
      </c>
    </row>
    <row r="54" customFormat="false" ht="15" hidden="false" customHeight="false" outlineLevel="0" collapsed="false">
      <c r="A54" s="10"/>
      <c r="B54" s="10"/>
      <c r="C54" s="10"/>
      <c r="D54" s="14" t="str">
        <f aca="false">IFERROR(IF(C54="","",INDEX(Products!$C$5:$C$504,MATCH(C54,Products!$A$5:$A$504,0))),"")</f>
        <v/>
      </c>
      <c r="E54" s="13" t="n">
        <v>1</v>
      </c>
      <c r="F54" s="11"/>
      <c r="G54" s="10" t="s">
        <v>114</v>
      </c>
      <c r="H54" s="9" t="n">
        <f aca="false">IFERROR(E54*F54,"")</f>
        <v>0</v>
      </c>
      <c r="I54" s="9" t="n">
        <f aca="false">IFERROR(H54*IFERROR(VLOOKUP(G54,VatRates,2,FALSE()),0),"")</f>
        <v>0</v>
      </c>
      <c r="J54" s="9" t="n">
        <f aca="false">IFERROR(H54+I54,"")</f>
        <v>0</v>
      </c>
      <c r="K54" s="13" t="n">
        <v>0</v>
      </c>
    </row>
    <row r="55" customFormat="false" ht="15" hidden="false" customHeight="false" outlineLevel="0" collapsed="false">
      <c r="A55" s="10"/>
      <c r="B55" s="10"/>
      <c r="C55" s="10"/>
      <c r="D55" s="14" t="str">
        <f aca="false">IFERROR(IF(C55="","",INDEX(Products!$C$5:$C$504,MATCH(C55,Products!$A$5:$A$504,0))),"")</f>
        <v/>
      </c>
      <c r="E55" s="13" t="n">
        <v>1</v>
      </c>
      <c r="F55" s="11"/>
      <c r="G55" s="10" t="s">
        <v>114</v>
      </c>
      <c r="H55" s="9" t="n">
        <f aca="false">IFERROR(E55*F55,"")</f>
        <v>0</v>
      </c>
      <c r="I55" s="9" t="n">
        <f aca="false">IFERROR(H55*IFERROR(VLOOKUP(G55,VatRates,2,FALSE()),0),"")</f>
        <v>0</v>
      </c>
      <c r="J55" s="9" t="n">
        <f aca="false">IFERROR(H55+I55,"")</f>
        <v>0</v>
      </c>
      <c r="K55" s="13" t="n">
        <v>0</v>
      </c>
    </row>
    <row r="56" customFormat="false" ht="15" hidden="false" customHeight="false" outlineLevel="0" collapsed="false">
      <c r="A56" s="10"/>
      <c r="B56" s="10"/>
      <c r="C56" s="10"/>
      <c r="D56" s="14" t="str">
        <f aca="false">IFERROR(IF(C56="","",INDEX(Products!$C$5:$C$504,MATCH(C56,Products!$A$5:$A$504,0))),"")</f>
        <v/>
      </c>
      <c r="E56" s="13" t="n">
        <v>1</v>
      </c>
      <c r="F56" s="11"/>
      <c r="G56" s="10" t="s">
        <v>114</v>
      </c>
      <c r="H56" s="9" t="n">
        <f aca="false">IFERROR(E56*F56,"")</f>
        <v>0</v>
      </c>
      <c r="I56" s="9" t="n">
        <f aca="false">IFERROR(H56*IFERROR(VLOOKUP(G56,VatRates,2,FALSE()),0),"")</f>
        <v>0</v>
      </c>
      <c r="J56" s="9" t="n">
        <f aca="false">IFERROR(H56+I56,"")</f>
        <v>0</v>
      </c>
      <c r="K56" s="13" t="n">
        <v>0</v>
      </c>
    </row>
    <row r="57" customFormat="false" ht="15" hidden="false" customHeight="false" outlineLevel="0" collapsed="false">
      <c r="A57" s="10"/>
      <c r="B57" s="10"/>
      <c r="C57" s="10"/>
      <c r="D57" s="14" t="str">
        <f aca="false">IFERROR(IF(C57="","",INDEX(Products!$C$5:$C$504,MATCH(C57,Products!$A$5:$A$504,0))),"")</f>
        <v/>
      </c>
      <c r="E57" s="13" t="n">
        <v>1</v>
      </c>
      <c r="F57" s="11"/>
      <c r="G57" s="10" t="s">
        <v>114</v>
      </c>
      <c r="H57" s="9" t="n">
        <f aca="false">IFERROR(E57*F57,"")</f>
        <v>0</v>
      </c>
      <c r="I57" s="9" t="n">
        <f aca="false">IFERROR(H57*IFERROR(VLOOKUP(G57,VatRates,2,FALSE()),0),"")</f>
        <v>0</v>
      </c>
      <c r="J57" s="9" t="n">
        <f aca="false">IFERROR(H57+I57,"")</f>
        <v>0</v>
      </c>
      <c r="K57" s="13" t="n">
        <v>0</v>
      </c>
    </row>
    <row r="58" customFormat="false" ht="15" hidden="false" customHeight="false" outlineLevel="0" collapsed="false">
      <c r="A58" s="10"/>
      <c r="B58" s="10"/>
      <c r="C58" s="10"/>
      <c r="D58" s="14" t="str">
        <f aca="false">IFERROR(IF(C58="","",INDEX(Products!$C$5:$C$504,MATCH(C58,Products!$A$5:$A$504,0))),"")</f>
        <v/>
      </c>
      <c r="E58" s="13" t="n">
        <v>1</v>
      </c>
      <c r="F58" s="11"/>
      <c r="G58" s="10" t="s">
        <v>114</v>
      </c>
      <c r="H58" s="9" t="n">
        <f aca="false">IFERROR(E58*F58,"")</f>
        <v>0</v>
      </c>
      <c r="I58" s="9" t="n">
        <f aca="false">IFERROR(H58*IFERROR(VLOOKUP(G58,VatRates,2,FALSE()),0),"")</f>
        <v>0</v>
      </c>
      <c r="J58" s="9" t="n">
        <f aca="false">IFERROR(H58+I58,"")</f>
        <v>0</v>
      </c>
      <c r="K58" s="13" t="n">
        <v>0</v>
      </c>
    </row>
    <row r="59" customFormat="false" ht="15" hidden="false" customHeight="false" outlineLevel="0" collapsed="false">
      <c r="A59" s="10"/>
      <c r="B59" s="10"/>
      <c r="C59" s="10"/>
      <c r="D59" s="14" t="str">
        <f aca="false">IFERROR(IF(C59="","",INDEX(Products!$C$5:$C$504,MATCH(C59,Products!$A$5:$A$504,0))),"")</f>
        <v/>
      </c>
      <c r="E59" s="13" t="n">
        <v>1</v>
      </c>
      <c r="F59" s="11"/>
      <c r="G59" s="10" t="s">
        <v>114</v>
      </c>
      <c r="H59" s="9" t="n">
        <f aca="false">IFERROR(E59*F59,"")</f>
        <v>0</v>
      </c>
      <c r="I59" s="9" t="n">
        <f aca="false">IFERROR(H59*IFERROR(VLOOKUP(G59,VatRates,2,FALSE()),0),"")</f>
        <v>0</v>
      </c>
      <c r="J59" s="9" t="n">
        <f aca="false">IFERROR(H59+I59,"")</f>
        <v>0</v>
      </c>
      <c r="K59" s="13" t="n">
        <v>0</v>
      </c>
    </row>
    <row r="60" customFormat="false" ht="15" hidden="false" customHeight="false" outlineLevel="0" collapsed="false">
      <c r="A60" s="10"/>
      <c r="B60" s="10"/>
      <c r="C60" s="10"/>
      <c r="D60" s="14" t="str">
        <f aca="false">IFERROR(IF(C60="","",INDEX(Products!$C$5:$C$504,MATCH(C60,Products!$A$5:$A$504,0))),"")</f>
        <v/>
      </c>
      <c r="E60" s="13" t="n">
        <v>1</v>
      </c>
      <c r="F60" s="11"/>
      <c r="G60" s="10" t="s">
        <v>114</v>
      </c>
      <c r="H60" s="9" t="n">
        <f aca="false">IFERROR(E60*F60,"")</f>
        <v>0</v>
      </c>
      <c r="I60" s="9" t="n">
        <f aca="false">IFERROR(H60*IFERROR(VLOOKUP(G60,VatRates,2,FALSE()),0),"")</f>
        <v>0</v>
      </c>
      <c r="J60" s="9" t="n">
        <f aca="false">IFERROR(H60+I60,"")</f>
        <v>0</v>
      </c>
      <c r="K60" s="13" t="n">
        <v>0</v>
      </c>
    </row>
    <row r="61" customFormat="false" ht="15" hidden="false" customHeight="false" outlineLevel="0" collapsed="false">
      <c r="A61" s="10"/>
      <c r="B61" s="10"/>
      <c r="C61" s="10"/>
      <c r="D61" s="14" t="str">
        <f aca="false">IFERROR(IF(C61="","",INDEX(Products!$C$5:$C$504,MATCH(C61,Products!$A$5:$A$504,0))),"")</f>
        <v/>
      </c>
      <c r="E61" s="13" t="n">
        <v>1</v>
      </c>
      <c r="F61" s="11"/>
      <c r="G61" s="10" t="s">
        <v>114</v>
      </c>
      <c r="H61" s="9" t="n">
        <f aca="false">IFERROR(E61*F61,"")</f>
        <v>0</v>
      </c>
      <c r="I61" s="9" t="n">
        <f aca="false">IFERROR(H61*IFERROR(VLOOKUP(G61,VatRates,2,FALSE()),0),"")</f>
        <v>0</v>
      </c>
      <c r="J61" s="9" t="n">
        <f aca="false">IFERROR(H61+I61,"")</f>
        <v>0</v>
      </c>
      <c r="K61" s="13" t="n">
        <v>0</v>
      </c>
    </row>
    <row r="62" customFormat="false" ht="15" hidden="false" customHeight="false" outlineLevel="0" collapsed="false">
      <c r="A62" s="10"/>
      <c r="B62" s="10"/>
      <c r="C62" s="10"/>
      <c r="D62" s="14" t="str">
        <f aca="false">IFERROR(IF(C62="","",INDEX(Products!$C$5:$C$504,MATCH(C62,Products!$A$5:$A$504,0))),"")</f>
        <v/>
      </c>
      <c r="E62" s="13" t="n">
        <v>1</v>
      </c>
      <c r="F62" s="11"/>
      <c r="G62" s="10" t="s">
        <v>114</v>
      </c>
      <c r="H62" s="9" t="n">
        <f aca="false">IFERROR(E62*F62,"")</f>
        <v>0</v>
      </c>
      <c r="I62" s="9" t="n">
        <f aca="false">IFERROR(H62*IFERROR(VLOOKUP(G62,VatRates,2,FALSE()),0),"")</f>
        <v>0</v>
      </c>
      <c r="J62" s="9" t="n">
        <f aca="false">IFERROR(H62+I62,"")</f>
        <v>0</v>
      </c>
      <c r="K62" s="13" t="n">
        <v>0</v>
      </c>
    </row>
    <row r="63" customFormat="false" ht="15" hidden="false" customHeight="false" outlineLevel="0" collapsed="false">
      <c r="A63" s="10"/>
      <c r="B63" s="10"/>
      <c r="C63" s="10"/>
      <c r="D63" s="14" t="str">
        <f aca="false">IFERROR(IF(C63="","",INDEX(Products!$C$5:$C$504,MATCH(C63,Products!$A$5:$A$504,0))),"")</f>
        <v/>
      </c>
      <c r="E63" s="13" t="n">
        <v>1</v>
      </c>
      <c r="F63" s="11"/>
      <c r="G63" s="10" t="s">
        <v>114</v>
      </c>
      <c r="H63" s="9" t="n">
        <f aca="false">IFERROR(E63*F63,"")</f>
        <v>0</v>
      </c>
      <c r="I63" s="9" t="n">
        <f aca="false">IFERROR(H63*IFERROR(VLOOKUP(G63,VatRates,2,FALSE()),0),"")</f>
        <v>0</v>
      </c>
      <c r="J63" s="9" t="n">
        <f aca="false">IFERROR(H63+I63,"")</f>
        <v>0</v>
      </c>
      <c r="K63" s="13" t="n">
        <v>0</v>
      </c>
    </row>
    <row r="64" customFormat="false" ht="15" hidden="false" customHeight="false" outlineLevel="0" collapsed="false">
      <c r="A64" s="10"/>
      <c r="B64" s="10"/>
      <c r="C64" s="10"/>
      <c r="D64" s="14" t="str">
        <f aca="false">IFERROR(IF(C64="","",INDEX(Products!$C$5:$C$504,MATCH(C64,Products!$A$5:$A$504,0))),"")</f>
        <v/>
      </c>
      <c r="E64" s="13" t="n">
        <v>1</v>
      </c>
      <c r="F64" s="11"/>
      <c r="G64" s="10" t="s">
        <v>114</v>
      </c>
      <c r="H64" s="9" t="n">
        <f aca="false">IFERROR(E64*F64,"")</f>
        <v>0</v>
      </c>
      <c r="I64" s="9" t="n">
        <f aca="false">IFERROR(H64*IFERROR(VLOOKUP(G64,VatRates,2,FALSE()),0),"")</f>
        <v>0</v>
      </c>
      <c r="J64" s="9" t="n">
        <f aca="false">IFERROR(H64+I64,"")</f>
        <v>0</v>
      </c>
      <c r="K64" s="13" t="n">
        <v>0</v>
      </c>
    </row>
    <row r="65" customFormat="false" ht="15" hidden="false" customHeight="false" outlineLevel="0" collapsed="false">
      <c r="A65" s="10"/>
      <c r="B65" s="10"/>
      <c r="C65" s="10"/>
      <c r="D65" s="14" t="str">
        <f aca="false">IFERROR(IF(C65="","",INDEX(Products!$C$5:$C$504,MATCH(C65,Products!$A$5:$A$504,0))),"")</f>
        <v/>
      </c>
      <c r="E65" s="13" t="n">
        <v>1</v>
      </c>
      <c r="F65" s="11"/>
      <c r="G65" s="10" t="s">
        <v>114</v>
      </c>
      <c r="H65" s="9" t="n">
        <f aca="false">IFERROR(E65*F65,"")</f>
        <v>0</v>
      </c>
      <c r="I65" s="9" t="n">
        <f aca="false">IFERROR(H65*IFERROR(VLOOKUP(G65,VatRates,2,FALSE()),0),"")</f>
        <v>0</v>
      </c>
      <c r="J65" s="9" t="n">
        <f aca="false">IFERROR(H65+I65,"")</f>
        <v>0</v>
      </c>
      <c r="K65" s="13" t="n">
        <v>0</v>
      </c>
    </row>
    <row r="66" customFormat="false" ht="15" hidden="false" customHeight="false" outlineLevel="0" collapsed="false">
      <c r="A66" s="10"/>
      <c r="B66" s="10"/>
      <c r="C66" s="10"/>
      <c r="D66" s="14" t="str">
        <f aca="false">IFERROR(IF(C66="","",INDEX(Products!$C$5:$C$504,MATCH(C66,Products!$A$5:$A$504,0))),"")</f>
        <v/>
      </c>
      <c r="E66" s="13" t="n">
        <v>1</v>
      </c>
      <c r="F66" s="11"/>
      <c r="G66" s="10" t="s">
        <v>114</v>
      </c>
      <c r="H66" s="9" t="n">
        <f aca="false">IFERROR(E66*F66,"")</f>
        <v>0</v>
      </c>
      <c r="I66" s="9" t="n">
        <f aca="false">IFERROR(H66*IFERROR(VLOOKUP(G66,VatRates,2,FALSE()),0),"")</f>
        <v>0</v>
      </c>
      <c r="J66" s="9" t="n">
        <f aca="false">IFERROR(H66+I66,"")</f>
        <v>0</v>
      </c>
      <c r="K66" s="13" t="n">
        <v>0</v>
      </c>
    </row>
    <row r="67" customFormat="false" ht="15" hidden="false" customHeight="false" outlineLevel="0" collapsed="false">
      <c r="A67" s="10"/>
      <c r="B67" s="10"/>
      <c r="C67" s="10"/>
      <c r="D67" s="14" t="str">
        <f aca="false">IFERROR(IF(C67="","",INDEX(Products!$C$5:$C$504,MATCH(C67,Products!$A$5:$A$504,0))),"")</f>
        <v/>
      </c>
      <c r="E67" s="13" t="n">
        <v>1</v>
      </c>
      <c r="F67" s="11"/>
      <c r="G67" s="10" t="s">
        <v>114</v>
      </c>
      <c r="H67" s="9" t="n">
        <f aca="false">IFERROR(E67*F67,"")</f>
        <v>0</v>
      </c>
      <c r="I67" s="9" t="n">
        <f aca="false">IFERROR(H67*IFERROR(VLOOKUP(G67,VatRates,2,FALSE()),0),"")</f>
        <v>0</v>
      </c>
      <c r="J67" s="9" t="n">
        <f aca="false">IFERROR(H67+I67,"")</f>
        <v>0</v>
      </c>
      <c r="K67" s="13" t="n">
        <v>0</v>
      </c>
    </row>
    <row r="68" customFormat="false" ht="15" hidden="false" customHeight="false" outlineLevel="0" collapsed="false">
      <c r="A68" s="10"/>
      <c r="B68" s="10"/>
      <c r="C68" s="10"/>
      <c r="D68" s="14" t="str">
        <f aca="false">IFERROR(IF(C68="","",INDEX(Products!$C$5:$C$504,MATCH(C68,Products!$A$5:$A$504,0))),"")</f>
        <v/>
      </c>
      <c r="E68" s="13" t="n">
        <v>1</v>
      </c>
      <c r="F68" s="11"/>
      <c r="G68" s="10" t="s">
        <v>114</v>
      </c>
      <c r="H68" s="9" t="n">
        <f aca="false">IFERROR(E68*F68,"")</f>
        <v>0</v>
      </c>
      <c r="I68" s="9" t="n">
        <f aca="false">IFERROR(H68*IFERROR(VLOOKUP(G68,VatRates,2,FALSE()),0),"")</f>
        <v>0</v>
      </c>
      <c r="J68" s="9" t="n">
        <f aca="false">IFERROR(H68+I68,"")</f>
        <v>0</v>
      </c>
      <c r="K68" s="13" t="n">
        <v>0</v>
      </c>
    </row>
    <row r="69" customFormat="false" ht="15" hidden="false" customHeight="false" outlineLevel="0" collapsed="false">
      <c r="A69" s="10"/>
      <c r="B69" s="10"/>
      <c r="C69" s="10"/>
      <c r="D69" s="14" t="str">
        <f aca="false">IFERROR(IF(C69="","",INDEX(Products!$C$5:$C$504,MATCH(C69,Products!$A$5:$A$504,0))),"")</f>
        <v/>
      </c>
      <c r="E69" s="13" t="n">
        <v>1</v>
      </c>
      <c r="F69" s="11"/>
      <c r="G69" s="10" t="s">
        <v>114</v>
      </c>
      <c r="H69" s="9" t="n">
        <f aca="false">IFERROR(E69*F69,"")</f>
        <v>0</v>
      </c>
      <c r="I69" s="9" t="n">
        <f aca="false">IFERROR(H69*IFERROR(VLOOKUP(G69,VatRates,2,FALSE()),0),"")</f>
        <v>0</v>
      </c>
      <c r="J69" s="9" t="n">
        <f aca="false">IFERROR(H69+I69,"")</f>
        <v>0</v>
      </c>
      <c r="K69" s="13" t="n">
        <v>0</v>
      </c>
    </row>
    <row r="70" customFormat="false" ht="15" hidden="false" customHeight="false" outlineLevel="0" collapsed="false">
      <c r="A70" s="10"/>
      <c r="B70" s="10"/>
      <c r="C70" s="10"/>
      <c r="D70" s="14" t="str">
        <f aca="false">IFERROR(IF(C70="","",INDEX(Products!$C$5:$C$504,MATCH(C70,Products!$A$5:$A$504,0))),"")</f>
        <v/>
      </c>
      <c r="E70" s="13" t="n">
        <v>1</v>
      </c>
      <c r="F70" s="11"/>
      <c r="G70" s="10" t="s">
        <v>114</v>
      </c>
      <c r="H70" s="9" t="n">
        <f aca="false">IFERROR(E70*F70,"")</f>
        <v>0</v>
      </c>
      <c r="I70" s="9" t="n">
        <f aca="false">IFERROR(H70*IFERROR(VLOOKUP(G70,VatRates,2,FALSE()),0),"")</f>
        <v>0</v>
      </c>
      <c r="J70" s="9" t="n">
        <f aca="false">IFERROR(H70+I70,"")</f>
        <v>0</v>
      </c>
      <c r="K70" s="13" t="n">
        <v>0</v>
      </c>
    </row>
    <row r="71" customFormat="false" ht="15" hidden="false" customHeight="false" outlineLevel="0" collapsed="false">
      <c r="A71" s="10"/>
      <c r="B71" s="10"/>
      <c r="C71" s="10"/>
      <c r="D71" s="14" t="str">
        <f aca="false">IFERROR(IF(C71="","",INDEX(Products!$C$5:$C$504,MATCH(C71,Products!$A$5:$A$504,0))),"")</f>
        <v/>
      </c>
      <c r="E71" s="13" t="n">
        <v>1</v>
      </c>
      <c r="F71" s="11"/>
      <c r="G71" s="10" t="s">
        <v>114</v>
      </c>
      <c r="H71" s="9" t="n">
        <f aca="false">IFERROR(E71*F71,"")</f>
        <v>0</v>
      </c>
      <c r="I71" s="9" t="n">
        <f aca="false">IFERROR(H71*IFERROR(VLOOKUP(G71,VatRates,2,FALSE()),0),"")</f>
        <v>0</v>
      </c>
      <c r="J71" s="9" t="n">
        <f aca="false">IFERROR(H71+I71,"")</f>
        <v>0</v>
      </c>
      <c r="K71" s="13" t="n">
        <v>0</v>
      </c>
    </row>
    <row r="72" customFormat="false" ht="15" hidden="false" customHeight="false" outlineLevel="0" collapsed="false">
      <c r="A72" s="10"/>
      <c r="B72" s="10"/>
      <c r="C72" s="10"/>
      <c r="D72" s="14" t="str">
        <f aca="false">IFERROR(IF(C72="","",INDEX(Products!$C$5:$C$504,MATCH(C72,Products!$A$5:$A$504,0))),"")</f>
        <v/>
      </c>
      <c r="E72" s="13" t="n">
        <v>1</v>
      </c>
      <c r="F72" s="11"/>
      <c r="G72" s="10" t="s">
        <v>114</v>
      </c>
      <c r="H72" s="9" t="n">
        <f aca="false">IFERROR(E72*F72,"")</f>
        <v>0</v>
      </c>
      <c r="I72" s="9" t="n">
        <f aca="false">IFERROR(H72*IFERROR(VLOOKUP(G72,VatRates,2,FALSE()),0),"")</f>
        <v>0</v>
      </c>
      <c r="J72" s="9" t="n">
        <f aca="false">IFERROR(H72+I72,"")</f>
        <v>0</v>
      </c>
      <c r="K72" s="13" t="n">
        <v>0</v>
      </c>
    </row>
    <row r="73" customFormat="false" ht="15" hidden="false" customHeight="false" outlineLevel="0" collapsed="false">
      <c r="A73" s="10"/>
      <c r="B73" s="10"/>
      <c r="C73" s="10"/>
      <c r="D73" s="14" t="str">
        <f aca="false">IFERROR(IF(C73="","",INDEX(Products!$C$5:$C$504,MATCH(C73,Products!$A$5:$A$504,0))),"")</f>
        <v/>
      </c>
      <c r="E73" s="13" t="n">
        <v>1</v>
      </c>
      <c r="F73" s="11"/>
      <c r="G73" s="10" t="s">
        <v>114</v>
      </c>
      <c r="H73" s="9" t="n">
        <f aca="false">IFERROR(E73*F73,"")</f>
        <v>0</v>
      </c>
      <c r="I73" s="9" t="n">
        <f aca="false">IFERROR(H73*IFERROR(VLOOKUP(G73,VatRates,2,FALSE()),0),"")</f>
        <v>0</v>
      </c>
      <c r="J73" s="9" t="n">
        <f aca="false">IFERROR(H73+I73,"")</f>
        <v>0</v>
      </c>
      <c r="K73" s="13" t="n">
        <v>0</v>
      </c>
    </row>
    <row r="74" customFormat="false" ht="15" hidden="false" customHeight="false" outlineLevel="0" collapsed="false">
      <c r="A74" s="10"/>
      <c r="B74" s="10"/>
      <c r="C74" s="10"/>
      <c r="D74" s="14" t="str">
        <f aca="false">IFERROR(IF(C74="","",INDEX(Products!$C$5:$C$504,MATCH(C74,Products!$A$5:$A$504,0))),"")</f>
        <v/>
      </c>
      <c r="E74" s="13" t="n">
        <v>1</v>
      </c>
      <c r="F74" s="11"/>
      <c r="G74" s="10" t="s">
        <v>114</v>
      </c>
      <c r="H74" s="9" t="n">
        <f aca="false">IFERROR(E74*F74,"")</f>
        <v>0</v>
      </c>
      <c r="I74" s="9" t="n">
        <f aca="false">IFERROR(H74*IFERROR(VLOOKUP(G74,VatRates,2,FALSE()),0),"")</f>
        <v>0</v>
      </c>
      <c r="J74" s="9" t="n">
        <f aca="false">IFERROR(H74+I74,"")</f>
        <v>0</v>
      </c>
      <c r="K74" s="13" t="n">
        <v>0</v>
      </c>
    </row>
    <row r="75" customFormat="false" ht="15" hidden="false" customHeight="false" outlineLevel="0" collapsed="false">
      <c r="A75" s="10"/>
      <c r="B75" s="10"/>
      <c r="C75" s="10"/>
      <c r="D75" s="14" t="str">
        <f aca="false">IFERROR(IF(C75="","",INDEX(Products!$C$5:$C$504,MATCH(C75,Products!$A$5:$A$504,0))),"")</f>
        <v/>
      </c>
      <c r="E75" s="13" t="n">
        <v>1</v>
      </c>
      <c r="F75" s="11"/>
      <c r="G75" s="10" t="s">
        <v>114</v>
      </c>
      <c r="H75" s="9" t="n">
        <f aca="false">IFERROR(E75*F75,"")</f>
        <v>0</v>
      </c>
      <c r="I75" s="9" t="n">
        <f aca="false">IFERROR(H75*IFERROR(VLOOKUP(G75,VatRates,2,FALSE()),0),"")</f>
        <v>0</v>
      </c>
      <c r="J75" s="9" t="n">
        <f aca="false">IFERROR(H75+I75,"")</f>
        <v>0</v>
      </c>
      <c r="K75" s="13" t="n">
        <v>0</v>
      </c>
    </row>
    <row r="76" customFormat="false" ht="15" hidden="false" customHeight="false" outlineLevel="0" collapsed="false">
      <c r="A76" s="10"/>
      <c r="B76" s="10"/>
      <c r="C76" s="10"/>
      <c r="D76" s="14" t="str">
        <f aca="false">IFERROR(IF(C76="","",INDEX(Products!$C$5:$C$504,MATCH(C76,Products!$A$5:$A$504,0))),"")</f>
        <v/>
      </c>
      <c r="E76" s="13" t="n">
        <v>1</v>
      </c>
      <c r="F76" s="11"/>
      <c r="G76" s="10" t="s">
        <v>114</v>
      </c>
      <c r="H76" s="9" t="n">
        <f aca="false">IFERROR(E76*F76,"")</f>
        <v>0</v>
      </c>
      <c r="I76" s="9" t="n">
        <f aca="false">IFERROR(H76*IFERROR(VLOOKUP(G76,VatRates,2,FALSE()),0),"")</f>
        <v>0</v>
      </c>
      <c r="J76" s="9" t="n">
        <f aca="false">IFERROR(H76+I76,"")</f>
        <v>0</v>
      </c>
      <c r="K76" s="13" t="n">
        <v>0</v>
      </c>
    </row>
    <row r="77" customFormat="false" ht="15" hidden="false" customHeight="false" outlineLevel="0" collapsed="false">
      <c r="A77" s="10"/>
      <c r="B77" s="10"/>
      <c r="C77" s="10"/>
      <c r="D77" s="14" t="str">
        <f aca="false">IFERROR(IF(C77="","",INDEX(Products!$C$5:$C$504,MATCH(C77,Products!$A$5:$A$504,0))),"")</f>
        <v/>
      </c>
      <c r="E77" s="13" t="n">
        <v>1</v>
      </c>
      <c r="F77" s="11"/>
      <c r="G77" s="10" t="s">
        <v>114</v>
      </c>
      <c r="H77" s="9" t="n">
        <f aca="false">IFERROR(E77*F77,"")</f>
        <v>0</v>
      </c>
      <c r="I77" s="9" t="n">
        <f aca="false">IFERROR(H77*IFERROR(VLOOKUP(G77,VatRates,2,FALSE()),0),"")</f>
        <v>0</v>
      </c>
      <c r="J77" s="9" t="n">
        <f aca="false">IFERROR(H77+I77,"")</f>
        <v>0</v>
      </c>
      <c r="K77" s="13" t="n">
        <v>0</v>
      </c>
    </row>
    <row r="78" customFormat="false" ht="15" hidden="false" customHeight="false" outlineLevel="0" collapsed="false">
      <c r="A78" s="10"/>
      <c r="B78" s="10"/>
      <c r="C78" s="10"/>
      <c r="D78" s="14" t="str">
        <f aca="false">IFERROR(IF(C78="","",INDEX(Products!$C$5:$C$504,MATCH(C78,Products!$A$5:$A$504,0))),"")</f>
        <v/>
      </c>
      <c r="E78" s="13" t="n">
        <v>1</v>
      </c>
      <c r="F78" s="11"/>
      <c r="G78" s="10" t="s">
        <v>114</v>
      </c>
      <c r="H78" s="9" t="n">
        <f aca="false">IFERROR(E78*F78,"")</f>
        <v>0</v>
      </c>
      <c r="I78" s="9" t="n">
        <f aca="false">IFERROR(H78*IFERROR(VLOOKUP(G78,VatRates,2,FALSE()),0),"")</f>
        <v>0</v>
      </c>
      <c r="J78" s="9" t="n">
        <f aca="false">IFERROR(H78+I78,"")</f>
        <v>0</v>
      </c>
      <c r="K78" s="13" t="n">
        <v>0</v>
      </c>
    </row>
    <row r="79" customFormat="false" ht="15" hidden="false" customHeight="false" outlineLevel="0" collapsed="false">
      <c r="A79" s="10"/>
      <c r="B79" s="10"/>
      <c r="C79" s="10"/>
      <c r="D79" s="14" t="str">
        <f aca="false">IFERROR(IF(C79="","",INDEX(Products!$C$5:$C$504,MATCH(C79,Products!$A$5:$A$504,0))),"")</f>
        <v/>
      </c>
      <c r="E79" s="13" t="n">
        <v>1</v>
      </c>
      <c r="F79" s="11"/>
      <c r="G79" s="10" t="s">
        <v>114</v>
      </c>
      <c r="H79" s="9" t="n">
        <f aca="false">IFERROR(E79*F79,"")</f>
        <v>0</v>
      </c>
      <c r="I79" s="9" t="n">
        <f aca="false">IFERROR(H79*IFERROR(VLOOKUP(G79,VatRates,2,FALSE()),0),"")</f>
        <v>0</v>
      </c>
      <c r="J79" s="9" t="n">
        <f aca="false">IFERROR(H79+I79,"")</f>
        <v>0</v>
      </c>
      <c r="K79" s="13" t="n">
        <v>0</v>
      </c>
    </row>
    <row r="80" customFormat="false" ht="15" hidden="false" customHeight="false" outlineLevel="0" collapsed="false">
      <c r="A80" s="10"/>
      <c r="B80" s="10"/>
      <c r="C80" s="10"/>
      <c r="D80" s="14" t="str">
        <f aca="false">IFERROR(IF(C80="","",INDEX(Products!$C$5:$C$504,MATCH(C80,Products!$A$5:$A$504,0))),"")</f>
        <v/>
      </c>
      <c r="E80" s="13" t="n">
        <v>1</v>
      </c>
      <c r="F80" s="11"/>
      <c r="G80" s="10" t="s">
        <v>114</v>
      </c>
      <c r="H80" s="9" t="n">
        <f aca="false">IFERROR(E80*F80,"")</f>
        <v>0</v>
      </c>
      <c r="I80" s="9" t="n">
        <f aca="false">IFERROR(H80*IFERROR(VLOOKUP(G80,VatRates,2,FALSE()),0),"")</f>
        <v>0</v>
      </c>
      <c r="J80" s="9" t="n">
        <f aca="false">IFERROR(H80+I80,"")</f>
        <v>0</v>
      </c>
      <c r="K80" s="13" t="n">
        <v>0</v>
      </c>
    </row>
    <row r="81" customFormat="false" ht="15" hidden="false" customHeight="false" outlineLevel="0" collapsed="false">
      <c r="A81" s="10"/>
      <c r="B81" s="10"/>
      <c r="C81" s="10"/>
      <c r="D81" s="14" t="str">
        <f aca="false">IFERROR(IF(C81="","",INDEX(Products!$C$5:$C$504,MATCH(C81,Products!$A$5:$A$504,0))),"")</f>
        <v/>
      </c>
      <c r="E81" s="13" t="n">
        <v>1</v>
      </c>
      <c r="F81" s="11"/>
      <c r="G81" s="10" t="s">
        <v>114</v>
      </c>
      <c r="H81" s="9" t="n">
        <f aca="false">IFERROR(E81*F81,"")</f>
        <v>0</v>
      </c>
      <c r="I81" s="9" t="n">
        <f aca="false">IFERROR(H81*IFERROR(VLOOKUP(G81,VatRates,2,FALSE()),0),"")</f>
        <v>0</v>
      </c>
      <c r="J81" s="9" t="n">
        <f aca="false">IFERROR(H81+I81,"")</f>
        <v>0</v>
      </c>
      <c r="K81" s="13" t="n">
        <v>0</v>
      </c>
    </row>
    <row r="82" customFormat="false" ht="15" hidden="false" customHeight="false" outlineLevel="0" collapsed="false">
      <c r="A82" s="10"/>
      <c r="B82" s="10"/>
      <c r="C82" s="10"/>
      <c r="D82" s="14" t="str">
        <f aca="false">IFERROR(IF(C82="","",INDEX(Products!$C$5:$C$504,MATCH(C82,Products!$A$5:$A$504,0))),"")</f>
        <v/>
      </c>
      <c r="E82" s="13" t="n">
        <v>1</v>
      </c>
      <c r="F82" s="11"/>
      <c r="G82" s="10" t="s">
        <v>114</v>
      </c>
      <c r="H82" s="9" t="n">
        <f aca="false">IFERROR(E82*F82,"")</f>
        <v>0</v>
      </c>
      <c r="I82" s="9" t="n">
        <f aca="false">IFERROR(H82*IFERROR(VLOOKUP(G82,VatRates,2,FALSE()),0),"")</f>
        <v>0</v>
      </c>
      <c r="J82" s="9" t="n">
        <f aca="false">IFERROR(H82+I82,"")</f>
        <v>0</v>
      </c>
      <c r="K82" s="13" t="n">
        <v>0</v>
      </c>
    </row>
    <row r="83" customFormat="false" ht="15" hidden="false" customHeight="false" outlineLevel="0" collapsed="false">
      <c r="A83" s="10"/>
      <c r="B83" s="10"/>
      <c r="C83" s="10"/>
      <c r="D83" s="14" t="str">
        <f aca="false">IFERROR(IF(C83="","",INDEX(Products!$C$5:$C$504,MATCH(C83,Products!$A$5:$A$504,0))),"")</f>
        <v/>
      </c>
      <c r="E83" s="13" t="n">
        <v>1</v>
      </c>
      <c r="F83" s="11"/>
      <c r="G83" s="10" t="s">
        <v>114</v>
      </c>
      <c r="H83" s="9" t="n">
        <f aca="false">IFERROR(E83*F83,"")</f>
        <v>0</v>
      </c>
      <c r="I83" s="9" t="n">
        <f aca="false">IFERROR(H83*IFERROR(VLOOKUP(G83,VatRates,2,FALSE()),0),"")</f>
        <v>0</v>
      </c>
      <c r="J83" s="9" t="n">
        <f aca="false">IFERROR(H83+I83,"")</f>
        <v>0</v>
      </c>
      <c r="K83" s="13" t="n">
        <v>0</v>
      </c>
    </row>
    <row r="84" customFormat="false" ht="15" hidden="false" customHeight="false" outlineLevel="0" collapsed="false">
      <c r="A84" s="10"/>
      <c r="B84" s="10"/>
      <c r="C84" s="10"/>
      <c r="D84" s="14" t="str">
        <f aca="false">IFERROR(IF(C84="","",INDEX(Products!$C$5:$C$504,MATCH(C84,Products!$A$5:$A$504,0))),"")</f>
        <v/>
      </c>
      <c r="E84" s="13" t="n">
        <v>1</v>
      </c>
      <c r="F84" s="11"/>
      <c r="G84" s="10" t="s">
        <v>114</v>
      </c>
      <c r="H84" s="9" t="n">
        <f aca="false">IFERROR(E84*F84,"")</f>
        <v>0</v>
      </c>
      <c r="I84" s="9" t="n">
        <f aca="false">IFERROR(H84*IFERROR(VLOOKUP(G84,VatRates,2,FALSE()),0),"")</f>
        <v>0</v>
      </c>
      <c r="J84" s="9" t="n">
        <f aca="false">IFERROR(H84+I84,"")</f>
        <v>0</v>
      </c>
      <c r="K84" s="13" t="n">
        <v>0</v>
      </c>
    </row>
    <row r="85" customFormat="false" ht="15" hidden="false" customHeight="false" outlineLevel="0" collapsed="false">
      <c r="A85" s="10"/>
      <c r="B85" s="10"/>
      <c r="C85" s="10"/>
      <c r="D85" s="14" t="str">
        <f aca="false">IFERROR(IF(C85="","",INDEX(Products!$C$5:$C$504,MATCH(C85,Products!$A$5:$A$504,0))),"")</f>
        <v/>
      </c>
      <c r="E85" s="13" t="n">
        <v>1</v>
      </c>
      <c r="F85" s="11"/>
      <c r="G85" s="10" t="s">
        <v>114</v>
      </c>
      <c r="H85" s="9" t="n">
        <f aca="false">IFERROR(E85*F85,"")</f>
        <v>0</v>
      </c>
      <c r="I85" s="9" t="n">
        <f aca="false">IFERROR(H85*IFERROR(VLOOKUP(G85,VatRates,2,FALSE()),0),"")</f>
        <v>0</v>
      </c>
      <c r="J85" s="9" t="n">
        <f aca="false">IFERROR(H85+I85,"")</f>
        <v>0</v>
      </c>
      <c r="K85" s="13" t="n">
        <v>0</v>
      </c>
    </row>
    <row r="86" customFormat="false" ht="15" hidden="false" customHeight="false" outlineLevel="0" collapsed="false">
      <c r="A86" s="10"/>
      <c r="B86" s="10"/>
      <c r="C86" s="10"/>
      <c r="D86" s="14" t="str">
        <f aca="false">IFERROR(IF(C86="","",INDEX(Products!$C$5:$C$504,MATCH(C86,Products!$A$5:$A$504,0))),"")</f>
        <v/>
      </c>
      <c r="E86" s="13" t="n">
        <v>1</v>
      </c>
      <c r="F86" s="11"/>
      <c r="G86" s="10" t="s">
        <v>114</v>
      </c>
      <c r="H86" s="9" t="n">
        <f aca="false">IFERROR(E86*F86,"")</f>
        <v>0</v>
      </c>
      <c r="I86" s="9" t="n">
        <f aca="false">IFERROR(H86*IFERROR(VLOOKUP(G86,VatRates,2,FALSE()),0),"")</f>
        <v>0</v>
      </c>
      <c r="J86" s="9" t="n">
        <f aca="false">IFERROR(H86+I86,"")</f>
        <v>0</v>
      </c>
      <c r="K86" s="13" t="n">
        <v>0</v>
      </c>
    </row>
    <row r="87" customFormat="false" ht="15" hidden="false" customHeight="false" outlineLevel="0" collapsed="false">
      <c r="A87" s="10"/>
      <c r="B87" s="10"/>
      <c r="C87" s="10"/>
      <c r="D87" s="14" t="str">
        <f aca="false">IFERROR(IF(C87="","",INDEX(Products!$C$5:$C$504,MATCH(C87,Products!$A$5:$A$504,0))),"")</f>
        <v/>
      </c>
      <c r="E87" s="13" t="n">
        <v>1</v>
      </c>
      <c r="F87" s="11"/>
      <c r="G87" s="10" t="s">
        <v>114</v>
      </c>
      <c r="H87" s="9" t="n">
        <f aca="false">IFERROR(E87*F87,"")</f>
        <v>0</v>
      </c>
      <c r="I87" s="9" t="n">
        <f aca="false">IFERROR(H87*IFERROR(VLOOKUP(G87,VatRates,2,FALSE()),0),"")</f>
        <v>0</v>
      </c>
      <c r="J87" s="9" t="n">
        <f aca="false">IFERROR(H87+I87,"")</f>
        <v>0</v>
      </c>
      <c r="K87" s="13" t="n">
        <v>0</v>
      </c>
    </row>
    <row r="88" customFormat="false" ht="15" hidden="false" customHeight="false" outlineLevel="0" collapsed="false">
      <c r="A88" s="10"/>
      <c r="B88" s="10"/>
      <c r="C88" s="10"/>
      <c r="D88" s="14" t="str">
        <f aca="false">IFERROR(IF(C88="","",INDEX(Products!$C$5:$C$504,MATCH(C88,Products!$A$5:$A$504,0))),"")</f>
        <v/>
      </c>
      <c r="E88" s="13" t="n">
        <v>1</v>
      </c>
      <c r="F88" s="11"/>
      <c r="G88" s="10" t="s">
        <v>114</v>
      </c>
      <c r="H88" s="9" t="n">
        <f aca="false">IFERROR(E88*F88,"")</f>
        <v>0</v>
      </c>
      <c r="I88" s="9" t="n">
        <f aca="false">IFERROR(H88*IFERROR(VLOOKUP(G88,VatRates,2,FALSE()),0),"")</f>
        <v>0</v>
      </c>
      <c r="J88" s="9" t="n">
        <f aca="false">IFERROR(H88+I88,"")</f>
        <v>0</v>
      </c>
      <c r="K88" s="13" t="n">
        <v>0</v>
      </c>
    </row>
    <row r="89" customFormat="false" ht="15" hidden="false" customHeight="false" outlineLevel="0" collapsed="false">
      <c r="A89" s="10"/>
      <c r="B89" s="10"/>
      <c r="C89" s="10"/>
      <c r="D89" s="14" t="str">
        <f aca="false">IFERROR(IF(C89="","",INDEX(Products!$C$5:$C$504,MATCH(C89,Products!$A$5:$A$504,0))),"")</f>
        <v/>
      </c>
      <c r="E89" s="13" t="n">
        <v>1</v>
      </c>
      <c r="F89" s="11"/>
      <c r="G89" s="10" t="s">
        <v>114</v>
      </c>
      <c r="H89" s="9" t="n">
        <f aca="false">IFERROR(E89*F89,"")</f>
        <v>0</v>
      </c>
      <c r="I89" s="9" t="n">
        <f aca="false">IFERROR(H89*IFERROR(VLOOKUP(G89,VatRates,2,FALSE()),0),"")</f>
        <v>0</v>
      </c>
      <c r="J89" s="9" t="n">
        <f aca="false">IFERROR(H89+I89,"")</f>
        <v>0</v>
      </c>
      <c r="K89" s="13" t="n">
        <v>0</v>
      </c>
    </row>
    <row r="90" customFormat="false" ht="15" hidden="false" customHeight="false" outlineLevel="0" collapsed="false">
      <c r="A90" s="10"/>
      <c r="B90" s="10"/>
      <c r="C90" s="10"/>
      <c r="D90" s="14" t="str">
        <f aca="false">IFERROR(IF(C90="","",INDEX(Products!$C$5:$C$504,MATCH(C90,Products!$A$5:$A$504,0))),"")</f>
        <v/>
      </c>
      <c r="E90" s="13" t="n">
        <v>1</v>
      </c>
      <c r="F90" s="11"/>
      <c r="G90" s="10" t="s">
        <v>114</v>
      </c>
      <c r="H90" s="9" t="n">
        <f aca="false">IFERROR(E90*F90,"")</f>
        <v>0</v>
      </c>
      <c r="I90" s="9" t="n">
        <f aca="false">IFERROR(H90*IFERROR(VLOOKUP(G90,VatRates,2,FALSE()),0),"")</f>
        <v>0</v>
      </c>
      <c r="J90" s="9" t="n">
        <f aca="false">IFERROR(H90+I90,"")</f>
        <v>0</v>
      </c>
      <c r="K90" s="13" t="n">
        <v>0</v>
      </c>
    </row>
    <row r="91" customFormat="false" ht="15" hidden="false" customHeight="false" outlineLevel="0" collapsed="false">
      <c r="A91" s="10"/>
      <c r="B91" s="10"/>
      <c r="C91" s="10"/>
      <c r="D91" s="14" t="str">
        <f aca="false">IFERROR(IF(C91="","",INDEX(Products!$C$5:$C$504,MATCH(C91,Products!$A$5:$A$504,0))),"")</f>
        <v/>
      </c>
      <c r="E91" s="13" t="n">
        <v>1</v>
      </c>
      <c r="F91" s="11"/>
      <c r="G91" s="10" t="s">
        <v>114</v>
      </c>
      <c r="H91" s="9" t="n">
        <f aca="false">IFERROR(E91*F91,"")</f>
        <v>0</v>
      </c>
      <c r="I91" s="9" t="n">
        <f aca="false">IFERROR(H91*IFERROR(VLOOKUP(G91,VatRates,2,FALSE()),0),"")</f>
        <v>0</v>
      </c>
      <c r="J91" s="9" t="n">
        <f aca="false">IFERROR(H91+I91,"")</f>
        <v>0</v>
      </c>
      <c r="K91" s="13" t="n">
        <v>0</v>
      </c>
    </row>
    <row r="92" customFormat="false" ht="15" hidden="false" customHeight="false" outlineLevel="0" collapsed="false">
      <c r="A92" s="10"/>
      <c r="B92" s="10"/>
      <c r="C92" s="10"/>
      <c r="D92" s="14" t="str">
        <f aca="false">IFERROR(IF(C92="","",INDEX(Products!$C$5:$C$504,MATCH(C92,Products!$A$5:$A$504,0))),"")</f>
        <v/>
      </c>
      <c r="E92" s="13" t="n">
        <v>1</v>
      </c>
      <c r="F92" s="11"/>
      <c r="G92" s="10" t="s">
        <v>114</v>
      </c>
      <c r="H92" s="9" t="n">
        <f aca="false">IFERROR(E92*F92,"")</f>
        <v>0</v>
      </c>
      <c r="I92" s="9" t="n">
        <f aca="false">IFERROR(H92*IFERROR(VLOOKUP(G92,VatRates,2,FALSE()),0),"")</f>
        <v>0</v>
      </c>
      <c r="J92" s="9" t="n">
        <f aca="false">IFERROR(H92+I92,"")</f>
        <v>0</v>
      </c>
      <c r="K92" s="13" t="n">
        <v>0</v>
      </c>
    </row>
    <row r="93" customFormat="false" ht="15" hidden="false" customHeight="false" outlineLevel="0" collapsed="false">
      <c r="A93" s="10"/>
      <c r="B93" s="10"/>
      <c r="C93" s="10"/>
      <c r="D93" s="14" t="str">
        <f aca="false">IFERROR(IF(C93="","",INDEX(Products!$C$5:$C$504,MATCH(C93,Products!$A$5:$A$504,0))),"")</f>
        <v/>
      </c>
      <c r="E93" s="13" t="n">
        <v>1</v>
      </c>
      <c r="F93" s="11"/>
      <c r="G93" s="10" t="s">
        <v>114</v>
      </c>
      <c r="H93" s="9" t="n">
        <f aca="false">IFERROR(E93*F93,"")</f>
        <v>0</v>
      </c>
      <c r="I93" s="9" t="n">
        <f aca="false">IFERROR(H93*IFERROR(VLOOKUP(G93,VatRates,2,FALSE()),0),"")</f>
        <v>0</v>
      </c>
      <c r="J93" s="9" t="n">
        <f aca="false">IFERROR(H93+I93,"")</f>
        <v>0</v>
      </c>
      <c r="K93" s="13" t="n">
        <v>0</v>
      </c>
    </row>
    <row r="94" customFormat="false" ht="15" hidden="false" customHeight="false" outlineLevel="0" collapsed="false">
      <c r="A94" s="10"/>
      <c r="B94" s="10"/>
      <c r="C94" s="10"/>
      <c r="D94" s="14" t="str">
        <f aca="false">IFERROR(IF(C94="","",INDEX(Products!$C$5:$C$504,MATCH(C94,Products!$A$5:$A$504,0))),"")</f>
        <v/>
      </c>
      <c r="E94" s="13" t="n">
        <v>1</v>
      </c>
      <c r="F94" s="11"/>
      <c r="G94" s="10" t="s">
        <v>114</v>
      </c>
      <c r="H94" s="9" t="n">
        <f aca="false">IFERROR(E94*F94,"")</f>
        <v>0</v>
      </c>
      <c r="I94" s="9" t="n">
        <f aca="false">IFERROR(H94*IFERROR(VLOOKUP(G94,VatRates,2,FALSE()),0),"")</f>
        <v>0</v>
      </c>
      <c r="J94" s="9" t="n">
        <f aca="false">IFERROR(H94+I94,"")</f>
        <v>0</v>
      </c>
      <c r="K94" s="13" t="n">
        <v>0</v>
      </c>
    </row>
    <row r="95" customFormat="false" ht="15" hidden="false" customHeight="false" outlineLevel="0" collapsed="false">
      <c r="A95" s="10"/>
      <c r="B95" s="10"/>
      <c r="C95" s="10"/>
      <c r="D95" s="14" t="str">
        <f aca="false">IFERROR(IF(C95="","",INDEX(Products!$C$5:$C$504,MATCH(C95,Products!$A$5:$A$504,0))),"")</f>
        <v/>
      </c>
      <c r="E95" s="13" t="n">
        <v>1</v>
      </c>
      <c r="F95" s="11"/>
      <c r="G95" s="10" t="s">
        <v>114</v>
      </c>
      <c r="H95" s="9" t="n">
        <f aca="false">IFERROR(E95*F95,"")</f>
        <v>0</v>
      </c>
      <c r="I95" s="9" t="n">
        <f aca="false">IFERROR(H95*IFERROR(VLOOKUP(G95,VatRates,2,FALSE()),0),"")</f>
        <v>0</v>
      </c>
      <c r="J95" s="9" t="n">
        <f aca="false">IFERROR(H95+I95,"")</f>
        <v>0</v>
      </c>
      <c r="K95" s="13" t="n">
        <v>0</v>
      </c>
    </row>
    <row r="96" customFormat="false" ht="15" hidden="false" customHeight="false" outlineLevel="0" collapsed="false">
      <c r="A96" s="10"/>
      <c r="B96" s="10"/>
      <c r="C96" s="10"/>
      <c r="D96" s="14" t="str">
        <f aca="false">IFERROR(IF(C96="","",INDEX(Products!$C$5:$C$504,MATCH(C96,Products!$A$5:$A$504,0))),"")</f>
        <v/>
      </c>
      <c r="E96" s="13" t="n">
        <v>1</v>
      </c>
      <c r="F96" s="11"/>
      <c r="G96" s="10" t="s">
        <v>114</v>
      </c>
      <c r="H96" s="9" t="n">
        <f aca="false">IFERROR(E96*F96,"")</f>
        <v>0</v>
      </c>
      <c r="I96" s="9" t="n">
        <f aca="false">IFERROR(H96*IFERROR(VLOOKUP(G96,VatRates,2,FALSE()),0),"")</f>
        <v>0</v>
      </c>
      <c r="J96" s="9" t="n">
        <f aca="false">IFERROR(H96+I96,"")</f>
        <v>0</v>
      </c>
      <c r="K96" s="13" t="n">
        <v>0</v>
      </c>
    </row>
    <row r="97" customFormat="false" ht="15" hidden="false" customHeight="false" outlineLevel="0" collapsed="false">
      <c r="A97" s="10"/>
      <c r="B97" s="10"/>
      <c r="C97" s="10"/>
      <c r="D97" s="14" t="str">
        <f aca="false">IFERROR(IF(C97="","",INDEX(Products!$C$5:$C$504,MATCH(C97,Products!$A$5:$A$504,0))),"")</f>
        <v/>
      </c>
      <c r="E97" s="13" t="n">
        <v>1</v>
      </c>
      <c r="F97" s="11"/>
      <c r="G97" s="10" t="s">
        <v>114</v>
      </c>
      <c r="H97" s="9" t="n">
        <f aca="false">IFERROR(E97*F97,"")</f>
        <v>0</v>
      </c>
      <c r="I97" s="9" t="n">
        <f aca="false">IFERROR(H97*IFERROR(VLOOKUP(G97,VatRates,2,FALSE()),0),"")</f>
        <v>0</v>
      </c>
      <c r="J97" s="9" t="n">
        <f aca="false">IFERROR(H97+I97,"")</f>
        <v>0</v>
      </c>
      <c r="K97" s="13" t="n">
        <v>0</v>
      </c>
    </row>
    <row r="98" customFormat="false" ht="15" hidden="false" customHeight="false" outlineLevel="0" collapsed="false">
      <c r="A98" s="10"/>
      <c r="B98" s="10"/>
      <c r="C98" s="10"/>
      <c r="D98" s="14" t="str">
        <f aca="false">IFERROR(IF(C98="","",INDEX(Products!$C$5:$C$504,MATCH(C98,Products!$A$5:$A$504,0))),"")</f>
        <v/>
      </c>
      <c r="E98" s="13" t="n">
        <v>1</v>
      </c>
      <c r="F98" s="11"/>
      <c r="G98" s="10" t="s">
        <v>114</v>
      </c>
      <c r="H98" s="9" t="n">
        <f aca="false">IFERROR(E98*F98,"")</f>
        <v>0</v>
      </c>
      <c r="I98" s="9" t="n">
        <f aca="false">IFERROR(H98*IFERROR(VLOOKUP(G98,VatRates,2,FALSE()),0),"")</f>
        <v>0</v>
      </c>
      <c r="J98" s="9" t="n">
        <f aca="false">IFERROR(H98+I98,"")</f>
        <v>0</v>
      </c>
      <c r="K98" s="13" t="n">
        <v>0</v>
      </c>
    </row>
    <row r="99" customFormat="false" ht="15" hidden="false" customHeight="false" outlineLevel="0" collapsed="false">
      <c r="A99" s="10"/>
      <c r="B99" s="10"/>
      <c r="C99" s="10"/>
      <c r="D99" s="14" t="str">
        <f aca="false">IFERROR(IF(C99="","",INDEX(Products!$C$5:$C$504,MATCH(C99,Products!$A$5:$A$504,0))),"")</f>
        <v/>
      </c>
      <c r="E99" s="13" t="n">
        <v>1</v>
      </c>
      <c r="F99" s="11"/>
      <c r="G99" s="10" t="s">
        <v>114</v>
      </c>
      <c r="H99" s="9" t="n">
        <f aca="false">IFERROR(E99*F99,"")</f>
        <v>0</v>
      </c>
      <c r="I99" s="9" t="n">
        <f aca="false">IFERROR(H99*IFERROR(VLOOKUP(G99,VatRates,2,FALSE()),0),"")</f>
        <v>0</v>
      </c>
      <c r="J99" s="9" t="n">
        <f aca="false">IFERROR(H99+I99,"")</f>
        <v>0</v>
      </c>
      <c r="K99" s="13" t="n">
        <v>0</v>
      </c>
    </row>
    <row r="100" customFormat="false" ht="15" hidden="false" customHeight="false" outlineLevel="0" collapsed="false">
      <c r="A100" s="10"/>
      <c r="B100" s="10"/>
      <c r="C100" s="10"/>
      <c r="D100" s="14" t="str">
        <f aca="false">IFERROR(IF(C100="","",INDEX(Products!$C$5:$C$504,MATCH(C100,Products!$A$5:$A$504,0))),"")</f>
        <v/>
      </c>
      <c r="E100" s="13" t="n">
        <v>1</v>
      </c>
      <c r="F100" s="11"/>
      <c r="G100" s="10" t="s">
        <v>114</v>
      </c>
      <c r="H100" s="9" t="n">
        <f aca="false">IFERROR(E100*F100,"")</f>
        <v>0</v>
      </c>
      <c r="I100" s="9" t="n">
        <f aca="false">IFERROR(H100*IFERROR(VLOOKUP(G100,VatRates,2,FALSE()),0),"")</f>
        <v>0</v>
      </c>
      <c r="J100" s="9" t="n">
        <f aca="false">IFERROR(H100+I100,"")</f>
        <v>0</v>
      </c>
      <c r="K100" s="13" t="n">
        <v>0</v>
      </c>
    </row>
    <row r="101" customFormat="false" ht="15" hidden="false" customHeight="false" outlineLevel="0" collapsed="false">
      <c r="A101" s="10"/>
      <c r="B101" s="10"/>
      <c r="C101" s="10"/>
      <c r="D101" s="14" t="str">
        <f aca="false">IFERROR(IF(C101="","",INDEX(Products!$C$5:$C$504,MATCH(C101,Products!$A$5:$A$504,0))),"")</f>
        <v/>
      </c>
      <c r="E101" s="13" t="n">
        <v>1</v>
      </c>
      <c r="F101" s="11"/>
      <c r="G101" s="10" t="s">
        <v>114</v>
      </c>
      <c r="H101" s="9" t="n">
        <f aca="false">IFERROR(E101*F101,"")</f>
        <v>0</v>
      </c>
      <c r="I101" s="9" t="n">
        <f aca="false">IFERROR(H101*IFERROR(VLOOKUP(G101,VatRates,2,FALSE()),0),"")</f>
        <v>0</v>
      </c>
      <c r="J101" s="9" t="n">
        <f aca="false">IFERROR(H101+I101,"")</f>
        <v>0</v>
      </c>
      <c r="K101" s="13" t="n">
        <v>0</v>
      </c>
    </row>
    <row r="102" customFormat="false" ht="15" hidden="false" customHeight="false" outlineLevel="0" collapsed="false">
      <c r="A102" s="10"/>
      <c r="B102" s="10"/>
      <c r="C102" s="10"/>
      <c r="D102" s="14" t="str">
        <f aca="false">IFERROR(IF(C102="","",INDEX(Products!$C$5:$C$504,MATCH(C102,Products!$A$5:$A$504,0))),"")</f>
        <v/>
      </c>
      <c r="E102" s="13" t="n">
        <v>1</v>
      </c>
      <c r="F102" s="11"/>
      <c r="G102" s="10" t="s">
        <v>114</v>
      </c>
      <c r="H102" s="9" t="n">
        <f aca="false">IFERROR(E102*F102,"")</f>
        <v>0</v>
      </c>
      <c r="I102" s="9" t="n">
        <f aca="false">IFERROR(H102*IFERROR(VLOOKUP(G102,VatRates,2,FALSE()),0),"")</f>
        <v>0</v>
      </c>
      <c r="J102" s="9" t="n">
        <f aca="false">IFERROR(H102+I102,"")</f>
        <v>0</v>
      </c>
      <c r="K102" s="13" t="n">
        <v>0</v>
      </c>
    </row>
    <row r="103" customFormat="false" ht="15" hidden="false" customHeight="false" outlineLevel="0" collapsed="false">
      <c r="A103" s="10"/>
      <c r="B103" s="10"/>
      <c r="C103" s="10"/>
      <c r="D103" s="14" t="str">
        <f aca="false">IFERROR(IF(C103="","",INDEX(Products!$C$5:$C$504,MATCH(C103,Products!$A$5:$A$504,0))),"")</f>
        <v/>
      </c>
      <c r="E103" s="13" t="n">
        <v>1</v>
      </c>
      <c r="F103" s="11"/>
      <c r="G103" s="10" t="s">
        <v>114</v>
      </c>
      <c r="H103" s="9" t="n">
        <f aca="false">IFERROR(E103*F103,"")</f>
        <v>0</v>
      </c>
      <c r="I103" s="9" t="n">
        <f aca="false">IFERROR(H103*IFERROR(VLOOKUP(G103,VatRates,2,FALSE()),0),"")</f>
        <v>0</v>
      </c>
      <c r="J103" s="9" t="n">
        <f aca="false">IFERROR(H103+I103,"")</f>
        <v>0</v>
      </c>
      <c r="K103" s="13" t="n">
        <v>0</v>
      </c>
    </row>
    <row r="104" customFormat="false" ht="15" hidden="false" customHeight="false" outlineLevel="0" collapsed="false">
      <c r="A104" s="10"/>
      <c r="B104" s="10"/>
      <c r="C104" s="10"/>
      <c r="D104" s="14" t="str">
        <f aca="false">IFERROR(IF(C104="","",INDEX(Products!$C$5:$C$504,MATCH(C104,Products!$A$5:$A$504,0))),"")</f>
        <v/>
      </c>
      <c r="E104" s="13" t="n">
        <v>1</v>
      </c>
      <c r="F104" s="11"/>
      <c r="G104" s="10" t="s">
        <v>114</v>
      </c>
      <c r="H104" s="9" t="n">
        <f aca="false">IFERROR(E104*F104,"")</f>
        <v>0</v>
      </c>
      <c r="I104" s="9" t="n">
        <f aca="false">IFERROR(H104*IFERROR(VLOOKUP(G104,VatRates,2,FALSE()),0),"")</f>
        <v>0</v>
      </c>
      <c r="J104" s="9" t="n">
        <f aca="false">IFERROR(H104+I104,"")</f>
        <v>0</v>
      </c>
      <c r="K104" s="13" t="n">
        <v>0</v>
      </c>
    </row>
    <row r="105" customFormat="false" ht="15" hidden="false" customHeight="false" outlineLevel="0" collapsed="false">
      <c r="A105" s="10"/>
      <c r="B105" s="10"/>
      <c r="C105" s="10"/>
      <c r="D105" s="14" t="str">
        <f aca="false">IFERROR(IF(C105="","",INDEX(Products!$C$5:$C$504,MATCH(C105,Products!$A$5:$A$504,0))),"")</f>
        <v/>
      </c>
      <c r="E105" s="13" t="n">
        <v>1</v>
      </c>
      <c r="F105" s="11"/>
      <c r="G105" s="10" t="s">
        <v>114</v>
      </c>
      <c r="H105" s="9" t="n">
        <f aca="false">IFERROR(E105*F105,"")</f>
        <v>0</v>
      </c>
      <c r="I105" s="9" t="n">
        <f aca="false">IFERROR(H105*IFERROR(VLOOKUP(G105,VatRates,2,FALSE()),0),"")</f>
        <v>0</v>
      </c>
      <c r="J105" s="9" t="n">
        <f aca="false">IFERROR(H105+I105,"")</f>
        <v>0</v>
      </c>
      <c r="K105" s="13" t="n">
        <v>0</v>
      </c>
    </row>
    <row r="106" customFormat="false" ht="15" hidden="false" customHeight="false" outlineLevel="0" collapsed="false">
      <c r="A106" s="10"/>
      <c r="B106" s="10"/>
      <c r="C106" s="10"/>
      <c r="D106" s="14" t="str">
        <f aca="false">IFERROR(IF(C106="","",INDEX(Products!$C$5:$C$504,MATCH(C106,Products!$A$5:$A$504,0))),"")</f>
        <v/>
      </c>
      <c r="E106" s="13" t="n">
        <v>1</v>
      </c>
      <c r="F106" s="11"/>
      <c r="G106" s="10" t="s">
        <v>114</v>
      </c>
      <c r="H106" s="9" t="n">
        <f aca="false">IFERROR(E106*F106,"")</f>
        <v>0</v>
      </c>
      <c r="I106" s="9" t="n">
        <f aca="false">IFERROR(H106*IFERROR(VLOOKUP(G106,VatRates,2,FALSE()),0),"")</f>
        <v>0</v>
      </c>
      <c r="J106" s="9" t="n">
        <f aca="false">IFERROR(H106+I106,"")</f>
        <v>0</v>
      </c>
      <c r="K106" s="13" t="n">
        <v>0</v>
      </c>
    </row>
    <row r="107" customFormat="false" ht="15" hidden="false" customHeight="false" outlineLevel="0" collapsed="false">
      <c r="A107" s="10"/>
      <c r="B107" s="10"/>
      <c r="C107" s="10"/>
      <c r="D107" s="14" t="str">
        <f aca="false">IFERROR(IF(C107="","",INDEX(Products!$C$5:$C$504,MATCH(C107,Products!$A$5:$A$504,0))),"")</f>
        <v/>
      </c>
      <c r="E107" s="13" t="n">
        <v>1</v>
      </c>
      <c r="F107" s="11"/>
      <c r="G107" s="10" t="s">
        <v>114</v>
      </c>
      <c r="H107" s="9" t="n">
        <f aca="false">IFERROR(E107*F107,"")</f>
        <v>0</v>
      </c>
      <c r="I107" s="9" t="n">
        <f aca="false">IFERROR(H107*IFERROR(VLOOKUP(G107,VatRates,2,FALSE()),0),"")</f>
        <v>0</v>
      </c>
      <c r="J107" s="9" t="n">
        <f aca="false">IFERROR(H107+I107,"")</f>
        <v>0</v>
      </c>
      <c r="K107" s="13" t="n">
        <v>0</v>
      </c>
    </row>
    <row r="108" customFormat="false" ht="15" hidden="false" customHeight="false" outlineLevel="0" collapsed="false">
      <c r="A108" s="10"/>
      <c r="B108" s="10"/>
      <c r="C108" s="10"/>
      <c r="D108" s="14" t="str">
        <f aca="false">IFERROR(IF(C108="","",INDEX(Products!$C$5:$C$504,MATCH(C108,Products!$A$5:$A$504,0))),"")</f>
        <v/>
      </c>
      <c r="E108" s="13" t="n">
        <v>1</v>
      </c>
      <c r="F108" s="11"/>
      <c r="G108" s="10" t="s">
        <v>114</v>
      </c>
      <c r="H108" s="9" t="n">
        <f aca="false">IFERROR(E108*F108,"")</f>
        <v>0</v>
      </c>
      <c r="I108" s="9" t="n">
        <f aca="false">IFERROR(H108*IFERROR(VLOOKUP(G108,VatRates,2,FALSE()),0),"")</f>
        <v>0</v>
      </c>
      <c r="J108" s="9" t="n">
        <f aca="false">IFERROR(H108+I108,"")</f>
        <v>0</v>
      </c>
      <c r="K108" s="13" t="n">
        <v>0</v>
      </c>
    </row>
    <row r="109" customFormat="false" ht="15" hidden="false" customHeight="false" outlineLevel="0" collapsed="false">
      <c r="A109" s="10"/>
      <c r="B109" s="10"/>
      <c r="C109" s="10"/>
      <c r="D109" s="14" t="str">
        <f aca="false">IFERROR(IF(C109="","",INDEX(Products!$C$5:$C$504,MATCH(C109,Products!$A$5:$A$504,0))),"")</f>
        <v/>
      </c>
      <c r="E109" s="13" t="n">
        <v>1</v>
      </c>
      <c r="F109" s="11"/>
      <c r="G109" s="10" t="s">
        <v>114</v>
      </c>
      <c r="H109" s="9" t="n">
        <f aca="false">IFERROR(E109*F109,"")</f>
        <v>0</v>
      </c>
      <c r="I109" s="9" t="n">
        <f aca="false">IFERROR(H109*IFERROR(VLOOKUP(G109,VatRates,2,FALSE()),0),"")</f>
        <v>0</v>
      </c>
      <c r="J109" s="9" t="n">
        <f aca="false">IFERROR(H109+I109,"")</f>
        <v>0</v>
      </c>
      <c r="K109" s="13" t="n">
        <v>0</v>
      </c>
    </row>
    <row r="110" customFormat="false" ht="15" hidden="false" customHeight="false" outlineLevel="0" collapsed="false">
      <c r="A110" s="10"/>
      <c r="B110" s="10"/>
      <c r="C110" s="10"/>
      <c r="D110" s="14" t="str">
        <f aca="false">IFERROR(IF(C110="","",INDEX(Products!$C$5:$C$504,MATCH(C110,Products!$A$5:$A$504,0))),"")</f>
        <v/>
      </c>
      <c r="E110" s="13" t="n">
        <v>1</v>
      </c>
      <c r="F110" s="11"/>
      <c r="G110" s="10" t="s">
        <v>114</v>
      </c>
      <c r="H110" s="9" t="n">
        <f aca="false">IFERROR(E110*F110,"")</f>
        <v>0</v>
      </c>
      <c r="I110" s="9" t="n">
        <f aca="false">IFERROR(H110*IFERROR(VLOOKUP(G110,VatRates,2,FALSE()),0),"")</f>
        <v>0</v>
      </c>
      <c r="J110" s="9" t="n">
        <f aca="false">IFERROR(H110+I110,"")</f>
        <v>0</v>
      </c>
      <c r="K110" s="13" t="n">
        <v>0</v>
      </c>
    </row>
    <row r="111" customFormat="false" ht="15" hidden="false" customHeight="false" outlineLevel="0" collapsed="false">
      <c r="A111" s="10"/>
      <c r="B111" s="10"/>
      <c r="C111" s="10"/>
      <c r="D111" s="14" t="str">
        <f aca="false">IFERROR(IF(C111="","",INDEX(Products!$C$5:$C$504,MATCH(C111,Products!$A$5:$A$504,0))),"")</f>
        <v/>
      </c>
      <c r="E111" s="13" t="n">
        <v>1</v>
      </c>
      <c r="F111" s="11"/>
      <c r="G111" s="10" t="s">
        <v>114</v>
      </c>
      <c r="H111" s="9" t="n">
        <f aca="false">IFERROR(E111*F111,"")</f>
        <v>0</v>
      </c>
      <c r="I111" s="9" t="n">
        <f aca="false">IFERROR(H111*IFERROR(VLOOKUP(G111,VatRates,2,FALSE()),0),"")</f>
        <v>0</v>
      </c>
      <c r="J111" s="9" t="n">
        <f aca="false">IFERROR(H111+I111,"")</f>
        <v>0</v>
      </c>
      <c r="K111" s="13" t="n">
        <v>0</v>
      </c>
    </row>
    <row r="112" customFormat="false" ht="15" hidden="false" customHeight="false" outlineLevel="0" collapsed="false">
      <c r="A112" s="10"/>
      <c r="B112" s="10"/>
      <c r="C112" s="10"/>
      <c r="D112" s="14" t="str">
        <f aca="false">IFERROR(IF(C112="","",INDEX(Products!$C$5:$C$504,MATCH(C112,Products!$A$5:$A$504,0))),"")</f>
        <v/>
      </c>
      <c r="E112" s="13" t="n">
        <v>1</v>
      </c>
      <c r="F112" s="11"/>
      <c r="G112" s="10" t="s">
        <v>114</v>
      </c>
      <c r="H112" s="9" t="n">
        <f aca="false">IFERROR(E112*F112,"")</f>
        <v>0</v>
      </c>
      <c r="I112" s="9" t="n">
        <f aca="false">IFERROR(H112*IFERROR(VLOOKUP(G112,VatRates,2,FALSE()),0),"")</f>
        <v>0</v>
      </c>
      <c r="J112" s="9" t="n">
        <f aca="false">IFERROR(H112+I112,"")</f>
        <v>0</v>
      </c>
      <c r="K112" s="13" t="n">
        <v>0</v>
      </c>
    </row>
    <row r="113" customFormat="false" ht="15" hidden="false" customHeight="false" outlineLevel="0" collapsed="false">
      <c r="A113" s="10"/>
      <c r="B113" s="10"/>
      <c r="C113" s="10"/>
      <c r="D113" s="14" t="str">
        <f aca="false">IFERROR(IF(C113="","",INDEX(Products!$C$5:$C$504,MATCH(C113,Products!$A$5:$A$504,0))),"")</f>
        <v/>
      </c>
      <c r="E113" s="13" t="n">
        <v>1</v>
      </c>
      <c r="F113" s="11"/>
      <c r="G113" s="10" t="s">
        <v>114</v>
      </c>
      <c r="H113" s="9" t="n">
        <f aca="false">IFERROR(E113*F113,"")</f>
        <v>0</v>
      </c>
      <c r="I113" s="9" t="n">
        <f aca="false">IFERROR(H113*IFERROR(VLOOKUP(G113,VatRates,2,FALSE()),0),"")</f>
        <v>0</v>
      </c>
      <c r="J113" s="9" t="n">
        <f aca="false">IFERROR(H113+I113,"")</f>
        <v>0</v>
      </c>
      <c r="K113" s="13" t="n">
        <v>0</v>
      </c>
    </row>
    <row r="114" customFormat="false" ht="15" hidden="false" customHeight="false" outlineLevel="0" collapsed="false">
      <c r="A114" s="10"/>
      <c r="B114" s="10"/>
      <c r="C114" s="10"/>
      <c r="D114" s="14" t="str">
        <f aca="false">IFERROR(IF(C114="","",INDEX(Products!$C$5:$C$504,MATCH(C114,Products!$A$5:$A$504,0))),"")</f>
        <v/>
      </c>
      <c r="E114" s="13" t="n">
        <v>1</v>
      </c>
      <c r="F114" s="11"/>
      <c r="G114" s="10" t="s">
        <v>114</v>
      </c>
      <c r="H114" s="9" t="n">
        <f aca="false">IFERROR(E114*F114,"")</f>
        <v>0</v>
      </c>
      <c r="I114" s="9" t="n">
        <f aca="false">IFERROR(H114*IFERROR(VLOOKUP(G114,VatRates,2,FALSE()),0),"")</f>
        <v>0</v>
      </c>
      <c r="J114" s="9" t="n">
        <f aca="false">IFERROR(H114+I114,"")</f>
        <v>0</v>
      </c>
      <c r="K114" s="13" t="n">
        <v>0</v>
      </c>
    </row>
    <row r="115" customFormat="false" ht="15" hidden="false" customHeight="false" outlineLevel="0" collapsed="false">
      <c r="A115" s="10"/>
      <c r="B115" s="10"/>
      <c r="C115" s="10"/>
      <c r="D115" s="14" t="str">
        <f aca="false">IFERROR(IF(C115="","",INDEX(Products!$C$5:$C$504,MATCH(C115,Products!$A$5:$A$504,0))),"")</f>
        <v/>
      </c>
      <c r="E115" s="13" t="n">
        <v>1</v>
      </c>
      <c r="F115" s="11"/>
      <c r="G115" s="10" t="s">
        <v>114</v>
      </c>
      <c r="H115" s="9" t="n">
        <f aca="false">IFERROR(E115*F115,"")</f>
        <v>0</v>
      </c>
      <c r="I115" s="9" t="n">
        <f aca="false">IFERROR(H115*IFERROR(VLOOKUP(G115,VatRates,2,FALSE()),0),"")</f>
        <v>0</v>
      </c>
      <c r="J115" s="9" t="n">
        <f aca="false">IFERROR(H115+I115,"")</f>
        <v>0</v>
      </c>
      <c r="K115" s="13" t="n">
        <v>0</v>
      </c>
    </row>
    <row r="116" customFormat="false" ht="15" hidden="false" customHeight="false" outlineLevel="0" collapsed="false">
      <c r="A116" s="10"/>
      <c r="B116" s="10"/>
      <c r="C116" s="10"/>
      <c r="D116" s="14" t="str">
        <f aca="false">IFERROR(IF(C116="","",INDEX(Products!$C$5:$C$504,MATCH(C116,Products!$A$5:$A$504,0))),"")</f>
        <v/>
      </c>
      <c r="E116" s="13" t="n">
        <v>1</v>
      </c>
      <c r="F116" s="11"/>
      <c r="G116" s="10" t="s">
        <v>114</v>
      </c>
      <c r="H116" s="9" t="n">
        <f aca="false">IFERROR(E116*F116,"")</f>
        <v>0</v>
      </c>
      <c r="I116" s="9" t="n">
        <f aca="false">IFERROR(H116*IFERROR(VLOOKUP(G116,VatRates,2,FALSE()),0),"")</f>
        <v>0</v>
      </c>
      <c r="J116" s="9" t="n">
        <f aca="false">IFERROR(H116+I116,"")</f>
        <v>0</v>
      </c>
      <c r="K116" s="13" t="n">
        <v>0</v>
      </c>
    </row>
    <row r="117" customFormat="false" ht="15" hidden="false" customHeight="false" outlineLevel="0" collapsed="false">
      <c r="A117" s="10"/>
      <c r="B117" s="10"/>
      <c r="C117" s="10"/>
      <c r="D117" s="14" t="str">
        <f aca="false">IFERROR(IF(C117="","",INDEX(Products!$C$5:$C$504,MATCH(C117,Products!$A$5:$A$504,0))),"")</f>
        <v/>
      </c>
      <c r="E117" s="13" t="n">
        <v>1</v>
      </c>
      <c r="F117" s="11"/>
      <c r="G117" s="10" t="s">
        <v>114</v>
      </c>
      <c r="H117" s="9" t="n">
        <f aca="false">IFERROR(E117*F117,"")</f>
        <v>0</v>
      </c>
      <c r="I117" s="9" t="n">
        <f aca="false">IFERROR(H117*IFERROR(VLOOKUP(G117,VatRates,2,FALSE()),0),"")</f>
        <v>0</v>
      </c>
      <c r="J117" s="9" t="n">
        <f aca="false">IFERROR(H117+I117,"")</f>
        <v>0</v>
      </c>
      <c r="K117" s="13" t="n">
        <v>0</v>
      </c>
    </row>
    <row r="118" customFormat="false" ht="15" hidden="false" customHeight="false" outlineLevel="0" collapsed="false">
      <c r="A118" s="10"/>
      <c r="B118" s="10"/>
      <c r="C118" s="10"/>
      <c r="D118" s="14" t="str">
        <f aca="false">IFERROR(IF(C118="","",INDEX(Products!$C$5:$C$504,MATCH(C118,Products!$A$5:$A$504,0))),"")</f>
        <v/>
      </c>
      <c r="E118" s="13" t="n">
        <v>1</v>
      </c>
      <c r="F118" s="11"/>
      <c r="G118" s="10" t="s">
        <v>114</v>
      </c>
      <c r="H118" s="9" t="n">
        <f aca="false">IFERROR(E118*F118,"")</f>
        <v>0</v>
      </c>
      <c r="I118" s="9" t="n">
        <f aca="false">IFERROR(H118*IFERROR(VLOOKUP(G118,VatRates,2,FALSE()),0),"")</f>
        <v>0</v>
      </c>
      <c r="J118" s="9" t="n">
        <f aca="false">IFERROR(H118+I118,"")</f>
        <v>0</v>
      </c>
      <c r="K118" s="13" t="n">
        <v>0</v>
      </c>
    </row>
    <row r="119" customFormat="false" ht="15" hidden="false" customHeight="false" outlineLevel="0" collapsed="false">
      <c r="A119" s="10"/>
      <c r="B119" s="10"/>
      <c r="C119" s="10"/>
      <c r="D119" s="14" t="str">
        <f aca="false">IFERROR(IF(C119="","",INDEX(Products!$C$5:$C$504,MATCH(C119,Products!$A$5:$A$504,0))),"")</f>
        <v/>
      </c>
      <c r="E119" s="13" t="n">
        <v>1</v>
      </c>
      <c r="F119" s="11"/>
      <c r="G119" s="10" t="s">
        <v>114</v>
      </c>
      <c r="H119" s="9" t="n">
        <f aca="false">IFERROR(E119*F119,"")</f>
        <v>0</v>
      </c>
      <c r="I119" s="9" t="n">
        <f aca="false">IFERROR(H119*IFERROR(VLOOKUP(G119,VatRates,2,FALSE()),0),"")</f>
        <v>0</v>
      </c>
      <c r="J119" s="9" t="n">
        <f aca="false">IFERROR(H119+I119,"")</f>
        <v>0</v>
      </c>
      <c r="K119" s="13" t="n">
        <v>0</v>
      </c>
    </row>
    <row r="120" customFormat="false" ht="15" hidden="false" customHeight="false" outlineLevel="0" collapsed="false">
      <c r="A120" s="10"/>
      <c r="B120" s="10"/>
      <c r="C120" s="10"/>
      <c r="D120" s="14" t="str">
        <f aca="false">IFERROR(IF(C120="","",INDEX(Products!$C$5:$C$504,MATCH(C120,Products!$A$5:$A$504,0))),"")</f>
        <v/>
      </c>
      <c r="E120" s="13" t="n">
        <v>1</v>
      </c>
      <c r="F120" s="11"/>
      <c r="G120" s="10" t="s">
        <v>114</v>
      </c>
      <c r="H120" s="9" t="n">
        <f aca="false">IFERROR(E120*F120,"")</f>
        <v>0</v>
      </c>
      <c r="I120" s="9" t="n">
        <f aca="false">IFERROR(H120*IFERROR(VLOOKUP(G120,VatRates,2,FALSE()),0),"")</f>
        <v>0</v>
      </c>
      <c r="J120" s="9" t="n">
        <f aca="false">IFERROR(H120+I120,"")</f>
        <v>0</v>
      </c>
      <c r="K120" s="13" t="n">
        <v>0</v>
      </c>
    </row>
    <row r="121" customFormat="false" ht="15" hidden="false" customHeight="false" outlineLevel="0" collapsed="false">
      <c r="A121" s="10"/>
      <c r="B121" s="10"/>
      <c r="C121" s="10"/>
      <c r="D121" s="14" t="str">
        <f aca="false">IFERROR(IF(C121="","",INDEX(Products!$C$5:$C$504,MATCH(C121,Products!$A$5:$A$504,0))),"")</f>
        <v/>
      </c>
      <c r="E121" s="13" t="n">
        <v>1</v>
      </c>
      <c r="F121" s="11"/>
      <c r="G121" s="10" t="s">
        <v>114</v>
      </c>
      <c r="H121" s="9" t="n">
        <f aca="false">IFERROR(E121*F121,"")</f>
        <v>0</v>
      </c>
      <c r="I121" s="9" t="n">
        <f aca="false">IFERROR(H121*IFERROR(VLOOKUP(G121,VatRates,2,FALSE()),0),"")</f>
        <v>0</v>
      </c>
      <c r="J121" s="9" t="n">
        <f aca="false">IFERROR(H121+I121,"")</f>
        <v>0</v>
      </c>
      <c r="K121" s="13" t="n">
        <v>0</v>
      </c>
    </row>
    <row r="122" customFormat="false" ht="15" hidden="false" customHeight="false" outlineLevel="0" collapsed="false">
      <c r="A122" s="10"/>
      <c r="B122" s="10"/>
      <c r="C122" s="10"/>
      <c r="D122" s="14" t="str">
        <f aca="false">IFERROR(IF(C122="","",INDEX(Products!$C$5:$C$504,MATCH(C122,Products!$A$5:$A$504,0))),"")</f>
        <v/>
      </c>
      <c r="E122" s="13" t="n">
        <v>1</v>
      </c>
      <c r="F122" s="11"/>
      <c r="G122" s="10" t="s">
        <v>114</v>
      </c>
      <c r="H122" s="9" t="n">
        <f aca="false">IFERROR(E122*F122,"")</f>
        <v>0</v>
      </c>
      <c r="I122" s="9" t="n">
        <f aca="false">IFERROR(H122*IFERROR(VLOOKUP(G122,VatRates,2,FALSE()),0),"")</f>
        <v>0</v>
      </c>
      <c r="J122" s="9" t="n">
        <f aca="false">IFERROR(H122+I122,"")</f>
        <v>0</v>
      </c>
      <c r="K122" s="13" t="n">
        <v>0</v>
      </c>
    </row>
    <row r="123" customFormat="false" ht="15" hidden="false" customHeight="false" outlineLevel="0" collapsed="false">
      <c r="A123" s="10"/>
      <c r="B123" s="10"/>
      <c r="C123" s="10"/>
      <c r="D123" s="14" t="str">
        <f aca="false">IFERROR(IF(C123="","",INDEX(Products!$C$5:$C$504,MATCH(C123,Products!$A$5:$A$504,0))),"")</f>
        <v/>
      </c>
      <c r="E123" s="13" t="n">
        <v>1</v>
      </c>
      <c r="F123" s="11"/>
      <c r="G123" s="10" t="s">
        <v>114</v>
      </c>
      <c r="H123" s="9" t="n">
        <f aca="false">IFERROR(E123*F123,"")</f>
        <v>0</v>
      </c>
      <c r="I123" s="9" t="n">
        <f aca="false">IFERROR(H123*IFERROR(VLOOKUP(G123,VatRates,2,FALSE()),0),"")</f>
        <v>0</v>
      </c>
      <c r="J123" s="9" t="n">
        <f aca="false">IFERROR(H123+I123,"")</f>
        <v>0</v>
      </c>
      <c r="K123" s="13" t="n">
        <v>0</v>
      </c>
    </row>
    <row r="124" customFormat="false" ht="15" hidden="false" customHeight="false" outlineLevel="0" collapsed="false">
      <c r="A124" s="10"/>
      <c r="B124" s="10"/>
      <c r="C124" s="10"/>
      <c r="D124" s="14" t="str">
        <f aca="false">IFERROR(IF(C124="","",INDEX(Products!$C$5:$C$504,MATCH(C124,Products!$A$5:$A$504,0))),"")</f>
        <v/>
      </c>
      <c r="E124" s="13" t="n">
        <v>1</v>
      </c>
      <c r="F124" s="11"/>
      <c r="G124" s="10" t="s">
        <v>114</v>
      </c>
      <c r="H124" s="9" t="n">
        <f aca="false">IFERROR(E124*F124,"")</f>
        <v>0</v>
      </c>
      <c r="I124" s="9" t="n">
        <f aca="false">IFERROR(H124*IFERROR(VLOOKUP(G124,VatRates,2,FALSE()),0),"")</f>
        <v>0</v>
      </c>
      <c r="J124" s="9" t="n">
        <f aca="false">IFERROR(H124+I124,"")</f>
        <v>0</v>
      </c>
      <c r="K124" s="13" t="n">
        <v>0</v>
      </c>
    </row>
    <row r="125" customFormat="false" ht="15" hidden="false" customHeight="false" outlineLevel="0" collapsed="false">
      <c r="A125" s="10"/>
      <c r="B125" s="10"/>
      <c r="C125" s="10"/>
      <c r="D125" s="14" t="str">
        <f aca="false">IFERROR(IF(C125="","",INDEX(Products!$C$5:$C$504,MATCH(C125,Products!$A$5:$A$504,0))),"")</f>
        <v/>
      </c>
      <c r="E125" s="13" t="n">
        <v>1</v>
      </c>
      <c r="F125" s="11"/>
      <c r="G125" s="10" t="s">
        <v>114</v>
      </c>
      <c r="H125" s="9" t="n">
        <f aca="false">IFERROR(E125*F125,"")</f>
        <v>0</v>
      </c>
      <c r="I125" s="9" t="n">
        <f aca="false">IFERROR(H125*IFERROR(VLOOKUP(G125,VatRates,2,FALSE()),0),"")</f>
        <v>0</v>
      </c>
      <c r="J125" s="9" t="n">
        <f aca="false">IFERROR(H125+I125,"")</f>
        <v>0</v>
      </c>
      <c r="K125" s="13" t="n">
        <v>0</v>
      </c>
    </row>
    <row r="126" customFormat="false" ht="15" hidden="false" customHeight="false" outlineLevel="0" collapsed="false">
      <c r="A126" s="10"/>
      <c r="B126" s="10"/>
      <c r="C126" s="10"/>
      <c r="D126" s="14" t="str">
        <f aca="false">IFERROR(IF(C126="","",INDEX(Products!$C$5:$C$504,MATCH(C126,Products!$A$5:$A$504,0))),"")</f>
        <v/>
      </c>
      <c r="E126" s="13" t="n">
        <v>1</v>
      </c>
      <c r="F126" s="11"/>
      <c r="G126" s="10" t="s">
        <v>114</v>
      </c>
      <c r="H126" s="9" t="n">
        <f aca="false">IFERROR(E126*F126,"")</f>
        <v>0</v>
      </c>
      <c r="I126" s="9" t="n">
        <f aca="false">IFERROR(H126*IFERROR(VLOOKUP(G126,VatRates,2,FALSE()),0),"")</f>
        <v>0</v>
      </c>
      <c r="J126" s="9" t="n">
        <f aca="false">IFERROR(H126+I126,"")</f>
        <v>0</v>
      </c>
      <c r="K126" s="13" t="n">
        <v>0</v>
      </c>
    </row>
    <row r="127" customFormat="false" ht="15" hidden="false" customHeight="false" outlineLevel="0" collapsed="false">
      <c r="A127" s="10"/>
      <c r="B127" s="10"/>
      <c r="C127" s="10"/>
      <c r="D127" s="14" t="str">
        <f aca="false">IFERROR(IF(C127="","",INDEX(Products!$C$5:$C$504,MATCH(C127,Products!$A$5:$A$504,0))),"")</f>
        <v/>
      </c>
      <c r="E127" s="13" t="n">
        <v>1</v>
      </c>
      <c r="F127" s="11"/>
      <c r="G127" s="10" t="s">
        <v>114</v>
      </c>
      <c r="H127" s="9" t="n">
        <f aca="false">IFERROR(E127*F127,"")</f>
        <v>0</v>
      </c>
      <c r="I127" s="9" t="n">
        <f aca="false">IFERROR(H127*IFERROR(VLOOKUP(G127,VatRates,2,FALSE()),0),"")</f>
        <v>0</v>
      </c>
      <c r="J127" s="9" t="n">
        <f aca="false">IFERROR(H127+I127,"")</f>
        <v>0</v>
      </c>
      <c r="K127" s="13" t="n">
        <v>0</v>
      </c>
    </row>
    <row r="128" customFormat="false" ht="15" hidden="false" customHeight="false" outlineLevel="0" collapsed="false">
      <c r="A128" s="10"/>
      <c r="B128" s="10"/>
      <c r="C128" s="10"/>
      <c r="D128" s="14" t="str">
        <f aca="false">IFERROR(IF(C128="","",INDEX(Products!$C$5:$C$504,MATCH(C128,Products!$A$5:$A$504,0))),"")</f>
        <v/>
      </c>
      <c r="E128" s="13" t="n">
        <v>1</v>
      </c>
      <c r="F128" s="11"/>
      <c r="G128" s="10" t="s">
        <v>114</v>
      </c>
      <c r="H128" s="9" t="n">
        <f aca="false">IFERROR(E128*F128,"")</f>
        <v>0</v>
      </c>
      <c r="I128" s="9" t="n">
        <f aca="false">IFERROR(H128*IFERROR(VLOOKUP(G128,VatRates,2,FALSE()),0),"")</f>
        <v>0</v>
      </c>
      <c r="J128" s="9" t="n">
        <f aca="false">IFERROR(H128+I128,"")</f>
        <v>0</v>
      </c>
      <c r="K128" s="13" t="n">
        <v>0</v>
      </c>
    </row>
    <row r="129" customFormat="false" ht="15" hidden="false" customHeight="false" outlineLevel="0" collapsed="false">
      <c r="A129" s="10"/>
      <c r="B129" s="10"/>
      <c r="C129" s="10"/>
      <c r="D129" s="14" t="str">
        <f aca="false">IFERROR(IF(C129="","",INDEX(Products!$C$5:$C$504,MATCH(C129,Products!$A$5:$A$504,0))),"")</f>
        <v/>
      </c>
      <c r="E129" s="13" t="n">
        <v>1</v>
      </c>
      <c r="F129" s="11"/>
      <c r="G129" s="10" t="s">
        <v>114</v>
      </c>
      <c r="H129" s="9" t="n">
        <f aca="false">IFERROR(E129*F129,"")</f>
        <v>0</v>
      </c>
      <c r="I129" s="9" t="n">
        <f aca="false">IFERROR(H129*IFERROR(VLOOKUP(G129,VatRates,2,FALSE()),0),"")</f>
        <v>0</v>
      </c>
      <c r="J129" s="9" t="n">
        <f aca="false">IFERROR(H129+I129,"")</f>
        <v>0</v>
      </c>
      <c r="K129" s="13" t="n">
        <v>0</v>
      </c>
    </row>
    <row r="130" customFormat="false" ht="15" hidden="false" customHeight="false" outlineLevel="0" collapsed="false">
      <c r="A130" s="10"/>
      <c r="B130" s="10"/>
      <c r="C130" s="10"/>
      <c r="D130" s="14" t="str">
        <f aca="false">IFERROR(IF(C130="","",INDEX(Products!$C$5:$C$504,MATCH(C130,Products!$A$5:$A$504,0))),"")</f>
        <v/>
      </c>
      <c r="E130" s="13" t="n">
        <v>1</v>
      </c>
      <c r="F130" s="11"/>
      <c r="G130" s="10" t="s">
        <v>114</v>
      </c>
      <c r="H130" s="9" t="n">
        <f aca="false">IFERROR(E130*F130,"")</f>
        <v>0</v>
      </c>
      <c r="I130" s="9" t="n">
        <f aca="false">IFERROR(H130*IFERROR(VLOOKUP(G130,VatRates,2,FALSE()),0),"")</f>
        <v>0</v>
      </c>
      <c r="J130" s="9" t="n">
        <f aca="false">IFERROR(H130+I130,"")</f>
        <v>0</v>
      </c>
      <c r="K130" s="13" t="n">
        <v>0</v>
      </c>
    </row>
    <row r="131" customFormat="false" ht="15" hidden="false" customHeight="false" outlineLevel="0" collapsed="false">
      <c r="A131" s="10"/>
      <c r="B131" s="10"/>
      <c r="C131" s="10"/>
      <c r="D131" s="14" t="str">
        <f aca="false">IFERROR(IF(C131="","",INDEX(Products!$C$5:$C$504,MATCH(C131,Products!$A$5:$A$504,0))),"")</f>
        <v/>
      </c>
      <c r="E131" s="13" t="n">
        <v>1</v>
      </c>
      <c r="F131" s="11"/>
      <c r="G131" s="10" t="s">
        <v>114</v>
      </c>
      <c r="H131" s="9" t="n">
        <f aca="false">IFERROR(E131*F131,"")</f>
        <v>0</v>
      </c>
      <c r="I131" s="9" t="n">
        <f aca="false">IFERROR(H131*IFERROR(VLOOKUP(G131,VatRates,2,FALSE()),0),"")</f>
        <v>0</v>
      </c>
      <c r="J131" s="9" t="n">
        <f aca="false">IFERROR(H131+I131,"")</f>
        <v>0</v>
      </c>
      <c r="K131" s="13" t="n">
        <v>0</v>
      </c>
    </row>
    <row r="132" customFormat="false" ht="15" hidden="false" customHeight="false" outlineLevel="0" collapsed="false">
      <c r="A132" s="10"/>
      <c r="B132" s="10"/>
      <c r="C132" s="10"/>
      <c r="D132" s="14" t="str">
        <f aca="false">IFERROR(IF(C132="","",INDEX(Products!$C$5:$C$504,MATCH(C132,Products!$A$5:$A$504,0))),"")</f>
        <v/>
      </c>
      <c r="E132" s="13" t="n">
        <v>1</v>
      </c>
      <c r="F132" s="11"/>
      <c r="G132" s="10" t="s">
        <v>114</v>
      </c>
      <c r="H132" s="9" t="n">
        <f aca="false">IFERROR(E132*F132,"")</f>
        <v>0</v>
      </c>
      <c r="I132" s="9" t="n">
        <f aca="false">IFERROR(H132*IFERROR(VLOOKUP(G132,VatRates,2,FALSE()),0),"")</f>
        <v>0</v>
      </c>
      <c r="J132" s="9" t="n">
        <f aca="false">IFERROR(H132+I132,"")</f>
        <v>0</v>
      </c>
      <c r="K132" s="13" t="n">
        <v>0</v>
      </c>
    </row>
    <row r="133" customFormat="false" ht="15" hidden="false" customHeight="false" outlineLevel="0" collapsed="false">
      <c r="A133" s="10"/>
      <c r="B133" s="10"/>
      <c r="C133" s="10"/>
      <c r="D133" s="14" t="str">
        <f aca="false">IFERROR(IF(C133="","",INDEX(Products!$C$5:$C$504,MATCH(C133,Products!$A$5:$A$504,0))),"")</f>
        <v/>
      </c>
      <c r="E133" s="13" t="n">
        <v>1</v>
      </c>
      <c r="F133" s="11"/>
      <c r="G133" s="10" t="s">
        <v>114</v>
      </c>
      <c r="H133" s="9" t="n">
        <f aca="false">IFERROR(E133*F133,"")</f>
        <v>0</v>
      </c>
      <c r="I133" s="9" t="n">
        <f aca="false">IFERROR(H133*IFERROR(VLOOKUP(G133,VatRates,2,FALSE()),0),"")</f>
        <v>0</v>
      </c>
      <c r="J133" s="9" t="n">
        <f aca="false">IFERROR(H133+I133,"")</f>
        <v>0</v>
      </c>
      <c r="K133" s="13" t="n">
        <v>0</v>
      </c>
    </row>
    <row r="134" customFormat="false" ht="15" hidden="false" customHeight="false" outlineLevel="0" collapsed="false">
      <c r="A134" s="10"/>
      <c r="B134" s="10"/>
      <c r="C134" s="10"/>
      <c r="D134" s="14" t="str">
        <f aca="false">IFERROR(IF(C134="","",INDEX(Products!$C$5:$C$504,MATCH(C134,Products!$A$5:$A$504,0))),"")</f>
        <v/>
      </c>
      <c r="E134" s="13" t="n">
        <v>1</v>
      </c>
      <c r="F134" s="11"/>
      <c r="G134" s="10" t="s">
        <v>114</v>
      </c>
      <c r="H134" s="9" t="n">
        <f aca="false">IFERROR(E134*F134,"")</f>
        <v>0</v>
      </c>
      <c r="I134" s="9" t="n">
        <f aca="false">IFERROR(H134*IFERROR(VLOOKUP(G134,VatRates,2,FALSE()),0),"")</f>
        <v>0</v>
      </c>
      <c r="J134" s="9" t="n">
        <f aca="false">IFERROR(H134+I134,"")</f>
        <v>0</v>
      </c>
      <c r="K134" s="13" t="n">
        <v>0</v>
      </c>
    </row>
    <row r="135" customFormat="false" ht="15" hidden="false" customHeight="false" outlineLevel="0" collapsed="false">
      <c r="A135" s="10"/>
      <c r="B135" s="10"/>
      <c r="C135" s="10"/>
      <c r="D135" s="14" t="str">
        <f aca="false">IFERROR(IF(C135="","",INDEX(Products!$C$5:$C$504,MATCH(C135,Products!$A$5:$A$504,0))),"")</f>
        <v/>
      </c>
      <c r="E135" s="13" t="n">
        <v>1</v>
      </c>
      <c r="F135" s="11"/>
      <c r="G135" s="10" t="s">
        <v>114</v>
      </c>
      <c r="H135" s="9" t="n">
        <f aca="false">IFERROR(E135*F135,"")</f>
        <v>0</v>
      </c>
      <c r="I135" s="9" t="n">
        <f aca="false">IFERROR(H135*IFERROR(VLOOKUP(G135,VatRates,2,FALSE()),0),"")</f>
        <v>0</v>
      </c>
      <c r="J135" s="9" t="n">
        <f aca="false">IFERROR(H135+I135,"")</f>
        <v>0</v>
      </c>
      <c r="K135" s="13" t="n">
        <v>0</v>
      </c>
    </row>
    <row r="136" customFormat="false" ht="15" hidden="false" customHeight="false" outlineLevel="0" collapsed="false">
      <c r="A136" s="10"/>
      <c r="B136" s="10"/>
      <c r="C136" s="10"/>
      <c r="D136" s="14" t="str">
        <f aca="false">IFERROR(IF(C136="","",INDEX(Products!$C$5:$C$504,MATCH(C136,Products!$A$5:$A$504,0))),"")</f>
        <v/>
      </c>
      <c r="E136" s="13" t="n">
        <v>1</v>
      </c>
      <c r="F136" s="11"/>
      <c r="G136" s="10" t="s">
        <v>114</v>
      </c>
      <c r="H136" s="9" t="n">
        <f aca="false">IFERROR(E136*F136,"")</f>
        <v>0</v>
      </c>
      <c r="I136" s="9" t="n">
        <f aca="false">IFERROR(H136*IFERROR(VLOOKUP(G136,VatRates,2,FALSE()),0),"")</f>
        <v>0</v>
      </c>
      <c r="J136" s="9" t="n">
        <f aca="false">IFERROR(H136+I136,"")</f>
        <v>0</v>
      </c>
      <c r="K136" s="13" t="n">
        <v>0</v>
      </c>
    </row>
    <row r="137" customFormat="false" ht="15" hidden="false" customHeight="false" outlineLevel="0" collapsed="false">
      <c r="A137" s="10"/>
      <c r="B137" s="10"/>
      <c r="C137" s="10"/>
      <c r="D137" s="14" t="str">
        <f aca="false">IFERROR(IF(C137="","",INDEX(Products!$C$5:$C$504,MATCH(C137,Products!$A$5:$A$504,0))),"")</f>
        <v/>
      </c>
      <c r="E137" s="13" t="n">
        <v>1</v>
      </c>
      <c r="F137" s="11"/>
      <c r="G137" s="10" t="s">
        <v>114</v>
      </c>
      <c r="H137" s="9" t="n">
        <f aca="false">IFERROR(E137*F137,"")</f>
        <v>0</v>
      </c>
      <c r="I137" s="9" t="n">
        <f aca="false">IFERROR(H137*IFERROR(VLOOKUP(G137,VatRates,2,FALSE()),0),"")</f>
        <v>0</v>
      </c>
      <c r="J137" s="9" t="n">
        <f aca="false">IFERROR(H137+I137,"")</f>
        <v>0</v>
      </c>
      <c r="K137" s="13" t="n">
        <v>0</v>
      </c>
    </row>
    <row r="138" customFormat="false" ht="15" hidden="false" customHeight="false" outlineLevel="0" collapsed="false">
      <c r="A138" s="10"/>
      <c r="B138" s="10"/>
      <c r="C138" s="10"/>
      <c r="D138" s="14" t="str">
        <f aca="false">IFERROR(IF(C138="","",INDEX(Products!$C$5:$C$504,MATCH(C138,Products!$A$5:$A$504,0))),"")</f>
        <v/>
      </c>
      <c r="E138" s="13" t="n">
        <v>1</v>
      </c>
      <c r="F138" s="11"/>
      <c r="G138" s="10" t="s">
        <v>114</v>
      </c>
      <c r="H138" s="9" t="n">
        <f aca="false">IFERROR(E138*F138,"")</f>
        <v>0</v>
      </c>
      <c r="I138" s="9" t="n">
        <f aca="false">IFERROR(H138*IFERROR(VLOOKUP(G138,VatRates,2,FALSE()),0),"")</f>
        <v>0</v>
      </c>
      <c r="J138" s="9" t="n">
        <f aca="false">IFERROR(H138+I138,"")</f>
        <v>0</v>
      </c>
      <c r="K138" s="13" t="n">
        <v>0</v>
      </c>
    </row>
    <row r="139" customFormat="false" ht="15" hidden="false" customHeight="false" outlineLevel="0" collapsed="false">
      <c r="A139" s="10"/>
      <c r="B139" s="10"/>
      <c r="C139" s="10"/>
      <c r="D139" s="14" t="str">
        <f aca="false">IFERROR(IF(C139="","",INDEX(Products!$C$5:$C$504,MATCH(C139,Products!$A$5:$A$504,0))),"")</f>
        <v/>
      </c>
      <c r="E139" s="13" t="n">
        <v>1</v>
      </c>
      <c r="F139" s="11"/>
      <c r="G139" s="10" t="s">
        <v>114</v>
      </c>
      <c r="H139" s="9" t="n">
        <f aca="false">IFERROR(E139*F139,"")</f>
        <v>0</v>
      </c>
      <c r="I139" s="9" t="n">
        <f aca="false">IFERROR(H139*IFERROR(VLOOKUP(G139,VatRates,2,FALSE()),0),"")</f>
        <v>0</v>
      </c>
      <c r="J139" s="9" t="n">
        <f aca="false">IFERROR(H139+I139,"")</f>
        <v>0</v>
      </c>
      <c r="K139" s="13" t="n">
        <v>0</v>
      </c>
    </row>
    <row r="140" customFormat="false" ht="15" hidden="false" customHeight="false" outlineLevel="0" collapsed="false">
      <c r="A140" s="10"/>
      <c r="B140" s="10"/>
      <c r="C140" s="10"/>
      <c r="D140" s="14" t="str">
        <f aca="false">IFERROR(IF(C140="","",INDEX(Products!$C$5:$C$504,MATCH(C140,Products!$A$5:$A$504,0))),"")</f>
        <v/>
      </c>
      <c r="E140" s="13" t="n">
        <v>1</v>
      </c>
      <c r="F140" s="11"/>
      <c r="G140" s="10" t="s">
        <v>114</v>
      </c>
      <c r="H140" s="9" t="n">
        <f aca="false">IFERROR(E140*F140,"")</f>
        <v>0</v>
      </c>
      <c r="I140" s="9" t="n">
        <f aca="false">IFERROR(H140*IFERROR(VLOOKUP(G140,VatRates,2,FALSE()),0),"")</f>
        <v>0</v>
      </c>
      <c r="J140" s="9" t="n">
        <f aca="false">IFERROR(H140+I140,"")</f>
        <v>0</v>
      </c>
      <c r="K140" s="13" t="n">
        <v>0</v>
      </c>
    </row>
    <row r="141" customFormat="false" ht="15" hidden="false" customHeight="false" outlineLevel="0" collapsed="false">
      <c r="A141" s="10"/>
      <c r="B141" s="10"/>
      <c r="C141" s="10"/>
      <c r="D141" s="14" t="str">
        <f aca="false">IFERROR(IF(C141="","",INDEX(Products!$C$5:$C$504,MATCH(C141,Products!$A$5:$A$504,0))),"")</f>
        <v/>
      </c>
      <c r="E141" s="13" t="n">
        <v>1</v>
      </c>
      <c r="F141" s="11"/>
      <c r="G141" s="10" t="s">
        <v>114</v>
      </c>
      <c r="H141" s="9" t="n">
        <f aca="false">IFERROR(E141*F141,"")</f>
        <v>0</v>
      </c>
      <c r="I141" s="9" t="n">
        <f aca="false">IFERROR(H141*IFERROR(VLOOKUP(G141,VatRates,2,FALSE()),0),"")</f>
        <v>0</v>
      </c>
      <c r="J141" s="9" t="n">
        <f aca="false">IFERROR(H141+I141,"")</f>
        <v>0</v>
      </c>
      <c r="K141" s="13" t="n">
        <v>0</v>
      </c>
    </row>
    <row r="142" customFormat="false" ht="15" hidden="false" customHeight="false" outlineLevel="0" collapsed="false">
      <c r="A142" s="10"/>
      <c r="B142" s="10"/>
      <c r="C142" s="10"/>
      <c r="D142" s="14" t="str">
        <f aca="false">IFERROR(IF(C142="","",INDEX(Products!$C$5:$C$504,MATCH(C142,Products!$A$5:$A$504,0))),"")</f>
        <v/>
      </c>
      <c r="E142" s="13" t="n">
        <v>1</v>
      </c>
      <c r="F142" s="11"/>
      <c r="G142" s="10" t="s">
        <v>114</v>
      </c>
      <c r="H142" s="9" t="n">
        <f aca="false">IFERROR(E142*F142,"")</f>
        <v>0</v>
      </c>
      <c r="I142" s="9" t="n">
        <f aca="false">IFERROR(H142*IFERROR(VLOOKUP(G142,VatRates,2,FALSE()),0),"")</f>
        <v>0</v>
      </c>
      <c r="J142" s="9" t="n">
        <f aca="false">IFERROR(H142+I142,"")</f>
        <v>0</v>
      </c>
      <c r="K142" s="13" t="n">
        <v>0</v>
      </c>
    </row>
    <row r="143" customFormat="false" ht="15" hidden="false" customHeight="false" outlineLevel="0" collapsed="false">
      <c r="A143" s="10"/>
      <c r="B143" s="10"/>
      <c r="C143" s="10"/>
      <c r="D143" s="14" t="str">
        <f aca="false">IFERROR(IF(C143="","",INDEX(Products!$C$5:$C$504,MATCH(C143,Products!$A$5:$A$504,0))),"")</f>
        <v/>
      </c>
      <c r="E143" s="13" t="n">
        <v>1</v>
      </c>
      <c r="F143" s="11"/>
      <c r="G143" s="10" t="s">
        <v>114</v>
      </c>
      <c r="H143" s="9" t="n">
        <f aca="false">IFERROR(E143*F143,"")</f>
        <v>0</v>
      </c>
      <c r="I143" s="9" t="n">
        <f aca="false">IFERROR(H143*IFERROR(VLOOKUP(G143,VatRates,2,FALSE()),0),"")</f>
        <v>0</v>
      </c>
      <c r="J143" s="9" t="n">
        <f aca="false">IFERROR(H143+I143,"")</f>
        <v>0</v>
      </c>
      <c r="K143" s="13" t="n">
        <v>0</v>
      </c>
    </row>
    <row r="144" customFormat="false" ht="15" hidden="false" customHeight="false" outlineLevel="0" collapsed="false">
      <c r="A144" s="10"/>
      <c r="B144" s="10"/>
      <c r="C144" s="10"/>
      <c r="D144" s="14" t="str">
        <f aca="false">IFERROR(IF(C144="","",INDEX(Products!$C$5:$C$504,MATCH(C144,Products!$A$5:$A$504,0))),"")</f>
        <v/>
      </c>
      <c r="E144" s="13" t="n">
        <v>1</v>
      </c>
      <c r="F144" s="11"/>
      <c r="G144" s="10" t="s">
        <v>114</v>
      </c>
      <c r="H144" s="9" t="n">
        <f aca="false">IFERROR(E144*F144,"")</f>
        <v>0</v>
      </c>
      <c r="I144" s="9" t="n">
        <f aca="false">IFERROR(H144*IFERROR(VLOOKUP(G144,VatRates,2,FALSE()),0),"")</f>
        <v>0</v>
      </c>
      <c r="J144" s="9" t="n">
        <f aca="false">IFERROR(H144+I144,"")</f>
        <v>0</v>
      </c>
      <c r="K144" s="13" t="n">
        <v>0</v>
      </c>
    </row>
    <row r="145" customFormat="false" ht="15" hidden="false" customHeight="false" outlineLevel="0" collapsed="false">
      <c r="A145" s="10"/>
      <c r="B145" s="10"/>
      <c r="C145" s="10"/>
      <c r="D145" s="14" t="str">
        <f aca="false">IFERROR(IF(C145="","",INDEX(Products!$C$5:$C$504,MATCH(C145,Products!$A$5:$A$504,0))),"")</f>
        <v/>
      </c>
      <c r="E145" s="13" t="n">
        <v>1</v>
      </c>
      <c r="F145" s="11"/>
      <c r="G145" s="10" t="s">
        <v>114</v>
      </c>
      <c r="H145" s="9" t="n">
        <f aca="false">IFERROR(E145*F145,"")</f>
        <v>0</v>
      </c>
      <c r="I145" s="9" t="n">
        <f aca="false">IFERROR(H145*IFERROR(VLOOKUP(G145,VatRates,2,FALSE()),0),"")</f>
        <v>0</v>
      </c>
      <c r="J145" s="9" t="n">
        <f aca="false">IFERROR(H145+I145,"")</f>
        <v>0</v>
      </c>
      <c r="K145" s="13" t="n">
        <v>0</v>
      </c>
    </row>
    <row r="146" customFormat="false" ht="15" hidden="false" customHeight="false" outlineLevel="0" collapsed="false">
      <c r="A146" s="10"/>
      <c r="B146" s="10"/>
      <c r="C146" s="10"/>
      <c r="D146" s="14" t="str">
        <f aca="false">IFERROR(IF(C146="","",INDEX(Products!$C$5:$C$504,MATCH(C146,Products!$A$5:$A$504,0))),"")</f>
        <v/>
      </c>
      <c r="E146" s="13" t="n">
        <v>1</v>
      </c>
      <c r="F146" s="11"/>
      <c r="G146" s="10" t="s">
        <v>114</v>
      </c>
      <c r="H146" s="9" t="n">
        <f aca="false">IFERROR(E146*F146,"")</f>
        <v>0</v>
      </c>
      <c r="I146" s="9" t="n">
        <f aca="false">IFERROR(H146*IFERROR(VLOOKUP(G146,VatRates,2,FALSE()),0),"")</f>
        <v>0</v>
      </c>
      <c r="J146" s="9" t="n">
        <f aca="false">IFERROR(H146+I146,"")</f>
        <v>0</v>
      </c>
      <c r="K146" s="13" t="n">
        <v>0</v>
      </c>
    </row>
    <row r="147" customFormat="false" ht="15" hidden="false" customHeight="false" outlineLevel="0" collapsed="false">
      <c r="A147" s="10"/>
      <c r="B147" s="10"/>
      <c r="C147" s="10"/>
      <c r="D147" s="14" t="str">
        <f aca="false">IFERROR(IF(C147="","",INDEX(Products!$C$5:$C$504,MATCH(C147,Products!$A$5:$A$504,0))),"")</f>
        <v/>
      </c>
      <c r="E147" s="13" t="n">
        <v>1</v>
      </c>
      <c r="F147" s="11"/>
      <c r="G147" s="10" t="s">
        <v>114</v>
      </c>
      <c r="H147" s="9" t="n">
        <f aca="false">IFERROR(E147*F147,"")</f>
        <v>0</v>
      </c>
      <c r="I147" s="9" t="n">
        <f aca="false">IFERROR(H147*IFERROR(VLOOKUP(G147,VatRates,2,FALSE()),0),"")</f>
        <v>0</v>
      </c>
      <c r="J147" s="9" t="n">
        <f aca="false">IFERROR(H147+I147,"")</f>
        <v>0</v>
      </c>
      <c r="K147" s="13" t="n">
        <v>0</v>
      </c>
    </row>
    <row r="148" customFormat="false" ht="15" hidden="false" customHeight="false" outlineLevel="0" collapsed="false">
      <c r="A148" s="10"/>
      <c r="B148" s="10"/>
      <c r="C148" s="10"/>
      <c r="D148" s="14" t="str">
        <f aca="false">IFERROR(IF(C148="","",INDEX(Products!$C$5:$C$504,MATCH(C148,Products!$A$5:$A$504,0))),"")</f>
        <v/>
      </c>
      <c r="E148" s="13" t="n">
        <v>1</v>
      </c>
      <c r="F148" s="11"/>
      <c r="G148" s="10" t="s">
        <v>114</v>
      </c>
      <c r="H148" s="9" t="n">
        <f aca="false">IFERROR(E148*F148,"")</f>
        <v>0</v>
      </c>
      <c r="I148" s="9" t="n">
        <f aca="false">IFERROR(H148*IFERROR(VLOOKUP(G148,VatRates,2,FALSE()),0),"")</f>
        <v>0</v>
      </c>
      <c r="J148" s="9" t="n">
        <f aca="false">IFERROR(H148+I148,"")</f>
        <v>0</v>
      </c>
      <c r="K148" s="13" t="n">
        <v>0</v>
      </c>
    </row>
    <row r="149" customFormat="false" ht="15" hidden="false" customHeight="false" outlineLevel="0" collapsed="false">
      <c r="A149" s="10"/>
      <c r="B149" s="10"/>
      <c r="C149" s="10"/>
      <c r="D149" s="14" t="str">
        <f aca="false">IFERROR(IF(C149="","",INDEX(Products!$C$5:$C$504,MATCH(C149,Products!$A$5:$A$504,0))),"")</f>
        <v/>
      </c>
      <c r="E149" s="13" t="n">
        <v>1</v>
      </c>
      <c r="F149" s="11"/>
      <c r="G149" s="10" t="s">
        <v>114</v>
      </c>
      <c r="H149" s="9" t="n">
        <f aca="false">IFERROR(E149*F149,"")</f>
        <v>0</v>
      </c>
      <c r="I149" s="9" t="n">
        <f aca="false">IFERROR(H149*IFERROR(VLOOKUP(G149,VatRates,2,FALSE()),0),"")</f>
        <v>0</v>
      </c>
      <c r="J149" s="9" t="n">
        <f aca="false">IFERROR(H149+I149,"")</f>
        <v>0</v>
      </c>
      <c r="K149" s="13" t="n">
        <v>0</v>
      </c>
    </row>
    <row r="150" customFormat="false" ht="15" hidden="false" customHeight="false" outlineLevel="0" collapsed="false">
      <c r="A150" s="10"/>
      <c r="B150" s="10"/>
      <c r="C150" s="10"/>
      <c r="D150" s="14" t="str">
        <f aca="false">IFERROR(IF(C150="","",INDEX(Products!$C$5:$C$504,MATCH(C150,Products!$A$5:$A$504,0))),"")</f>
        <v/>
      </c>
      <c r="E150" s="13" t="n">
        <v>1</v>
      </c>
      <c r="F150" s="11"/>
      <c r="G150" s="10" t="s">
        <v>114</v>
      </c>
      <c r="H150" s="9" t="n">
        <f aca="false">IFERROR(E150*F150,"")</f>
        <v>0</v>
      </c>
      <c r="I150" s="9" t="n">
        <f aca="false">IFERROR(H150*IFERROR(VLOOKUP(G150,VatRates,2,FALSE()),0),"")</f>
        <v>0</v>
      </c>
      <c r="J150" s="9" t="n">
        <f aca="false">IFERROR(H150+I150,"")</f>
        <v>0</v>
      </c>
      <c r="K150" s="13" t="n">
        <v>0</v>
      </c>
    </row>
    <row r="151" customFormat="false" ht="15" hidden="false" customHeight="false" outlineLevel="0" collapsed="false">
      <c r="A151" s="10"/>
      <c r="B151" s="10"/>
      <c r="C151" s="10"/>
      <c r="D151" s="14" t="str">
        <f aca="false">IFERROR(IF(C151="","",INDEX(Products!$C$5:$C$504,MATCH(C151,Products!$A$5:$A$504,0))),"")</f>
        <v/>
      </c>
      <c r="E151" s="13" t="n">
        <v>1</v>
      </c>
      <c r="F151" s="11"/>
      <c r="G151" s="10" t="s">
        <v>114</v>
      </c>
      <c r="H151" s="9" t="n">
        <f aca="false">IFERROR(E151*F151,"")</f>
        <v>0</v>
      </c>
      <c r="I151" s="9" t="n">
        <f aca="false">IFERROR(H151*IFERROR(VLOOKUP(G151,VatRates,2,FALSE()),0),"")</f>
        <v>0</v>
      </c>
      <c r="J151" s="9" t="n">
        <f aca="false">IFERROR(H151+I151,"")</f>
        <v>0</v>
      </c>
      <c r="K151" s="13" t="n">
        <v>0</v>
      </c>
    </row>
    <row r="152" customFormat="false" ht="15" hidden="false" customHeight="false" outlineLevel="0" collapsed="false">
      <c r="A152" s="10"/>
      <c r="B152" s="10"/>
      <c r="C152" s="10"/>
      <c r="D152" s="14" t="str">
        <f aca="false">IFERROR(IF(C152="","",INDEX(Products!$C$5:$C$504,MATCH(C152,Products!$A$5:$A$504,0))),"")</f>
        <v/>
      </c>
      <c r="E152" s="13" t="n">
        <v>1</v>
      </c>
      <c r="F152" s="11"/>
      <c r="G152" s="10" t="s">
        <v>114</v>
      </c>
      <c r="H152" s="9" t="n">
        <f aca="false">IFERROR(E152*F152,"")</f>
        <v>0</v>
      </c>
      <c r="I152" s="9" t="n">
        <f aca="false">IFERROR(H152*IFERROR(VLOOKUP(G152,VatRates,2,FALSE()),0),"")</f>
        <v>0</v>
      </c>
      <c r="J152" s="9" t="n">
        <f aca="false">IFERROR(H152+I152,"")</f>
        <v>0</v>
      </c>
      <c r="K152" s="13" t="n">
        <v>0</v>
      </c>
    </row>
    <row r="153" customFormat="false" ht="15" hidden="false" customHeight="false" outlineLevel="0" collapsed="false">
      <c r="A153" s="10"/>
      <c r="B153" s="10"/>
      <c r="C153" s="10"/>
      <c r="D153" s="14" t="str">
        <f aca="false">IFERROR(IF(C153="","",INDEX(Products!$C$5:$C$504,MATCH(C153,Products!$A$5:$A$504,0))),"")</f>
        <v/>
      </c>
      <c r="E153" s="13" t="n">
        <v>1</v>
      </c>
      <c r="F153" s="11"/>
      <c r="G153" s="10" t="s">
        <v>114</v>
      </c>
      <c r="H153" s="9" t="n">
        <f aca="false">IFERROR(E153*F153,"")</f>
        <v>0</v>
      </c>
      <c r="I153" s="9" t="n">
        <f aca="false">IFERROR(H153*IFERROR(VLOOKUP(G153,VatRates,2,FALSE()),0),"")</f>
        <v>0</v>
      </c>
      <c r="J153" s="9" t="n">
        <f aca="false">IFERROR(H153+I153,"")</f>
        <v>0</v>
      </c>
      <c r="K153" s="13" t="n">
        <v>0</v>
      </c>
    </row>
    <row r="154" customFormat="false" ht="15" hidden="false" customHeight="false" outlineLevel="0" collapsed="false">
      <c r="A154" s="10"/>
      <c r="B154" s="10"/>
      <c r="C154" s="10"/>
      <c r="D154" s="14" t="str">
        <f aca="false">IFERROR(IF(C154="","",INDEX(Products!$C$5:$C$504,MATCH(C154,Products!$A$5:$A$504,0))),"")</f>
        <v/>
      </c>
      <c r="E154" s="13" t="n">
        <v>1</v>
      </c>
      <c r="F154" s="11"/>
      <c r="G154" s="10" t="s">
        <v>114</v>
      </c>
      <c r="H154" s="9" t="n">
        <f aca="false">IFERROR(E154*F154,"")</f>
        <v>0</v>
      </c>
      <c r="I154" s="9" t="n">
        <f aca="false">IFERROR(H154*IFERROR(VLOOKUP(G154,VatRates,2,FALSE()),0),"")</f>
        <v>0</v>
      </c>
      <c r="J154" s="9" t="n">
        <f aca="false">IFERROR(H154+I154,"")</f>
        <v>0</v>
      </c>
      <c r="K154" s="13" t="n">
        <v>0</v>
      </c>
    </row>
    <row r="155" customFormat="false" ht="15" hidden="false" customHeight="false" outlineLevel="0" collapsed="false">
      <c r="A155" s="10"/>
      <c r="B155" s="10"/>
      <c r="C155" s="10"/>
      <c r="D155" s="14" t="str">
        <f aca="false">IFERROR(IF(C155="","",INDEX(Products!$C$5:$C$504,MATCH(C155,Products!$A$5:$A$504,0))),"")</f>
        <v/>
      </c>
      <c r="E155" s="13" t="n">
        <v>1</v>
      </c>
      <c r="F155" s="11"/>
      <c r="G155" s="10" t="s">
        <v>114</v>
      </c>
      <c r="H155" s="9" t="n">
        <f aca="false">IFERROR(E155*F155,"")</f>
        <v>0</v>
      </c>
      <c r="I155" s="9" t="n">
        <f aca="false">IFERROR(H155*IFERROR(VLOOKUP(G155,VatRates,2,FALSE()),0),"")</f>
        <v>0</v>
      </c>
      <c r="J155" s="9" t="n">
        <f aca="false">IFERROR(H155+I155,"")</f>
        <v>0</v>
      </c>
      <c r="K155" s="13" t="n">
        <v>0</v>
      </c>
    </row>
    <row r="156" customFormat="false" ht="15" hidden="false" customHeight="false" outlineLevel="0" collapsed="false">
      <c r="A156" s="10"/>
      <c r="B156" s="10"/>
      <c r="C156" s="10"/>
      <c r="D156" s="14" t="str">
        <f aca="false">IFERROR(IF(C156="","",INDEX(Products!$C$5:$C$504,MATCH(C156,Products!$A$5:$A$504,0))),"")</f>
        <v/>
      </c>
      <c r="E156" s="13" t="n">
        <v>1</v>
      </c>
      <c r="F156" s="11"/>
      <c r="G156" s="10" t="s">
        <v>114</v>
      </c>
      <c r="H156" s="9" t="n">
        <f aca="false">IFERROR(E156*F156,"")</f>
        <v>0</v>
      </c>
      <c r="I156" s="9" t="n">
        <f aca="false">IFERROR(H156*IFERROR(VLOOKUP(G156,VatRates,2,FALSE()),0),"")</f>
        <v>0</v>
      </c>
      <c r="J156" s="9" t="n">
        <f aca="false">IFERROR(H156+I156,"")</f>
        <v>0</v>
      </c>
      <c r="K156" s="13" t="n">
        <v>0</v>
      </c>
    </row>
    <row r="157" customFormat="false" ht="15" hidden="false" customHeight="false" outlineLevel="0" collapsed="false">
      <c r="A157" s="10"/>
      <c r="B157" s="10"/>
      <c r="C157" s="10"/>
      <c r="D157" s="14" t="str">
        <f aca="false">IFERROR(IF(C157="","",INDEX(Products!$C$5:$C$504,MATCH(C157,Products!$A$5:$A$504,0))),"")</f>
        <v/>
      </c>
      <c r="E157" s="13" t="n">
        <v>1</v>
      </c>
      <c r="F157" s="11"/>
      <c r="G157" s="10" t="s">
        <v>114</v>
      </c>
      <c r="H157" s="9" t="n">
        <f aca="false">IFERROR(E157*F157,"")</f>
        <v>0</v>
      </c>
      <c r="I157" s="9" t="n">
        <f aca="false">IFERROR(H157*IFERROR(VLOOKUP(G157,VatRates,2,FALSE()),0),"")</f>
        <v>0</v>
      </c>
      <c r="J157" s="9" t="n">
        <f aca="false">IFERROR(H157+I157,"")</f>
        <v>0</v>
      </c>
      <c r="K157" s="13" t="n">
        <v>0</v>
      </c>
    </row>
    <row r="158" customFormat="false" ht="15" hidden="false" customHeight="false" outlineLevel="0" collapsed="false">
      <c r="A158" s="10"/>
      <c r="B158" s="10"/>
      <c r="C158" s="10"/>
      <c r="D158" s="14" t="str">
        <f aca="false">IFERROR(IF(C158="","",INDEX(Products!$C$5:$C$504,MATCH(C158,Products!$A$5:$A$504,0))),"")</f>
        <v/>
      </c>
      <c r="E158" s="13" t="n">
        <v>1</v>
      </c>
      <c r="F158" s="11"/>
      <c r="G158" s="10" t="s">
        <v>114</v>
      </c>
      <c r="H158" s="9" t="n">
        <f aca="false">IFERROR(E158*F158,"")</f>
        <v>0</v>
      </c>
      <c r="I158" s="9" t="n">
        <f aca="false">IFERROR(H158*IFERROR(VLOOKUP(G158,VatRates,2,FALSE()),0),"")</f>
        <v>0</v>
      </c>
      <c r="J158" s="9" t="n">
        <f aca="false">IFERROR(H158+I158,"")</f>
        <v>0</v>
      </c>
      <c r="K158" s="13" t="n">
        <v>0</v>
      </c>
    </row>
    <row r="159" customFormat="false" ht="15" hidden="false" customHeight="false" outlineLevel="0" collapsed="false">
      <c r="A159" s="10"/>
      <c r="B159" s="10"/>
      <c r="C159" s="10"/>
      <c r="D159" s="14" t="str">
        <f aca="false">IFERROR(IF(C159="","",INDEX(Products!$C$5:$C$504,MATCH(C159,Products!$A$5:$A$504,0))),"")</f>
        <v/>
      </c>
      <c r="E159" s="13" t="n">
        <v>1</v>
      </c>
      <c r="F159" s="11"/>
      <c r="G159" s="10" t="s">
        <v>114</v>
      </c>
      <c r="H159" s="9" t="n">
        <f aca="false">IFERROR(E159*F159,"")</f>
        <v>0</v>
      </c>
      <c r="I159" s="9" t="n">
        <f aca="false">IFERROR(H159*IFERROR(VLOOKUP(G159,VatRates,2,FALSE()),0),"")</f>
        <v>0</v>
      </c>
      <c r="J159" s="9" t="n">
        <f aca="false">IFERROR(H159+I159,"")</f>
        <v>0</v>
      </c>
      <c r="K159" s="13" t="n">
        <v>0</v>
      </c>
    </row>
    <row r="160" customFormat="false" ht="15" hidden="false" customHeight="false" outlineLevel="0" collapsed="false">
      <c r="A160" s="10"/>
      <c r="B160" s="10"/>
      <c r="C160" s="10"/>
      <c r="D160" s="14" t="str">
        <f aca="false">IFERROR(IF(C160="","",INDEX(Products!$C$5:$C$504,MATCH(C160,Products!$A$5:$A$504,0))),"")</f>
        <v/>
      </c>
      <c r="E160" s="13" t="n">
        <v>1</v>
      </c>
      <c r="F160" s="11"/>
      <c r="G160" s="10" t="s">
        <v>114</v>
      </c>
      <c r="H160" s="9" t="n">
        <f aca="false">IFERROR(E160*F160,"")</f>
        <v>0</v>
      </c>
      <c r="I160" s="9" t="n">
        <f aca="false">IFERROR(H160*IFERROR(VLOOKUP(G160,VatRates,2,FALSE()),0),"")</f>
        <v>0</v>
      </c>
      <c r="J160" s="9" t="n">
        <f aca="false">IFERROR(H160+I160,"")</f>
        <v>0</v>
      </c>
      <c r="K160" s="13" t="n">
        <v>0</v>
      </c>
    </row>
    <row r="161" customFormat="false" ht="15" hidden="false" customHeight="false" outlineLevel="0" collapsed="false">
      <c r="A161" s="10"/>
      <c r="B161" s="10"/>
      <c r="C161" s="10"/>
      <c r="D161" s="14" t="str">
        <f aca="false">IFERROR(IF(C161="","",INDEX(Products!$C$5:$C$504,MATCH(C161,Products!$A$5:$A$504,0))),"")</f>
        <v/>
      </c>
      <c r="E161" s="13" t="n">
        <v>1</v>
      </c>
      <c r="F161" s="11"/>
      <c r="G161" s="10" t="s">
        <v>114</v>
      </c>
      <c r="H161" s="9" t="n">
        <f aca="false">IFERROR(E161*F161,"")</f>
        <v>0</v>
      </c>
      <c r="I161" s="9" t="n">
        <f aca="false">IFERROR(H161*IFERROR(VLOOKUP(G161,VatRates,2,FALSE()),0),"")</f>
        <v>0</v>
      </c>
      <c r="J161" s="9" t="n">
        <f aca="false">IFERROR(H161+I161,"")</f>
        <v>0</v>
      </c>
      <c r="K161" s="13" t="n">
        <v>0</v>
      </c>
    </row>
    <row r="162" customFormat="false" ht="15" hidden="false" customHeight="false" outlineLevel="0" collapsed="false">
      <c r="A162" s="10"/>
      <c r="B162" s="10"/>
      <c r="C162" s="10"/>
      <c r="D162" s="14" t="str">
        <f aca="false">IFERROR(IF(C162="","",INDEX(Products!$C$5:$C$504,MATCH(C162,Products!$A$5:$A$504,0))),"")</f>
        <v/>
      </c>
      <c r="E162" s="13" t="n">
        <v>1</v>
      </c>
      <c r="F162" s="11"/>
      <c r="G162" s="10" t="s">
        <v>114</v>
      </c>
      <c r="H162" s="9" t="n">
        <f aca="false">IFERROR(E162*F162,"")</f>
        <v>0</v>
      </c>
      <c r="I162" s="9" t="n">
        <f aca="false">IFERROR(H162*IFERROR(VLOOKUP(G162,VatRates,2,FALSE()),0),"")</f>
        <v>0</v>
      </c>
      <c r="J162" s="9" t="n">
        <f aca="false">IFERROR(H162+I162,"")</f>
        <v>0</v>
      </c>
      <c r="K162" s="13" t="n">
        <v>0</v>
      </c>
    </row>
    <row r="163" customFormat="false" ht="15" hidden="false" customHeight="false" outlineLevel="0" collapsed="false">
      <c r="A163" s="10"/>
      <c r="B163" s="10"/>
      <c r="C163" s="10"/>
      <c r="D163" s="14" t="str">
        <f aca="false">IFERROR(IF(C163="","",INDEX(Products!$C$5:$C$504,MATCH(C163,Products!$A$5:$A$504,0))),"")</f>
        <v/>
      </c>
      <c r="E163" s="13" t="n">
        <v>1</v>
      </c>
      <c r="F163" s="11"/>
      <c r="G163" s="10" t="s">
        <v>114</v>
      </c>
      <c r="H163" s="9" t="n">
        <f aca="false">IFERROR(E163*F163,"")</f>
        <v>0</v>
      </c>
      <c r="I163" s="9" t="n">
        <f aca="false">IFERROR(H163*IFERROR(VLOOKUP(G163,VatRates,2,FALSE()),0),"")</f>
        <v>0</v>
      </c>
      <c r="J163" s="9" t="n">
        <f aca="false">IFERROR(H163+I163,"")</f>
        <v>0</v>
      </c>
      <c r="K163" s="13" t="n">
        <v>0</v>
      </c>
    </row>
    <row r="164" customFormat="false" ht="15" hidden="false" customHeight="false" outlineLevel="0" collapsed="false">
      <c r="A164" s="10"/>
      <c r="B164" s="10"/>
      <c r="C164" s="10"/>
      <c r="D164" s="14" t="str">
        <f aca="false">IFERROR(IF(C164="","",INDEX(Products!$C$5:$C$504,MATCH(C164,Products!$A$5:$A$504,0))),"")</f>
        <v/>
      </c>
      <c r="E164" s="13" t="n">
        <v>1</v>
      </c>
      <c r="F164" s="11"/>
      <c r="G164" s="10" t="s">
        <v>114</v>
      </c>
      <c r="H164" s="9" t="n">
        <f aca="false">IFERROR(E164*F164,"")</f>
        <v>0</v>
      </c>
      <c r="I164" s="9" t="n">
        <f aca="false">IFERROR(H164*IFERROR(VLOOKUP(G164,VatRates,2,FALSE()),0),"")</f>
        <v>0</v>
      </c>
      <c r="J164" s="9" t="n">
        <f aca="false">IFERROR(H164+I164,"")</f>
        <v>0</v>
      </c>
      <c r="K164" s="13" t="n">
        <v>0</v>
      </c>
    </row>
    <row r="165" customFormat="false" ht="15" hidden="false" customHeight="false" outlineLevel="0" collapsed="false">
      <c r="A165" s="10"/>
      <c r="B165" s="10"/>
      <c r="C165" s="10"/>
      <c r="D165" s="14" t="str">
        <f aca="false">IFERROR(IF(C165="","",INDEX(Products!$C$5:$C$504,MATCH(C165,Products!$A$5:$A$504,0))),"")</f>
        <v/>
      </c>
      <c r="E165" s="13" t="n">
        <v>1</v>
      </c>
      <c r="F165" s="11"/>
      <c r="G165" s="10" t="s">
        <v>114</v>
      </c>
      <c r="H165" s="9" t="n">
        <f aca="false">IFERROR(E165*F165,"")</f>
        <v>0</v>
      </c>
      <c r="I165" s="9" t="n">
        <f aca="false">IFERROR(H165*IFERROR(VLOOKUP(G165,VatRates,2,FALSE()),0),"")</f>
        <v>0</v>
      </c>
      <c r="J165" s="9" t="n">
        <f aca="false">IFERROR(H165+I165,"")</f>
        <v>0</v>
      </c>
      <c r="K165" s="13" t="n">
        <v>0</v>
      </c>
    </row>
    <row r="166" customFormat="false" ht="15" hidden="false" customHeight="false" outlineLevel="0" collapsed="false">
      <c r="A166" s="10"/>
      <c r="B166" s="10"/>
      <c r="C166" s="10"/>
      <c r="D166" s="14" t="str">
        <f aca="false">IFERROR(IF(C166="","",INDEX(Products!$C$5:$C$504,MATCH(C166,Products!$A$5:$A$504,0))),"")</f>
        <v/>
      </c>
      <c r="E166" s="13" t="n">
        <v>1</v>
      </c>
      <c r="F166" s="11"/>
      <c r="G166" s="10" t="s">
        <v>114</v>
      </c>
      <c r="H166" s="9" t="n">
        <f aca="false">IFERROR(E166*F166,"")</f>
        <v>0</v>
      </c>
      <c r="I166" s="9" t="n">
        <f aca="false">IFERROR(H166*IFERROR(VLOOKUP(G166,VatRates,2,FALSE()),0),"")</f>
        <v>0</v>
      </c>
      <c r="J166" s="9" t="n">
        <f aca="false">IFERROR(H166+I166,"")</f>
        <v>0</v>
      </c>
      <c r="K166" s="13" t="n">
        <v>0</v>
      </c>
    </row>
    <row r="167" customFormat="false" ht="15" hidden="false" customHeight="false" outlineLevel="0" collapsed="false">
      <c r="A167" s="10"/>
      <c r="B167" s="10"/>
      <c r="C167" s="10"/>
      <c r="D167" s="14" t="str">
        <f aca="false">IFERROR(IF(C167="","",INDEX(Products!$C$5:$C$504,MATCH(C167,Products!$A$5:$A$504,0))),"")</f>
        <v/>
      </c>
      <c r="E167" s="13" t="n">
        <v>1</v>
      </c>
      <c r="F167" s="11"/>
      <c r="G167" s="10" t="s">
        <v>114</v>
      </c>
      <c r="H167" s="9" t="n">
        <f aca="false">IFERROR(E167*F167,"")</f>
        <v>0</v>
      </c>
      <c r="I167" s="9" t="n">
        <f aca="false">IFERROR(H167*IFERROR(VLOOKUP(G167,VatRates,2,FALSE()),0),"")</f>
        <v>0</v>
      </c>
      <c r="J167" s="9" t="n">
        <f aca="false">IFERROR(H167+I167,"")</f>
        <v>0</v>
      </c>
      <c r="K167" s="13" t="n">
        <v>0</v>
      </c>
    </row>
    <row r="168" customFormat="false" ht="15" hidden="false" customHeight="false" outlineLevel="0" collapsed="false">
      <c r="A168" s="10"/>
      <c r="B168" s="10"/>
      <c r="C168" s="10"/>
      <c r="D168" s="14" t="str">
        <f aca="false">IFERROR(IF(C168="","",INDEX(Products!$C$5:$C$504,MATCH(C168,Products!$A$5:$A$504,0))),"")</f>
        <v/>
      </c>
      <c r="E168" s="13" t="n">
        <v>1</v>
      </c>
      <c r="F168" s="11"/>
      <c r="G168" s="10" t="s">
        <v>114</v>
      </c>
      <c r="H168" s="9" t="n">
        <f aca="false">IFERROR(E168*F168,"")</f>
        <v>0</v>
      </c>
      <c r="I168" s="9" t="n">
        <f aca="false">IFERROR(H168*IFERROR(VLOOKUP(G168,VatRates,2,FALSE()),0),"")</f>
        <v>0</v>
      </c>
      <c r="J168" s="9" t="n">
        <f aca="false">IFERROR(H168+I168,"")</f>
        <v>0</v>
      </c>
      <c r="K168" s="13" t="n">
        <v>0</v>
      </c>
    </row>
    <row r="169" customFormat="false" ht="15" hidden="false" customHeight="false" outlineLevel="0" collapsed="false">
      <c r="A169" s="10"/>
      <c r="B169" s="10"/>
      <c r="C169" s="10"/>
      <c r="D169" s="14" t="str">
        <f aca="false">IFERROR(IF(C169="","",INDEX(Products!$C$5:$C$504,MATCH(C169,Products!$A$5:$A$504,0))),"")</f>
        <v/>
      </c>
      <c r="E169" s="13" t="n">
        <v>1</v>
      </c>
      <c r="F169" s="11"/>
      <c r="G169" s="10" t="s">
        <v>114</v>
      </c>
      <c r="H169" s="9" t="n">
        <f aca="false">IFERROR(E169*F169,"")</f>
        <v>0</v>
      </c>
      <c r="I169" s="9" t="n">
        <f aca="false">IFERROR(H169*IFERROR(VLOOKUP(G169,VatRates,2,FALSE()),0),"")</f>
        <v>0</v>
      </c>
      <c r="J169" s="9" t="n">
        <f aca="false">IFERROR(H169+I169,"")</f>
        <v>0</v>
      </c>
      <c r="K169" s="13" t="n">
        <v>0</v>
      </c>
    </row>
    <row r="170" customFormat="false" ht="15" hidden="false" customHeight="false" outlineLevel="0" collapsed="false">
      <c r="A170" s="10"/>
      <c r="B170" s="10"/>
      <c r="C170" s="10"/>
      <c r="D170" s="14" t="str">
        <f aca="false">IFERROR(IF(C170="","",INDEX(Products!$C$5:$C$504,MATCH(C170,Products!$A$5:$A$504,0))),"")</f>
        <v/>
      </c>
      <c r="E170" s="13" t="n">
        <v>1</v>
      </c>
      <c r="F170" s="11"/>
      <c r="G170" s="10" t="s">
        <v>114</v>
      </c>
      <c r="H170" s="9" t="n">
        <f aca="false">IFERROR(E170*F170,"")</f>
        <v>0</v>
      </c>
      <c r="I170" s="9" t="n">
        <f aca="false">IFERROR(H170*IFERROR(VLOOKUP(G170,VatRates,2,FALSE()),0),"")</f>
        <v>0</v>
      </c>
      <c r="J170" s="9" t="n">
        <f aca="false">IFERROR(H170+I170,"")</f>
        <v>0</v>
      </c>
      <c r="K170" s="13" t="n">
        <v>0</v>
      </c>
    </row>
    <row r="171" customFormat="false" ht="15" hidden="false" customHeight="false" outlineLevel="0" collapsed="false">
      <c r="A171" s="10"/>
      <c r="B171" s="10"/>
      <c r="C171" s="10"/>
      <c r="D171" s="14" t="str">
        <f aca="false">IFERROR(IF(C171="","",INDEX(Products!$C$5:$C$504,MATCH(C171,Products!$A$5:$A$504,0))),"")</f>
        <v/>
      </c>
      <c r="E171" s="13" t="n">
        <v>1</v>
      </c>
      <c r="F171" s="11"/>
      <c r="G171" s="10" t="s">
        <v>114</v>
      </c>
      <c r="H171" s="9" t="n">
        <f aca="false">IFERROR(E171*F171,"")</f>
        <v>0</v>
      </c>
      <c r="I171" s="9" t="n">
        <f aca="false">IFERROR(H171*IFERROR(VLOOKUP(G171,VatRates,2,FALSE()),0),"")</f>
        <v>0</v>
      </c>
      <c r="J171" s="9" t="n">
        <f aca="false">IFERROR(H171+I171,"")</f>
        <v>0</v>
      </c>
      <c r="K171" s="13" t="n">
        <v>0</v>
      </c>
    </row>
    <row r="172" customFormat="false" ht="15" hidden="false" customHeight="false" outlineLevel="0" collapsed="false">
      <c r="A172" s="10"/>
      <c r="B172" s="10"/>
      <c r="C172" s="10"/>
      <c r="D172" s="14" t="str">
        <f aca="false">IFERROR(IF(C172="","",INDEX(Products!$C$5:$C$504,MATCH(C172,Products!$A$5:$A$504,0))),"")</f>
        <v/>
      </c>
      <c r="E172" s="13" t="n">
        <v>1</v>
      </c>
      <c r="F172" s="11"/>
      <c r="G172" s="10" t="s">
        <v>114</v>
      </c>
      <c r="H172" s="9" t="n">
        <f aca="false">IFERROR(E172*F172,"")</f>
        <v>0</v>
      </c>
      <c r="I172" s="9" t="n">
        <f aca="false">IFERROR(H172*IFERROR(VLOOKUP(G172,VatRates,2,FALSE()),0),"")</f>
        <v>0</v>
      </c>
      <c r="J172" s="9" t="n">
        <f aca="false">IFERROR(H172+I172,"")</f>
        <v>0</v>
      </c>
      <c r="K172" s="13" t="n">
        <v>0</v>
      </c>
    </row>
    <row r="173" customFormat="false" ht="15" hidden="false" customHeight="false" outlineLevel="0" collapsed="false">
      <c r="A173" s="10"/>
      <c r="B173" s="10"/>
      <c r="C173" s="10"/>
      <c r="D173" s="14" t="str">
        <f aca="false">IFERROR(IF(C173="","",INDEX(Products!$C$5:$C$504,MATCH(C173,Products!$A$5:$A$504,0))),"")</f>
        <v/>
      </c>
      <c r="E173" s="13" t="n">
        <v>1</v>
      </c>
      <c r="F173" s="11"/>
      <c r="G173" s="10" t="s">
        <v>114</v>
      </c>
      <c r="H173" s="9" t="n">
        <f aca="false">IFERROR(E173*F173,"")</f>
        <v>0</v>
      </c>
      <c r="I173" s="9" t="n">
        <f aca="false">IFERROR(H173*IFERROR(VLOOKUP(G173,VatRates,2,FALSE()),0),"")</f>
        <v>0</v>
      </c>
      <c r="J173" s="9" t="n">
        <f aca="false">IFERROR(H173+I173,"")</f>
        <v>0</v>
      </c>
      <c r="K173" s="13" t="n">
        <v>0</v>
      </c>
    </row>
    <row r="174" customFormat="false" ht="15" hidden="false" customHeight="false" outlineLevel="0" collapsed="false">
      <c r="A174" s="10"/>
      <c r="B174" s="10"/>
      <c r="C174" s="10"/>
      <c r="D174" s="14" t="str">
        <f aca="false">IFERROR(IF(C174="","",INDEX(Products!$C$5:$C$504,MATCH(C174,Products!$A$5:$A$504,0))),"")</f>
        <v/>
      </c>
      <c r="E174" s="13" t="n">
        <v>1</v>
      </c>
      <c r="F174" s="11"/>
      <c r="G174" s="10" t="s">
        <v>114</v>
      </c>
      <c r="H174" s="9" t="n">
        <f aca="false">IFERROR(E174*F174,"")</f>
        <v>0</v>
      </c>
      <c r="I174" s="9" t="n">
        <f aca="false">IFERROR(H174*IFERROR(VLOOKUP(G174,VatRates,2,FALSE()),0),"")</f>
        <v>0</v>
      </c>
      <c r="J174" s="9" t="n">
        <f aca="false">IFERROR(H174+I174,"")</f>
        <v>0</v>
      </c>
      <c r="K174" s="13" t="n">
        <v>0</v>
      </c>
    </row>
    <row r="175" customFormat="false" ht="15" hidden="false" customHeight="false" outlineLevel="0" collapsed="false">
      <c r="A175" s="10"/>
      <c r="B175" s="10"/>
      <c r="C175" s="10"/>
      <c r="D175" s="14" t="str">
        <f aca="false">IFERROR(IF(C175="","",INDEX(Products!$C$5:$C$504,MATCH(C175,Products!$A$5:$A$504,0))),"")</f>
        <v/>
      </c>
      <c r="E175" s="13" t="n">
        <v>1</v>
      </c>
      <c r="F175" s="11"/>
      <c r="G175" s="10" t="s">
        <v>114</v>
      </c>
      <c r="H175" s="9" t="n">
        <f aca="false">IFERROR(E175*F175,"")</f>
        <v>0</v>
      </c>
      <c r="I175" s="9" t="n">
        <f aca="false">IFERROR(H175*IFERROR(VLOOKUP(G175,VatRates,2,FALSE()),0),"")</f>
        <v>0</v>
      </c>
      <c r="J175" s="9" t="n">
        <f aca="false">IFERROR(H175+I175,"")</f>
        <v>0</v>
      </c>
      <c r="K175" s="13" t="n">
        <v>0</v>
      </c>
    </row>
    <row r="176" customFormat="false" ht="15" hidden="false" customHeight="false" outlineLevel="0" collapsed="false">
      <c r="A176" s="10"/>
      <c r="B176" s="10"/>
      <c r="C176" s="10"/>
      <c r="D176" s="14" t="str">
        <f aca="false">IFERROR(IF(C176="","",INDEX(Products!$C$5:$C$504,MATCH(C176,Products!$A$5:$A$504,0))),"")</f>
        <v/>
      </c>
      <c r="E176" s="13" t="n">
        <v>1</v>
      </c>
      <c r="F176" s="11"/>
      <c r="G176" s="10" t="s">
        <v>114</v>
      </c>
      <c r="H176" s="9" t="n">
        <f aca="false">IFERROR(E176*F176,"")</f>
        <v>0</v>
      </c>
      <c r="I176" s="9" t="n">
        <f aca="false">IFERROR(H176*IFERROR(VLOOKUP(G176,VatRates,2,FALSE()),0),"")</f>
        <v>0</v>
      </c>
      <c r="J176" s="9" t="n">
        <f aca="false">IFERROR(H176+I176,"")</f>
        <v>0</v>
      </c>
      <c r="K176" s="13" t="n">
        <v>0</v>
      </c>
    </row>
    <row r="177" customFormat="false" ht="15" hidden="false" customHeight="false" outlineLevel="0" collapsed="false">
      <c r="A177" s="10"/>
      <c r="B177" s="10"/>
      <c r="C177" s="10"/>
      <c r="D177" s="14" t="str">
        <f aca="false">IFERROR(IF(C177="","",INDEX(Products!$C$5:$C$504,MATCH(C177,Products!$A$5:$A$504,0))),"")</f>
        <v/>
      </c>
      <c r="E177" s="13" t="n">
        <v>1</v>
      </c>
      <c r="F177" s="11"/>
      <c r="G177" s="10" t="s">
        <v>114</v>
      </c>
      <c r="H177" s="9" t="n">
        <f aca="false">IFERROR(E177*F177,"")</f>
        <v>0</v>
      </c>
      <c r="I177" s="9" t="n">
        <f aca="false">IFERROR(H177*IFERROR(VLOOKUP(G177,VatRates,2,FALSE()),0),"")</f>
        <v>0</v>
      </c>
      <c r="J177" s="9" t="n">
        <f aca="false">IFERROR(H177+I177,"")</f>
        <v>0</v>
      </c>
      <c r="K177" s="13" t="n">
        <v>0</v>
      </c>
    </row>
    <row r="178" customFormat="false" ht="15" hidden="false" customHeight="false" outlineLevel="0" collapsed="false">
      <c r="A178" s="10"/>
      <c r="B178" s="10"/>
      <c r="C178" s="10"/>
      <c r="D178" s="14" t="str">
        <f aca="false">IFERROR(IF(C178="","",INDEX(Products!$C$5:$C$504,MATCH(C178,Products!$A$5:$A$504,0))),"")</f>
        <v/>
      </c>
      <c r="E178" s="13" t="n">
        <v>1</v>
      </c>
      <c r="F178" s="11"/>
      <c r="G178" s="10" t="s">
        <v>114</v>
      </c>
      <c r="H178" s="9" t="n">
        <f aca="false">IFERROR(E178*F178,"")</f>
        <v>0</v>
      </c>
      <c r="I178" s="9" t="n">
        <f aca="false">IFERROR(H178*IFERROR(VLOOKUP(G178,VatRates,2,FALSE()),0),"")</f>
        <v>0</v>
      </c>
      <c r="J178" s="9" t="n">
        <f aca="false">IFERROR(H178+I178,"")</f>
        <v>0</v>
      </c>
      <c r="K178" s="13" t="n">
        <v>0</v>
      </c>
    </row>
    <row r="179" customFormat="false" ht="15" hidden="false" customHeight="false" outlineLevel="0" collapsed="false">
      <c r="A179" s="10"/>
      <c r="B179" s="10"/>
      <c r="C179" s="10"/>
      <c r="D179" s="14" t="str">
        <f aca="false">IFERROR(IF(C179="","",INDEX(Products!$C$5:$C$504,MATCH(C179,Products!$A$5:$A$504,0))),"")</f>
        <v/>
      </c>
      <c r="E179" s="13" t="n">
        <v>1</v>
      </c>
      <c r="F179" s="11"/>
      <c r="G179" s="10" t="s">
        <v>114</v>
      </c>
      <c r="H179" s="9" t="n">
        <f aca="false">IFERROR(E179*F179,"")</f>
        <v>0</v>
      </c>
      <c r="I179" s="9" t="n">
        <f aca="false">IFERROR(H179*IFERROR(VLOOKUP(G179,VatRates,2,FALSE()),0),"")</f>
        <v>0</v>
      </c>
      <c r="J179" s="9" t="n">
        <f aca="false">IFERROR(H179+I179,"")</f>
        <v>0</v>
      </c>
      <c r="K179" s="13" t="n">
        <v>0</v>
      </c>
    </row>
    <row r="180" customFormat="false" ht="15" hidden="false" customHeight="false" outlineLevel="0" collapsed="false">
      <c r="A180" s="10"/>
      <c r="B180" s="10"/>
      <c r="C180" s="10"/>
      <c r="D180" s="14" t="str">
        <f aca="false">IFERROR(IF(C180="","",INDEX(Products!$C$5:$C$504,MATCH(C180,Products!$A$5:$A$504,0))),"")</f>
        <v/>
      </c>
      <c r="E180" s="13" t="n">
        <v>1</v>
      </c>
      <c r="F180" s="11"/>
      <c r="G180" s="10" t="s">
        <v>114</v>
      </c>
      <c r="H180" s="9" t="n">
        <f aca="false">IFERROR(E180*F180,"")</f>
        <v>0</v>
      </c>
      <c r="I180" s="9" t="n">
        <f aca="false">IFERROR(H180*IFERROR(VLOOKUP(G180,VatRates,2,FALSE()),0),"")</f>
        <v>0</v>
      </c>
      <c r="J180" s="9" t="n">
        <f aca="false">IFERROR(H180+I180,"")</f>
        <v>0</v>
      </c>
      <c r="K180" s="13" t="n">
        <v>0</v>
      </c>
    </row>
    <row r="181" customFormat="false" ht="15" hidden="false" customHeight="false" outlineLevel="0" collapsed="false">
      <c r="A181" s="10"/>
      <c r="B181" s="10"/>
      <c r="C181" s="10"/>
      <c r="D181" s="14" t="str">
        <f aca="false">IFERROR(IF(C181="","",INDEX(Products!$C$5:$C$504,MATCH(C181,Products!$A$5:$A$504,0))),"")</f>
        <v/>
      </c>
      <c r="E181" s="13" t="n">
        <v>1</v>
      </c>
      <c r="F181" s="11"/>
      <c r="G181" s="10" t="s">
        <v>114</v>
      </c>
      <c r="H181" s="9" t="n">
        <f aca="false">IFERROR(E181*F181,"")</f>
        <v>0</v>
      </c>
      <c r="I181" s="9" t="n">
        <f aca="false">IFERROR(H181*IFERROR(VLOOKUP(G181,VatRates,2,FALSE()),0),"")</f>
        <v>0</v>
      </c>
      <c r="J181" s="9" t="n">
        <f aca="false">IFERROR(H181+I181,"")</f>
        <v>0</v>
      </c>
      <c r="K181" s="13" t="n">
        <v>0</v>
      </c>
    </row>
    <row r="182" customFormat="false" ht="15" hidden="false" customHeight="false" outlineLevel="0" collapsed="false">
      <c r="A182" s="10"/>
      <c r="B182" s="10"/>
      <c r="C182" s="10"/>
      <c r="D182" s="14" t="str">
        <f aca="false">IFERROR(IF(C182="","",INDEX(Products!$C$5:$C$504,MATCH(C182,Products!$A$5:$A$504,0))),"")</f>
        <v/>
      </c>
      <c r="E182" s="13" t="n">
        <v>1</v>
      </c>
      <c r="F182" s="11"/>
      <c r="G182" s="10" t="s">
        <v>114</v>
      </c>
      <c r="H182" s="9" t="n">
        <f aca="false">IFERROR(E182*F182,"")</f>
        <v>0</v>
      </c>
      <c r="I182" s="9" t="n">
        <f aca="false">IFERROR(H182*IFERROR(VLOOKUP(G182,VatRates,2,FALSE()),0),"")</f>
        <v>0</v>
      </c>
      <c r="J182" s="9" t="n">
        <f aca="false">IFERROR(H182+I182,"")</f>
        <v>0</v>
      </c>
      <c r="K182" s="13" t="n">
        <v>0</v>
      </c>
    </row>
    <row r="183" customFormat="false" ht="15" hidden="false" customHeight="false" outlineLevel="0" collapsed="false">
      <c r="A183" s="10"/>
      <c r="B183" s="10"/>
      <c r="C183" s="10"/>
      <c r="D183" s="14" t="str">
        <f aca="false">IFERROR(IF(C183="","",INDEX(Products!$C$5:$C$504,MATCH(C183,Products!$A$5:$A$504,0))),"")</f>
        <v/>
      </c>
      <c r="E183" s="13" t="n">
        <v>1</v>
      </c>
      <c r="F183" s="11"/>
      <c r="G183" s="10" t="s">
        <v>114</v>
      </c>
      <c r="H183" s="9" t="n">
        <f aca="false">IFERROR(E183*F183,"")</f>
        <v>0</v>
      </c>
      <c r="I183" s="9" t="n">
        <f aca="false">IFERROR(H183*IFERROR(VLOOKUP(G183,VatRates,2,FALSE()),0),"")</f>
        <v>0</v>
      </c>
      <c r="J183" s="9" t="n">
        <f aca="false">IFERROR(H183+I183,"")</f>
        <v>0</v>
      </c>
      <c r="K183" s="13" t="n">
        <v>0</v>
      </c>
    </row>
    <row r="184" customFormat="false" ht="15" hidden="false" customHeight="false" outlineLevel="0" collapsed="false">
      <c r="A184" s="10"/>
      <c r="B184" s="10"/>
      <c r="C184" s="10"/>
      <c r="D184" s="14" t="str">
        <f aca="false">IFERROR(IF(C184="","",INDEX(Products!$C$5:$C$504,MATCH(C184,Products!$A$5:$A$504,0))),"")</f>
        <v/>
      </c>
      <c r="E184" s="13" t="n">
        <v>1</v>
      </c>
      <c r="F184" s="11"/>
      <c r="G184" s="10" t="s">
        <v>114</v>
      </c>
      <c r="H184" s="9" t="n">
        <f aca="false">IFERROR(E184*F184,"")</f>
        <v>0</v>
      </c>
      <c r="I184" s="9" t="n">
        <f aca="false">IFERROR(H184*IFERROR(VLOOKUP(G184,VatRates,2,FALSE()),0),"")</f>
        <v>0</v>
      </c>
      <c r="J184" s="9" t="n">
        <f aca="false">IFERROR(H184+I184,"")</f>
        <v>0</v>
      </c>
      <c r="K184" s="13" t="n">
        <v>0</v>
      </c>
    </row>
    <row r="185" customFormat="false" ht="15" hidden="false" customHeight="false" outlineLevel="0" collapsed="false">
      <c r="A185" s="10"/>
      <c r="B185" s="10"/>
      <c r="C185" s="10"/>
      <c r="D185" s="14" t="str">
        <f aca="false">IFERROR(IF(C185="","",INDEX(Products!$C$5:$C$504,MATCH(C185,Products!$A$5:$A$504,0))),"")</f>
        <v/>
      </c>
      <c r="E185" s="13" t="n">
        <v>1</v>
      </c>
      <c r="F185" s="11"/>
      <c r="G185" s="10" t="s">
        <v>114</v>
      </c>
      <c r="H185" s="9" t="n">
        <f aca="false">IFERROR(E185*F185,"")</f>
        <v>0</v>
      </c>
      <c r="I185" s="9" t="n">
        <f aca="false">IFERROR(H185*IFERROR(VLOOKUP(G185,VatRates,2,FALSE()),0),"")</f>
        <v>0</v>
      </c>
      <c r="J185" s="9" t="n">
        <f aca="false">IFERROR(H185+I185,"")</f>
        <v>0</v>
      </c>
      <c r="K185" s="13" t="n">
        <v>0</v>
      </c>
    </row>
    <row r="186" customFormat="false" ht="15" hidden="false" customHeight="false" outlineLevel="0" collapsed="false">
      <c r="A186" s="10"/>
      <c r="B186" s="10"/>
      <c r="C186" s="10"/>
      <c r="D186" s="14" t="str">
        <f aca="false">IFERROR(IF(C186="","",INDEX(Products!$C$5:$C$504,MATCH(C186,Products!$A$5:$A$504,0))),"")</f>
        <v/>
      </c>
      <c r="E186" s="13" t="n">
        <v>1</v>
      </c>
      <c r="F186" s="11"/>
      <c r="G186" s="10" t="s">
        <v>114</v>
      </c>
      <c r="H186" s="9" t="n">
        <f aca="false">IFERROR(E186*F186,"")</f>
        <v>0</v>
      </c>
      <c r="I186" s="9" t="n">
        <f aca="false">IFERROR(H186*IFERROR(VLOOKUP(G186,VatRates,2,FALSE()),0),"")</f>
        <v>0</v>
      </c>
      <c r="J186" s="9" t="n">
        <f aca="false">IFERROR(H186+I186,"")</f>
        <v>0</v>
      </c>
      <c r="K186" s="13" t="n">
        <v>0</v>
      </c>
    </row>
    <row r="187" customFormat="false" ht="15" hidden="false" customHeight="false" outlineLevel="0" collapsed="false">
      <c r="A187" s="10"/>
      <c r="B187" s="10"/>
      <c r="C187" s="10"/>
      <c r="D187" s="14" t="str">
        <f aca="false">IFERROR(IF(C187="","",INDEX(Products!$C$5:$C$504,MATCH(C187,Products!$A$5:$A$504,0))),"")</f>
        <v/>
      </c>
      <c r="E187" s="13" t="n">
        <v>1</v>
      </c>
      <c r="F187" s="11"/>
      <c r="G187" s="10" t="s">
        <v>114</v>
      </c>
      <c r="H187" s="9" t="n">
        <f aca="false">IFERROR(E187*F187,"")</f>
        <v>0</v>
      </c>
      <c r="I187" s="9" t="n">
        <f aca="false">IFERROR(H187*IFERROR(VLOOKUP(G187,VatRates,2,FALSE()),0),"")</f>
        <v>0</v>
      </c>
      <c r="J187" s="9" t="n">
        <f aca="false">IFERROR(H187+I187,"")</f>
        <v>0</v>
      </c>
      <c r="K187" s="13" t="n">
        <v>0</v>
      </c>
    </row>
    <row r="188" customFormat="false" ht="15" hidden="false" customHeight="false" outlineLevel="0" collapsed="false">
      <c r="A188" s="10"/>
      <c r="B188" s="10"/>
      <c r="C188" s="10"/>
      <c r="D188" s="14" t="str">
        <f aca="false">IFERROR(IF(C188="","",INDEX(Products!$C$5:$C$504,MATCH(C188,Products!$A$5:$A$504,0))),"")</f>
        <v/>
      </c>
      <c r="E188" s="13" t="n">
        <v>1</v>
      </c>
      <c r="F188" s="11"/>
      <c r="G188" s="10" t="s">
        <v>114</v>
      </c>
      <c r="H188" s="9" t="n">
        <f aca="false">IFERROR(E188*F188,"")</f>
        <v>0</v>
      </c>
      <c r="I188" s="9" t="n">
        <f aca="false">IFERROR(H188*IFERROR(VLOOKUP(G188,VatRates,2,FALSE()),0),"")</f>
        <v>0</v>
      </c>
      <c r="J188" s="9" t="n">
        <f aca="false">IFERROR(H188+I188,"")</f>
        <v>0</v>
      </c>
      <c r="K188" s="13" t="n">
        <v>0</v>
      </c>
    </row>
    <row r="189" customFormat="false" ht="15" hidden="false" customHeight="false" outlineLevel="0" collapsed="false">
      <c r="A189" s="10"/>
      <c r="B189" s="10"/>
      <c r="C189" s="10"/>
      <c r="D189" s="14" t="str">
        <f aca="false">IFERROR(IF(C189="","",INDEX(Products!$C$5:$C$504,MATCH(C189,Products!$A$5:$A$504,0))),"")</f>
        <v/>
      </c>
      <c r="E189" s="13" t="n">
        <v>1</v>
      </c>
      <c r="F189" s="11"/>
      <c r="G189" s="10" t="s">
        <v>114</v>
      </c>
      <c r="H189" s="9" t="n">
        <f aca="false">IFERROR(E189*F189,"")</f>
        <v>0</v>
      </c>
      <c r="I189" s="9" t="n">
        <f aca="false">IFERROR(H189*IFERROR(VLOOKUP(G189,VatRates,2,FALSE()),0),"")</f>
        <v>0</v>
      </c>
      <c r="J189" s="9" t="n">
        <f aca="false">IFERROR(H189+I189,"")</f>
        <v>0</v>
      </c>
      <c r="K189" s="13" t="n">
        <v>0</v>
      </c>
    </row>
    <row r="190" customFormat="false" ht="15" hidden="false" customHeight="false" outlineLevel="0" collapsed="false">
      <c r="A190" s="10"/>
      <c r="B190" s="10"/>
      <c r="C190" s="10"/>
      <c r="D190" s="14" t="str">
        <f aca="false">IFERROR(IF(C190="","",INDEX(Products!$C$5:$C$504,MATCH(C190,Products!$A$5:$A$504,0))),"")</f>
        <v/>
      </c>
      <c r="E190" s="13" t="n">
        <v>1</v>
      </c>
      <c r="F190" s="11"/>
      <c r="G190" s="10" t="s">
        <v>114</v>
      </c>
      <c r="H190" s="9" t="n">
        <f aca="false">IFERROR(E190*F190,"")</f>
        <v>0</v>
      </c>
      <c r="I190" s="9" t="n">
        <f aca="false">IFERROR(H190*IFERROR(VLOOKUP(G190,VatRates,2,FALSE()),0),"")</f>
        <v>0</v>
      </c>
      <c r="J190" s="9" t="n">
        <f aca="false">IFERROR(H190+I190,"")</f>
        <v>0</v>
      </c>
      <c r="K190" s="13" t="n">
        <v>0</v>
      </c>
    </row>
    <row r="191" customFormat="false" ht="15" hidden="false" customHeight="false" outlineLevel="0" collapsed="false">
      <c r="A191" s="10"/>
      <c r="B191" s="10"/>
      <c r="C191" s="10"/>
      <c r="D191" s="14" t="str">
        <f aca="false">IFERROR(IF(C191="","",INDEX(Products!$C$5:$C$504,MATCH(C191,Products!$A$5:$A$504,0))),"")</f>
        <v/>
      </c>
      <c r="E191" s="13" t="n">
        <v>1</v>
      </c>
      <c r="F191" s="11"/>
      <c r="G191" s="10" t="s">
        <v>114</v>
      </c>
      <c r="H191" s="9" t="n">
        <f aca="false">IFERROR(E191*F191,"")</f>
        <v>0</v>
      </c>
      <c r="I191" s="9" t="n">
        <f aca="false">IFERROR(H191*IFERROR(VLOOKUP(G191,VatRates,2,FALSE()),0),"")</f>
        <v>0</v>
      </c>
      <c r="J191" s="9" t="n">
        <f aca="false">IFERROR(H191+I191,"")</f>
        <v>0</v>
      </c>
      <c r="K191" s="13" t="n">
        <v>0</v>
      </c>
    </row>
    <row r="192" customFormat="false" ht="15" hidden="false" customHeight="false" outlineLevel="0" collapsed="false">
      <c r="A192" s="10"/>
      <c r="B192" s="10"/>
      <c r="C192" s="10"/>
      <c r="D192" s="14" t="str">
        <f aca="false">IFERROR(IF(C192="","",INDEX(Products!$C$5:$C$504,MATCH(C192,Products!$A$5:$A$504,0))),"")</f>
        <v/>
      </c>
      <c r="E192" s="13" t="n">
        <v>1</v>
      </c>
      <c r="F192" s="11"/>
      <c r="G192" s="10" t="s">
        <v>114</v>
      </c>
      <c r="H192" s="9" t="n">
        <f aca="false">IFERROR(E192*F192,"")</f>
        <v>0</v>
      </c>
      <c r="I192" s="9" t="n">
        <f aca="false">IFERROR(H192*IFERROR(VLOOKUP(G192,VatRates,2,FALSE()),0),"")</f>
        <v>0</v>
      </c>
      <c r="J192" s="9" t="n">
        <f aca="false">IFERROR(H192+I192,"")</f>
        <v>0</v>
      </c>
      <c r="K192" s="13" t="n">
        <v>0</v>
      </c>
    </row>
    <row r="193" customFormat="false" ht="15" hidden="false" customHeight="false" outlineLevel="0" collapsed="false">
      <c r="A193" s="10"/>
      <c r="B193" s="10"/>
      <c r="C193" s="10"/>
      <c r="D193" s="14" t="str">
        <f aca="false">IFERROR(IF(C193="","",INDEX(Products!$C$5:$C$504,MATCH(C193,Products!$A$5:$A$504,0))),"")</f>
        <v/>
      </c>
      <c r="E193" s="13" t="n">
        <v>1</v>
      </c>
      <c r="F193" s="11"/>
      <c r="G193" s="10" t="s">
        <v>114</v>
      </c>
      <c r="H193" s="9" t="n">
        <f aca="false">IFERROR(E193*F193,"")</f>
        <v>0</v>
      </c>
      <c r="I193" s="9" t="n">
        <f aca="false">IFERROR(H193*IFERROR(VLOOKUP(G193,VatRates,2,FALSE()),0),"")</f>
        <v>0</v>
      </c>
      <c r="J193" s="9" t="n">
        <f aca="false">IFERROR(H193+I193,"")</f>
        <v>0</v>
      </c>
      <c r="K193" s="13" t="n">
        <v>0</v>
      </c>
    </row>
    <row r="194" customFormat="false" ht="15" hidden="false" customHeight="false" outlineLevel="0" collapsed="false">
      <c r="A194" s="10"/>
      <c r="B194" s="10"/>
      <c r="C194" s="10"/>
      <c r="D194" s="14" t="str">
        <f aca="false">IFERROR(IF(C194="","",INDEX(Products!$C$5:$C$504,MATCH(C194,Products!$A$5:$A$504,0))),"")</f>
        <v/>
      </c>
      <c r="E194" s="13" t="n">
        <v>1</v>
      </c>
      <c r="F194" s="11"/>
      <c r="G194" s="10" t="s">
        <v>114</v>
      </c>
      <c r="H194" s="9" t="n">
        <f aca="false">IFERROR(E194*F194,"")</f>
        <v>0</v>
      </c>
      <c r="I194" s="9" t="n">
        <f aca="false">IFERROR(H194*IFERROR(VLOOKUP(G194,VatRates,2,FALSE()),0),"")</f>
        <v>0</v>
      </c>
      <c r="J194" s="9" t="n">
        <f aca="false">IFERROR(H194+I194,"")</f>
        <v>0</v>
      </c>
      <c r="K194" s="13" t="n">
        <v>0</v>
      </c>
    </row>
    <row r="195" customFormat="false" ht="15" hidden="false" customHeight="false" outlineLevel="0" collapsed="false">
      <c r="A195" s="10"/>
      <c r="B195" s="10"/>
      <c r="C195" s="10"/>
      <c r="D195" s="14" t="str">
        <f aca="false">IFERROR(IF(C195="","",INDEX(Products!$C$5:$C$504,MATCH(C195,Products!$A$5:$A$504,0))),"")</f>
        <v/>
      </c>
      <c r="E195" s="13" t="n">
        <v>1</v>
      </c>
      <c r="F195" s="11"/>
      <c r="G195" s="10" t="s">
        <v>114</v>
      </c>
      <c r="H195" s="9" t="n">
        <f aca="false">IFERROR(E195*F195,"")</f>
        <v>0</v>
      </c>
      <c r="I195" s="9" t="n">
        <f aca="false">IFERROR(H195*IFERROR(VLOOKUP(G195,VatRates,2,FALSE()),0),"")</f>
        <v>0</v>
      </c>
      <c r="J195" s="9" t="n">
        <f aca="false">IFERROR(H195+I195,"")</f>
        <v>0</v>
      </c>
      <c r="K195" s="13" t="n">
        <v>0</v>
      </c>
    </row>
    <row r="196" customFormat="false" ht="15" hidden="false" customHeight="false" outlineLevel="0" collapsed="false">
      <c r="A196" s="10"/>
      <c r="B196" s="10"/>
      <c r="C196" s="10"/>
      <c r="D196" s="14" t="str">
        <f aca="false">IFERROR(IF(C196="","",INDEX(Products!$C$5:$C$504,MATCH(C196,Products!$A$5:$A$504,0))),"")</f>
        <v/>
      </c>
      <c r="E196" s="13" t="n">
        <v>1</v>
      </c>
      <c r="F196" s="11"/>
      <c r="G196" s="10" t="s">
        <v>114</v>
      </c>
      <c r="H196" s="9" t="n">
        <f aca="false">IFERROR(E196*F196,"")</f>
        <v>0</v>
      </c>
      <c r="I196" s="9" t="n">
        <f aca="false">IFERROR(H196*IFERROR(VLOOKUP(G196,VatRates,2,FALSE()),0),"")</f>
        <v>0</v>
      </c>
      <c r="J196" s="9" t="n">
        <f aca="false">IFERROR(H196+I196,"")</f>
        <v>0</v>
      </c>
      <c r="K196" s="13" t="n">
        <v>0</v>
      </c>
    </row>
    <row r="197" customFormat="false" ht="15" hidden="false" customHeight="false" outlineLevel="0" collapsed="false">
      <c r="A197" s="10"/>
      <c r="B197" s="10"/>
      <c r="C197" s="10"/>
      <c r="D197" s="14" t="str">
        <f aca="false">IFERROR(IF(C197="","",INDEX(Products!$C$5:$C$504,MATCH(C197,Products!$A$5:$A$504,0))),"")</f>
        <v/>
      </c>
      <c r="E197" s="13" t="n">
        <v>1</v>
      </c>
      <c r="F197" s="11"/>
      <c r="G197" s="10" t="s">
        <v>114</v>
      </c>
      <c r="H197" s="9" t="n">
        <f aca="false">IFERROR(E197*F197,"")</f>
        <v>0</v>
      </c>
      <c r="I197" s="9" t="n">
        <f aca="false">IFERROR(H197*IFERROR(VLOOKUP(G197,VatRates,2,FALSE()),0),"")</f>
        <v>0</v>
      </c>
      <c r="J197" s="9" t="n">
        <f aca="false">IFERROR(H197+I197,"")</f>
        <v>0</v>
      </c>
      <c r="K197" s="13" t="n">
        <v>0</v>
      </c>
    </row>
    <row r="198" customFormat="false" ht="15" hidden="false" customHeight="false" outlineLevel="0" collapsed="false">
      <c r="A198" s="10"/>
      <c r="B198" s="10"/>
      <c r="C198" s="10"/>
      <c r="D198" s="14" t="str">
        <f aca="false">IFERROR(IF(C198="","",INDEX(Products!$C$5:$C$504,MATCH(C198,Products!$A$5:$A$504,0))),"")</f>
        <v/>
      </c>
      <c r="E198" s="13" t="n">
        <v>1</v>
      </c>
      <c r="F198" s="11"/>
      <c r="G198" s="10" t="s">
        <v>114</v>
      </c>
      <c r="H198" s="9" t="n">
        <f aca="false">IFERROR(E198*F198,"")</f>
        <v>0</v>
      </c>
      <c r="I198" s="9" t="n">
        <f aca="false">IFERROR(H198*IFERROR(VLOOKUP(G198,VatRates,2,FALSE()),0),"")</f>
        <v>0</v>
      </c>
      <c r="J198" s="9" t="n">
        <f aca="false">IFERROR(H198+I198,"")</f>
        <v>0</v>
      </c>
      <c r="K198" s="13" t="n">
        <v>0</v>
      </c>
    </row>
    <row r="199" customFormat="false" ht="15" hidden="false" customHeight="false" outlineLevel="0" collapsed="false">
      <c r="A199" s="10"/>
      <c r="B199" s="10"/>
      <c r="C199" s="10"/>
      <c r="D199" s="14" t="str">
        <f aca="false">IFERROR(IF(C199="","",INDEX(Products!$C$5:$C$504,MATCH(C199,Products!$A$5:$A$504,0))),"")</f>
        <v/>
      </c>
      <c r="E199" s="13" t="n">
        <v>1</v>
      </c>
      <c r="F199" s="11"/>
      <c r="G199" s="10" t="s">
        <v>114</v>
      </c>
      <c r="H199" s="9" t="n">
        <f aca="false">IFERROR(E199*F199,"")</f>
        <v>0</v>
      </c>
      <c r="I199" s="9" t="n">
        <f aca="false">IFERROR(H199*IFERROR(VLOOKUP(G199,VatRates,2,FALSE()),0),"")</f>
        <v>0</v>
      </c>
      <c r="J199" s="9" t="n">
        <f aca="false">IFERROR(H199+I199,"")</f>
        <v>0</v>
      </c>
      <c r="K199" s="13" t="n">
        <v>0</v>
      </c>
    </row>
    <row r="200" customFormat="false" ht="15" hidden="false" customHeight="false" outlineLevel="0" collapsed="false">
      <c r="A200" s="10"/>
      <c r="B200" s="10"/>
      <c r="C200" s="10"/>
      <c r="D200" s="14" t="str">
        <f aca="false">IFERROR(IF(C200="","",INDEX(Products!$C$5:$C$504,MATCH(C200,Products!$A$5:$A$504,0))),"")</f>
        <v/>
      </c>
      <c r="E200" s="13" t="n">
        <v>1</v>
      </c>
      <c r="F200" s="11"/>
      <c r="G200" s="10" t="s">
        <v>114</v>
      </c>
      <c r="H200" s="9" t="n">
        <f aca="false">IFERROR(E200*F200,"")</f>
        <v>0</v>
      </c>
      <c r="I200" s="9" t="n">
        <f aca="false">IFERROR(H200*IFERROR(VLOOKUP(G200,VatRates,2,FALSE()),0),"")</f>
        <v>0</v>
      </c>
      <c r="J200" s="9" t="n">
        <f aca="false">IFERROR(H200+I200,"")</f>
        <v>0</v>
      </c>
      <c r="K200" s="13" t="n">
        <v>0</v>
      </c>
    </row>
    <row r="201" customFormat="false" ht="15" hidden="false" customHeight="false" outlineLevel="0" collapsed="false">
      <c r="A201" s="10"/>
      <c r="B201" s="10"/>
      <c r="C201" s="10"/>
      <c r="D201" s="14" t="str">
        <f aca="false">IFERROR(IF(C201="","",INDEX(Products!$C$5:$C$504,MATCH(C201,Products!$A$5:$A$504,0))),"")</f>
        <v/>
      </c>
      <c r="E201" s="13" t="n">
        <v>1</v>
      </c>
      <c r="F201" s="11"/>
      <c r="G201" s="10" t="s">
        <v>114</v>
      </c>
      <c r="H201" s="9" t="n">
        <f aca="false">IFERROR(E201*F201,"")</f>
        <v>0</v>
      </c>
      <c r="I201" s="9" t="n">
        <f aca="false">IFERROR(H201*IFERROR(VLOOKUP(G201,VatRates,2,FALSE()),0),"")</f>
        <v>0</v>
      </c>
      <c r="J201" s="9" t="n">
        <f aca="false">IFERROR(H201+I201,"")</f>
        <v>0</v>
      </c>
      <c r="K201" s="13" t="n">
        <v>0</v>
      </c>
    </row>
    <row r="202" customFormat="false" ht="15" hidden="false" customHeight="false" outlineLevel="0" collapsed="false">
      <c r="A202" s="10"/>
      <c r="B202" s="10"/>
      <c r="C202" s="10"/>
      <c r="D202" s="14" t="str">
        <f aca="false">IFERROR(IF(C202="","",INDEX(Products!$C$5:$C$504,MATCH(C202,Products!$A$5:$A$504,0))),"")</f>
        <v/>
      </c>
      <c r="E202" s="13" t="n">
        <v>1</v>
      </c>
      <c r="F202" s="11"/>
      <c r="G202" s="10" t="s">
        <v>114</v>
      </c>
      <c r="H202" s="9" t="n">
        <f aca="false">IFERROR(E202*F202,"")</f>
        <v>0</v>
      </c>
      <c r="I202" s="9" t="n">
        <f aca="false">IFERROR(H202*IFERROR(VLOOKUP(G202,VatRates,2,FALSE()),0),"")</f>
        <v>0</v>
      </c>
      <c r="J202" s="9" t="n">
        <f aca="false">IFERROR(H202+I202,"")</f>
        <v>0</v>
      </c>
      <c r="K202" s="13" t="n">
        <v>0</v>
      </c>
    </row>
    <row r="203" customFormat="false" ht="15" hidden="false" customHeight="false" outlineLevel="0" collapsed="false">
      <c r="A203" s="10"/>
      <c r="B203" s="10"/>
      <c r="C203" s="10"/>
      <c r="D203" s="14" t="str">
        <f aca="false">IFERROR(IF(C203="","",INDEX(Products!$C$5:$C$504,MATCH(C203,Products!$A$5:$A$504,0))),"")</f>
        <v/>
      </c>
      <c r="E203" s="13" t="n">
        <v>1</v>
      </c>
      <c r="F203" s="11"/>
      <c r="G203" s="10" t="s">
        <v>114</v>
      </c>
      <c r="H203" s="9" t="n">
        <f aca="false">IFERROR(E203*F203,"")</f>
        <v>0</v>
      </c>
      <c r="I203" s="9" t="n">
        <f aca="false">IFERROR(H203*IFERROR(VLOOKUP(G203,VatRates,2,FALSE()),0),"")</f>
        <v>0</v>
      </c>
      <c r="J203" s="9" t="n">
        <f aca="false">IFERROR(H203+I203,"")</f>
        <v>0</v>
      </c>
      <c r="K203" s="13" t="n">
        <v>0</v>
      </c>
    </row>
    <row r="204" customFormat="false" ht="15" hidden="false" customHeight="false" outlineLevel="0" collapsed="false">
      <c r="A204" s="10"/>
      <c r="B204" s="10"/>
      <c r="C204" s="10"/>
      <c r="D204" s="14" t="str">
        <f aca="false">IFERROR(IF(C204="","",INDEX(Products!$C$5:$C$504,MATCH(C204,Products!$A$5:$A$504,0))),"")</f>
        <v/>
      </c>
      <c r="E204" s="13" t="n">
        <v>1</v>
      </c>
      <c r="F204" s="11"/>
      <c r="G204" s="10" t="s">
        <v>114</v>
      </c>
      <c r="H204" s="9" t="n">
        <f aca="false">IFERROR(E204*F204,"")</f>
        <v>0</v>
      </c>
      <c r="I204" s="9" t="n">
        <f aca="false">IFERROR(H204*IFERROR(VLOOKUP(G204,VatRates,2,FALSE()),0),"")</f>
        <v>0</v>
      </c>
      <c r="J204" s="9" t="n">
        <f aca="false">IFERROR(H204+I204,"")</f>
        <v>0</v>
      </c>
      <c r="K204" s="13" t="n">
        <v>0</v>
      </c>
    </row>
    <row r="205" customFormat="false" ht="15" hidden="false" customHeight="false" outlineLevel="0" collapsed="false">
      <c r="A205" s="10"/>
      <c r="B205" s="10"/>
      <c r="C205" s="10"/>
      <c r="D205" s="14" t="str">
        <f aca="false">IFERROR(IF(C205="","",INDEX(Products!$C$5:$C$504,MATCH(C205,Products!$A$5:$A$504,0))),"")</f>
        <v/>
      </c>
      <c r="E205" s="13" t="n">
        <v>1</v>
      </c>
      <c r="F205" s="11"/>
      <c r="G205" s="10" t="s">
        <v>114</v>
      </c>
      <c r="H205" s="9" t="n">
        <f aca="false">IFERROR(E205*F205,"")</f>
        <v>0</v>
      </c>
      <c r="I205" s="9" t="n">
        <f aca="false">IFERROR(H205*IFERROR(VLOOKUP(G205,VatRates,2,FALSE()),0),"")</f>
        <v>0</v>
      </c>
      <c r="J205" s="9" t="n">
        <f aca="false">IFERROR(H205+I205,"")</f>
        <v>0</v>
      </c>
      <c r="K205" s="13" t="n">
        <v>0</v>
      </c>
    </row>
    <row r="206" customFormat="false" ht="15" hidden="false" customHeight="false" outlineLevel="0" collapsed="false">
      <c r="A206" s="10"/>
      <c r="B206" s="10"/>
      <c r="C206" s="10"/>
      <c r="D206" s="14" t="str">
        <f aca="false">IFERROR(IF(C206="","",INDEX(Products!$C$5:$C$504,MATCH(C206,Products!$A$5:$A$504,0))),"")</f>
        <v/>
      </c>
      <c r="E206" s="13" t="n">
        <v>1</v>
      </c>
      <c r="F206" s="11"/>
      <c r="G206" s="10" t="s">
        <v>114</v>
      </c>
      <c r="H206" s="9" t="n">
        <f aca="false">IFERROR(E206*F206,"")</f>
        <v>0</v>
      </c>
      <c r="I206" s="9" t="n">
        <f aca="false">IFERROR(H206*IFERROR(VLOOKUP(G206,VatRates,2,FALSE()),0),"")</f>
        <v>0</v>
      </c>
      <c r="J206" s="9" t="n">
        <f aca="false">IFERROR(H206+I206,"")</f>
        <v>0</v>
      </c>
      <c r="K206" s="13" t="n">
        <v>0</v>
      </c>
    </row>
    <row r="207" customFormat="false" ht="15" hidden="false" customHeight="false" outlineLevel="0" collapsed="false">
      <c r="A207" s="10"/>
      <c r="B207" s="10"/>
      <c r="C207" s="10"/>
      <c r="D207" s="14" t="str">
        <f aca="false">IFERROR(IF(C207="","",INDEX(Products!$C$5:$C$504,MATCH(C207,Products!$A$5:$A$504,0))),"")</f>
        <v/>
      </c>
      <c r="E207" s="13" t="n">
        <v>1</v>
      </c>
      <c r="F207" s="11"/>
      <c r="G207" s="10" t="s">
        <v>114</v>
      </c>
      <c r="H207" s="9" t="n">
        <f aca="false">IFERROR(E207*F207,"")</f>
        <v>0</v>
      </c>
      <c r="I207" s="9" t="n">
        <f aca="false">IFERROR(H207*IFERROR(VLOOKUP(G207,VatRates,2,FALSE()),0),"")</f>
        <v>0</v>
      </c>
      <c r="J207" s="9" t="n">
        <f aca="false">IFERROR(H207+I207,"")</f>
        <v>0</v>
      </c>
      <c r="K207" s="13" t="n">
        <v>0</v>
      </c>
    </row>
    <row r="208" customFormat="false" ht="15" hidden="false" customHeight="false" outlineLevel="0" collapsed="false">
      <c r="A208" s="10"/>
      <c r="B208" s="10"/>
      <c r="C208" s="10"/>
      <c r="D208" s="14" t="str">
        <f aca="false">IFERROR(IF(C208="","",INDEX(Products!$C$5:$C$504,MATCH(C208,Products!$A$5:$A$504,0))),"")</f>
        <v/>
      </c>
      <c r="E208" s="13" t="n">
        <v>1</v>
      </c>
      <c r="F208" s="11"/>
      <c r="G208" s="10" t="s">
        <v>114</v>
      </c>
      <c r="H208" s="9" t="n">
        <f aca="false">IFERROR(E208*F208,"")</f>
        <v>0</v>
      </c>
      <c r="I208" s="9" t="n">
        <f aca="false">IFERROR(H208*IFERROR(VLOOKUP(G208,VatRates,2,FALSE()),0),"")</f>
        <v>0</v>
      </c>
      <c r="J208" s="9" t="n">
        <f aca="false">IFERROR(H208+I208,"")</f>
        <v>0</v>
      </c>
      <c r="K208" s="13" t="n">
        <v>0</v>
      </c>
    </row>
    <row r="209" customFormat="false" ht="15" hidden="false" customHeight="false" outlineLevel="0" collapsed="false">
      <c r="A209" s="10"/>
      <c r="B209" s="10"/>
      <c r="C209" s="10"/>
      <c r="D209" s="14" t="str">
        <f aca="false">IFERROR(IF(C209="","",INDEX(Products!$C$5:$C$504,MATCH(C209,Products!$A$5:$A$504,0))),"")</f>
        <v/>
      </c>
      <c r="E209" s="13" t="n">
        <v>1</v>
      </c>
      <c r="F209" s="11"/>
      <c r="G209" s="10" t="s">
        <v>114</v>
      </c>
      <c r="H209" s="9" t="n">
        <f aca="false">IFERROR(E209*F209,"")</f>
        <v>0</v>
      </c>
      <c r="I209" s="9" t="n">
        <f aca="false">IFERROR(H209*IFERROR(VLOOKUP(G209,VatRates,2,FALSE()),0),"")</f>
        <v>0</v>
      </c>
      <c r="J209" s="9" t="n">
        <f aca="false">IFERROR(H209+I209,"")</f>
        <v>0</v>
      </c>
      <c r="K209" s="13" t="n">
        <v>0</v>
      </c>
    </row>
    <row r="210" customFormat="false" ht="15" hidden="false" customHeight="false" outlineLevel="0" collapsed="false">
      <c r="A210" s="10"/>
      <c r="B210" s="10"/>
      <c r="C210" s="10"/>
      <c r="D210" s="14" t="str">
        <f aca="false">IFERROR(IF(C210="","",INDEX(Products!$C$5:$C$504,MATCH(C210,Products!$A$5:$A$504,0))),"")</f>
        <v/>
      </c>
      <c r="E210" s="13" t="n">
        <v>1</v>
      </c>
      <c r="F210" s="11"/>
      <c r="G210" s="10" t="s">
        <v>114</v>
      </c>
      <c r="H210" s="9" t="n">
        <f aca="false">IFERROR(E210*F210,"")</f>
        <v>0</v>
      </c>
      <c r="I210" s="9" t="n">
        <f aca="false">IFERROR(H210*IFERROR(VLOOKUP(G210,VatRates,2,FALSE()),0),"")</f>
        <v>0</v>
      </c>
      <c r="J210" s="9" t="n">
        <f aca="false">IFERROR(H210+I210,"")</f>
        <v>0</v>
      </c>
      <c r="K210" s="13" t="n">
        <v>0</v>
      </c>
    </row>
    <row r="211" customFormat="false" ht="15" hidden="false" customHeight="false" outlineLevel="0" collapsed="false">
      <c r="A211" s="10"/>
      <c r="B211" s="10"/>
      <c r="C211" s="10"/>
      <c r="D211" s="14" t="str">
        <f aca="false">IFERROR(IF(C211="","",INDEX(Products!$C$5:$C$504,MATCH(C211,Products!$A$5:$A$504,0))),"")</f>
        <v/>
      </c>
      <c r="E211" s="13" t="n">
        <v>1</v>
      </c>
      <c r="F211" s="11"/>
      <c r="G211" s="10" t="s">
        <v>114</v>
      </c>
      <c r="H211" s="9" t="n">
        <f aca="false">IFERROR(E211*F211,"")</f>
        <v>0</v>
      </c>
      <c r="I211" s="9" t="n">
        <f aca="false">IFERROR(H211*IFERROR(VLOOKUP(G211,VatRates,2,FALSE()),0),"")</f>
        <v>0</v>
      </c>
      <c r="J211" s="9" t="n">
        <f aca="false">IFERROR(H211+I211,"")</f>
        <v>0</v>
      </c>
      <c r="K211" s="13" t="n">
        <v>0</v>
      </c>
    </row>
    <row r="212" customFormat="false" ht="15" hidden="false" customHeight="false" outlineLevel="0" collapsed="false">
      <c r="A212" s="10"/>
      <c r="B212" s="10"/>
      <c r="C212" s="10"/>
      <c r="D212" s="14" t="str">
        <f aca="false">IFERROR(IF(C212="","",INDEX(Products!$C$5:$C$504,MATCH(C212,Products!$A$5:$A$504,0))),"")</f>
        <v/>
      </c>
      <c r="E212" s="13" t="n">
        <v>1</v>
      </c>
      <c r="F212" s="11"/>
      <c r="G212" s="10" t="s">
        <v>114</v>
      </c>
      <c r="H212" s="9" t="n">
        <f aca="false">IFERROR(E212*F212,"")</f>
        <v>0</v>
      </c>
      <c r="I212" s="9" t="n">
        <f aca="false">IFERROR(H212*IFERROR(VLOOKUP(G212,VatRates,2,FALSE()),0),"")</f>
        <v>0</v>
      </c>
      <c r="J212" s="9" t="n">
        <f aca="false">IFERROR(H212+I212,"")</f>
        <v>0</v>
      </c>
      <c r="K212" s="13" t="n">
        <v>0</v>
      </c>
    </row>
    <row r="213" customFormat="false" ht="15" hidden="false" customHeight="false" outlineLevel="0" collapsed="false">
      <c r="A213" s="10"/>
      <c r="B213" s="10"/>
      <c r="C213" s="10"/>
      <c r="D213" s="14" t="str">
        <f aca="false">IFERROR(IF(C213="","",INDEX(Products!$C$5:$C$504,MATCH(C213,Products!$A$5:$A$504,0))),"")</f>
        <v/>
      </c>
      <c r="E213" s="13" t="n">
        <v>1</v>
      </c>
      <c r="F213" s="11"/>
      <c r="G213" s="10" t="s">
        <v>114</v>
      </c>
      <c r="H213" s="9" t="n">
        <f aca="false">IFERROR(E213*F213,"")</f>
        <v>0</v>
      </c>
      <c r="I213" s="9" t="n">
        <f aca="false">IFERROR(H213*IFERROR(VLOOKUP(G213,VatRates,2,FALSE()),0),"")</f>
        <v>0</v>
      </c>
      <c r="J213" s="9" t="n">
        <f aca="false">IFERROR(H213+I213,"")</f>
        <v>0</v>
      </c>
      <c r="K213" s="13" t="n">
        <v>0</v>
      </c>
    </row>
    <row r="214" customFormat="false" ht="15" hidden="false" customHeight="false" outlineLevel="0" collapsed="false">
      <c r="A214" s="10"/>
      <c r="B214" s="10"/>
      <c r="C214" s="10"/>
      <c r="D214" s="14" t="str">
        <f aca="false">IFERROR(IF(C214="","",INDEX(Products!$C$5:$C$504,MATCH(C214,Products!$A$5:$A$504,0))),"")</f>
        <v/>
      </c>
      <c r="E214" s="13" t="n">
        <v>1</v>
      </c>
      <c r="F214" s="11"/>
      <c r="G214" s="10" t="s">
        <v>114</v>
      </c>
      <c r="H214" s="9" t="n">
        <f aca="false">IFERROR(E214*F214,"")</f>
        <v>0</v>
      </c>
      <c r="I214" s="9" t="n">
        <f aca="false">IFERROR(H214*IFERROR(VLOOKUP(G214,VatRates,2,FALSE()),0),"")</f>
        <v>0</v>
      </c>
      <c r="J214" s="9" t="n">
        <f aca="false">IFERROR(H214+I214,"")</f>
        <v>0</v>
      </c>
      <c r="K214" s="13" t="n">
        <v>0</v>
      </c>
    </row>
    <row r="215" customFormat="false" ht="15" hidden="false" customHeight="false" outlineLevel="0" collapsed="false">
      <c r="A215" s="10"/>
      <c r="B215" s="10"/>
      <c r="C215" s="10"/>
      <c r="D215" s="14" t="str">
        <f aca="false">IFERROR(IF(C215="","",INDEX(Products!$C$5:$C$504,MATCH(C215,Products!$A$5:$A$504,0))),"")</f>
        <v/>
      </c>
      <c r="E215" s="13" t="n">
        <v>1</v>
      </c>
      <c r="F215" s="11"/>
      <c r="G215" s="10" t="s">
        <v>114</v>
      </c>
      <c r="H215" s="9" t="n">
        <f aca="false">IFERROR(E215*F215,"")</f>
        <v>0</v>
      </c>
      <c r="I215" s="9" t="n">
        <f aca="false">IFERROR(H215*IFERROR(VLOOKUP(G215,VatRates,2,FALSE()),0),"")</f>
        <v>0</v>
      </c>
      <c r="J215" s="9" t="n">
        <f aca="false">IFERROR(H215+I215,"")</f>
        <v>0</v>
      </c>
      <c r="K215" s="13" t="n">
        <v>0</v>
      </c>
    </row>
    <row r="216" customFormat="false" ht="15" hidden="false" customHeight="false" outlineLevel="0" collapsed="false">
      <c r="A216" s="10"/>
      <c r="B216" s="10"/>
      <c r="C216" s="10"/>
      <c r="D216" s="14" t="str">
        <f aca="false">IFERROR(IF(C216="","",INDEX(Products!$C$5:$C$504,MATCH(C216,Products!$A$5:$A$504,0))),"")</f>
        <v/>
      </c>
      <c r="E216" s="13" t="n">
        <v>1</v>
      </c>
      <c r="F216" s="11"/>
      <c r="G216" s="10" t="s">
        <v>114</v>
      </c>
      <c r="H216" s="9" t="n">
        <f aca="false">IFERROR(E216*F216,"")</f>
        <v>0</v>
      </c>
      <c r="I216" s="9" t="n">
        <f aca="false">IFERROR(H216*IFERROR(VLOOKUP(G216,VatRates,2,FALSE()),0),"")</f>
        <v>0</v>
      </c>
      <c r="J216" s="9" t="n">
        <f aca="false">IFERROR(H216+I216,"")</f>
        <v>0</v>
      </c>
      <c r="K216" s="13" t="n">
        <v>0</v>
      </c>
    </row>
    <row r="217" customFormat="false" ht="15" hidden="false" customHeight="false" outlineLevel="0" collapsed="false">
      <c r="A217" s="10"/>
      <c r="B217" s="10"/>
      <c r="C217" s="10"/>
      <c r="D217" s="14" t="str">
        <f aca="false">IFERROR(IF(C217="","",INDEX(Products!$C$5:$C$504,MATCH(C217,Products!$A$5:$A$504,0))),"")</f>
        <v/>
      </c>
      <c r="E217" s="13" t="n">
        <v>1</v>
      </c>
      <c r="F217" s="11"/>
      <c r="G217" s="10" t="s">
        <v>114</v>
      </c>
      <c r="H217" s="9" t="n">
        <f aca="false">IFERROR(E217*F217,"")</f>
        <v>0</v>
      </c>
      <c r="I217" s="9" t="n">
        <f aca="false">IFERROR(H217*IFERROR(VLOOKUP(G217,VatRates,2,FALSE()),0),"")</f>
        <v>0</v>
      </c>
      <c r="J217" s="9" t="n">
        <f aca="false">IFERROR(H217+I217,"")</f>
        <v>0</v>
      </c>
      <c r="K217" s="13" t="n">
        <v>0</v>
      </c>
    </row>
    <row r="218" customFormat="false" ht="15" hidden="false" customHeight="false" outlineLevel="0" collapsed="false">
      <c r="A218" s="10"/>
      <c r="B218" s="10"/>
      <c r="C218" s="10"/>
      <c r="D218" s="14" t="str">
        <f aca="false">IFERROR(IF(C218="","",INDEX(Products!$C$5:$C$504,MATCH(C218,Products!$A$5:$A$504,0))),"")</f>
        <v/>
      </c>
      <c r="E218" s="13" t="n">
        <v>1</v>
      </c>
      <c r="F218" s="11"/>
      <c r="G218" s="10" t="s">
        <v>114</v>
      </c>
      <c r="H218" s="9" t="n">
        <f aca="false">IFERROR(E218*F218,"")</f>
        <v>0</v>
      </c>
      <c r="I218" s="9" t="n">
        <f aca="false">IFERROR(H218*IFERROR(VLOOKUP(G218,VatRates,2,FALSE()),0),"")</f>
        <v>0</v>
      </c>
      <c r="J218" s="9" t="n">
        <f aca="false">IFERROR(H218+I218,"")</f>
        <v>0</v>
      </c>
      <c r="K218" s="13" t="n">
        <v>0</v>
      </c>
    </row>
    <row r="219" customFormat="false" ht="15" hidden="false" customHeight="false" outlineLevel="0" collapsed="false">
      <c r="A219" s="10"/>
      <c r="B219" s="10"/>
      <c r="C219" s="10"/>
      <c r="D219" s="14" t="str">
        <f aca="false">IFERROR(IF(C219="","",INDEX(Products!$C$5:$C$504,MATCH(C219,Products!$A$5:$A$504,0))),"")</f>
        <v/>
      </c>
      <c r="E219" s="13" t="n">
        <v>1</v>
      </c>
      <c r="F219" s="11"/>
      <c r="G219" s="10" t="s">
        <v>114</v>
      </c>
      <c r="H219" s="9" t="n">
        <f aca="false">IFERROR(E219*F219,"")</f>
        <v>0</v>
      </c>
      <c r="I219" s="9" t="n">
        <f aca="false">IFERROR(H219*IFERROR(VLOOKUP(G219,VatRates,2,FALSE()),0),"")</f>
        <v>0</v>
      </c>
      <c r="J219" s="9" t="n">
        <f aca="false">IFERROR(H219+I219,"")</f>
        <v>0</v>
      </c>
      <c r="K219" s="13" t="n">
        <v>0</v>
      </c>
    </row>
    <row r="220" customFormat="false" ht="15" hidden="false" customHeight="false" outlineLevel="0" collapsed="false">
      <c r="A220" s="10"/>
      <c r="B220" s="10"/>
      <c r="C220" s="10"/>
      <c r="D220" s="14" t="str">
        <f aca="false">IFERROR(IF(C220="","",INDEX(Products!$C$5:$C$504,MATCH(C220,Products!$A$5:$A$504,0))),"")</f>
        <v/>
      </c>
      <c r="E220" s="13" t="n">
        <v>1</v>
      </c>
      <c r="F220" s="11"/>
      <c r="G220" s="10" t="s">
        <v>114</v>
      </c>
      <c r="H220" s="9" t="n">
        <f aca="false">IFERROR(E220*F220,"")</f>
        <v>0</v>
      </c>
      <c r="I220" s="9" t="n">
        <f aca="false">IFERROR(H220*IFERROR(VLOOKUP(G220,VatRates,2,FALSE()),0),"")</f>
        <v>0</v>
      </c>
      <c r="J220" s="9" t="n">
        <f aca="false">IFERROR(H220+I220,"")</f>
        <v>0</v>
      </c>
      <c r="K220" s="13" t="n">
        <v>0</v>
      </c>
    </row>
    <row r="221" customFormat="false" ht="15" hidden="false" customHeight="false" outlineLevel="0" collapsed="false">
      <c r="A221" s="10"/>
      <c r="B221" s="10"/>
      <c r="C221" s="10"/>
      <c r="D221" s="14" t="str">
        <f aca="false">IFERROR(IF(C221="","",INDEX(Products!$C$5:$C$504,MATCH(C221,Products!$A$5:$A$504,0))),"")</f>
        <v/>
      </c>
      <c r="E221" s="13" t="n">
        <v>1</v>
      </c>
      <c r="F221" s="11"/>
      <c r="G221" s="10" t="s">
        <v>114</v>
      </c>
      <c r="H221" s="9" t="n">
        <f aca="false">IFERROR(E221*F221,"")</f>
        <v>0</v>
      </c>
      <c r="I221" s="9" t="n">
        <f aca="false">IFERROR(H221*IFERROR(VLOOKUP(G221,VatRates,2,FALSE()),0),"")</f>
        <v>0</v>
      </c>
      <c r="J221" s="9" t="n">
        <f aca="false">IFERROR(H221+I221,"")</f>
        <v>0</v>
      </c>
      <c r="K221" s="13" t="n">
        <v>0</v>
      </c>
    </row>
    <row r="222" customFormat="false" ht="15" hidden="false" customHeight="false" outlineLevel="0" collapsed="false">
      <c r="A222" s="10"/>
      <c r="B222" s="10"/>
      <c r="C222" s="10"/>
      <c r="D222" s="14" t="str">
        <f aca="false">IFERROR(IF(C222="","",INDEX(Products!$C$5:$C$504,MATCH(C222,Products!$A$5:$A$504,0))),"")</f>
        <v/>
      </c>
      <c r="E222" s="13" t="n">
        <v>1</v>
      </c>
      <c r="F222" s="11"/>
      <c r="G222" s="10" t="s">
        <v>114</v>
      </c>
      <c r="H222" s="9" t="n">
        <f aca="false">IFERROR(E222*F222,"")</f>
        <v>0</v>
      </c>
      <c r="I222" s="9" t="n">
        <f aca="false">IFERROR(H222*IFERROR(VLOOKUP(G222,VatRates,2,FALSE()),0),"")</f>
        <v>0</v>
      </c>
      <c r="J222" s="9" t="n">
        <f aca="false">IFERROR(H222+I222,"")</f>
        <v>0</v>
      </c>
      <c r="K222" s="13" t="n">
        <v>0</v>
      </c>
    </row>
    <row r="223" customFormat="false" ht="15" hidden="false" customHeight="false" outlineLevel="0" collapsed="false">
      <c r="A223" s="10"/>
      <c r="B223" s="10"/>
      <c r="C223" s="10"/>
      <c r="D223" s="14" t="str">
        <f aca="false">IFERROR(IF(C223="","",INDEX(Products!$C$5:$C$504,MATCH(C223,Products!$A$5:$A$504,0))),"")</f>
        <v/>
      </c>
      <c r="E223" s="13" t="n">
        <v>1</v>
      </c>
      <c r="F223" s="11"/>
      <c r="G223" s="10" t="s">
        <v>114</v>
      </c>
      <c r="H223" s="9" t="n">
        <f aca="false">IFERROR(E223*F223,"")</f>
        <v>0</v>
      </c>
      <c r="I223" s="9" t="n">
        <f aca="false">IFERROR(H223*IFERROR(VLOOKUP(G223,VatRates,2,FALSE()),0),"")</f>
        <v>0</v>
      </c>
      <c r="J223" s="9" t="n">
        <f aca="false">IFERROR(H223+I223,"")</f>
        <v>0</v>
      </c>
      <c r="K223" s="13" t="n">
        <v>0</v>
      </c>
    </row>
    <row r="224" customFormat="false" ht="15" hidden="false" customHeight="false" outlineLevel="0" collapsed="false">
      <c r="A224" s="10"/>
      <c r="B224" s="10"/>
      <c r="C224" s="10"/>
      <c r="D224" s="14" t="str">
        <f aca="false">IFERROR(IF(C224="","",INDEX(Products!$C$5:$C$504,MATCH(C224,Products!$A$5:$A$504,0))),"")</f>
        <v/>
      </c>
      <c r="E224" s="13" t="n">
        <v>1</v>
      </c>
      <c r="F224" s="11"/>
      <c r="G224" s="10" t="s">
        <v>114</v>
      </c>
      <c r="H224" s="9" t="n">
        <f aca="false">IFERROR(E224*F224,"")</f>
        <v>0</v>
      </c>
      <c r="I224" s="9" t="n">
        <f aca="false">IFERROR(H224*IFERROR(VLOOKUP(G224,VatRates,2,FALSE()),0),"")</f>
        <v>0</v>
      </c>
      <c r="J224" s="9" t="n">
        <f aca="false">IFERROR(H224+I224,"")</f>
        <v>0</v>
      </c>
      <c r="K224" s="13" t="n">
        <v>0</v>
      </c>
    </row>
    <row r="225" customFormat="false" ht="15" hidden="false" customHeight="false" outlineLevel="0" collapsed="false">
      <c r="A225" s="10"/>
      <c r="B225" s="10"/>
      <c r="C225" s="10"/>
      <c r="D225" s="14" t="str">
        <f aca="false">IFERROR(IF(C225="","",INDEX(Products!$C$5:$C$504,MATCH(C225,Products!$A$5:$A$504,0))),"")</f>
        <v/>
      </c>
      <c r="E225" s="13" t="n">
        <v>1</v>
      </c>
      <c r="F225" s="11"/>
      <c r="G225" s="10" t="s">
        <v>114</v>
      </c>
      <c r="H225" s="9" t="n">
        <f aca="false">IFERROR(E225*F225,"")</f>
        <v>0</v>
      </c>
      <c r="I225" s="9" t="n">
        <f aca="false">IFERROR(H225*IFERROR(VLOOKUP(G225,VatRates,2,FALSE()),0),"")</f>
        <v>0</v>
      </c>
      <c r="J225" s="9" t="n">
        <f aca="false">IFERROR(H225+I225,"")</f>
        <v>0</v>
      </c>
      <c r="K225" s="13" t="n">
        <v>0</v>
      </c>
    </row>
    <row r="226" customFormat="false" ht="15" hidden="false" customHeight="false" outlineLevel="0" collapsed="false">
      <c r="A226" s="10"/>
      <c r="B226" s="10"/>
      <c r="C226" s="10"/>
      <c r="D226" s="14" t="str">
        <f aca="false">IFERROR(IF(C226="","",INDEX(Products!$C$5:$C$504,MATCH(C226,Products!$A$5:$A$504,0))),"")</f>
        <v/>
      </c>
      <c r="E226" s="13" t="n">
        <v>1</v>
      </c>
      <c r="F226" s="11"/>
      <c r="G226" s="10" t="s">
        <v>114</v>
      </c>
      <c r="H226" s="9" t="n">
        <f aca="false">IFERROR(E226*F226,"")</f>
        <v>0</v>
      </c>
      <c r="I226" s="9" t="n">
        <f aca="false">IFERROR(H226*IFERROR(VLOOKUP(G226,VatRates,2,FALSE()),0),"")</f>
        <v>0</v>
      </c>
      <c r="J226" s="9" t="n">
        <f aca="false">IFERROR(H226+I226,"")</f>
        <v>0</v>
      </c>
      <c r="K226" s="13" t="n">
        <v>0</v>
      </c>
    </row>
    <row r="227" customFormat="false" ht="15" hidden="false" customHeight="false" outlineLevel="0" collapsed="false">
      <c r="A227" s="10"/>
      <c r="B227" s="10"/>
      <c r="C227" s="10"/>
      <c r="D227" s="14" t="str">
        <f aca="false">IFERROR(IF(C227="","",INDEX(Products!$C$5:$C$504,MATCH(C227,Products!$A$5:$A$504,0))),"")</f>
        <v/>
      </c>
      <c r="E227" s="13" t="n">
        <v>1</v>
      </c>
      <c r="F227" s="11"/>
      <c r="G227" s="10" t="s">
        <v>114</v>
      </c>
      <c r="H227" s="9" t="n">
        <f aca="false">IFERROR(E227*F227,"")</f>
        <v>0</v>
      </c>
      <c r="I227" s="9" t="n">
        <f aca="false">IFERROR(H227*IFERROR(VLOOKUP(G227,VatRates,2,FALSE()),0),"")</f>
        <v>0</v>
      </c>
      <c r="J227" s="9" t="n">
        <f aca="false">IFERROR(H227+I227,"")</f>
        <v>0</v>
      </c>
      <c r="K227" s="13" t="n">
        <v>0</v>
      </c>
    </row>
    <row r="228" customFormat="false" ht="15" hidden="false" customHeight="false" outlineLevel="0" collapsed="false">
      <c r="A228" s="10"/>
      <c r="B228" s="10"/>
      <c r="C228" s="10"/>
      <c r="D228" s="14" t="str">
        <f aca="false">IFERROR(IF(C228="","",INDEX(Products!$C$5:$C$504,MATCH(C228,Products!$A$5:$A$504,0))),"")</f>
        <v/>
      </c>
      <c r="E228" s="13" t="n">
        <v>1</v>
      </c>
      <c r="F228" s="11"/>
      <c r="G228" s="10" t="s">
        <v>114</v>
      </c>
      <c r="H228" s="9" t="n">
        <f aca="false">IFERROR(E228*F228,"")</f>
        <v>0</v>
      </c>
      <c r="I228" s="9" t="n">
        <f aca="false">IFERROR(H228*IFERROR(VLOOKUP(G228,VatRates,2,FALSE()),0),"")</f>
        <v>0</v>
      </c>
      <c r="J228" s="9" t="n">
        <f aca="false">IFERROR(H228+I228,"")</f>
        <v>0</v>
      </c>
      <c r="K228" s="13" t="n">
        <v>0</v>
      </c>
    </row>
    <row r="229" customFormat="false" ht="15" hidden="false" customHeight="false" outlineLevel="0" collapsed="false">
      <c r="A229" s="10"/>
      <c r="B229" s="10"/>
      <c r="C229" s="10"/>
      <c r="D229" s="14" t="str">
        <f aca="false">IFERROR(IF(C229="","",INDEX(Products!$C$5:$C$504,MATCH(C229,Products!$A$5:$A$504,0))),"")</f>
        <v/>
      </c>
      <c r="E229" s="13" t="n">
        <v>1</v>
      </c>
      <c r="F229" s="11"/>
      <c r="G229" s="10" t="s">
        <v>114</v>
      </c>
      <c r="H229" s="9" t="n">
        <f aca="false">IFERROR(E229*F229,"")</f>
        <v>0</v>
      </c>
      <c r="I229" s="9" t="n">
        <f aca="false">IFERROR(H229*IFERROR(VLOOKUP(G229,VatRates,2,FALSE()),0),"")</f>
        <v>0</v>
      </c>
      <c r="J229" s="9" t="n">
        <f aca="false">IFERROR(H229+I229,"")</f>
        <v>0</v>
      </c>
      <c r="K229" s="13" t="n">
        <v>0</v>
      </c>
    </row>
    <row r="230" customFormat="false" ht="15" hidden="false" customHeight="false" outlineLevel="0" collapsed="false">
      <c r="A230" s="10"/>
      <c r="B230" s="10"/>
      <c r="C230" s="10"/>
      <c r="D230" s="14" t="str">
        <f aca="false">IFERROR(IF(C230="","",INDEX(Products!$C$5:$C$504,MATCH(C230,Products!$A$5:$A$504,0))),"")</f>
        <v/>
      </c>
      <c r="E230" s="13" t="n">
        <v>1</v>
      </c>
      <c r="F230" s="11"/>
      <c r="G230" s="10" t="s">
        <v>114</v>
      </c>
      <c r="H230" s="9" t="n">
        <f aca="false">IFERROR(E230*F230,"")</f>
        <v>0</v>
      </c>
      <c r="I230" s="9" t="n">
        <f aca="false">IFERROR(H230*IFERROR(VLOOKUP(G230,VatRates,2,FALSE()),0),"")</f>
        <v>0</v>
      </c>
      <c r="J230" s="9" t="n">
        <f aca="false">IFERROR(H230+I230,"")</f>
        <v>0</v>
      </c>
      <c r="K230" s="13" t="n">
        <v>0</v>
      </c>
    </row>
    <row r="231" customFormat="false" ht="15" hidden="false" customHeight="false" outlineLevel="0" collapsed="false">
      <c r="A231" s="10"/>
      <c r="B231" s="10"/>
      <c r="C231" s="10"/>
      <c r="D231" s="14" t="str">
        <f aca="false">IFERROR(IF(C231="","",INDEX(Products!$C$5:$C$504,MATCH(C231,Products!$A$5:$A$504,0))),"")</f>
        <v/>
      </c>
      <c r="E231" s="13" t="n">
        <v>1</v>
      </c>
      <c r="F231" s="11"/>
      <c r="G231" s="10" t="s">
        <v>114</v>
      </c>
      <c r="H231" s="9" t="n">
        <f aca="false">IFERROR(E231*F231,"")</f>
        <v>0</v>
      </c>
      <c r="I231" s="9" t="n">
        <f aca="false">IFERROR(H231*IFERROR(VLOOKUP(G231,VatRates,2,FALSE()),0),"")</f>
        <v>0</v>
      </c>
      <c r="J231" s="9" t="n">
        <f aca="false">IFERROR(H231+I231,"")</f>
        <v>0</v>
      </c>
      <c r="K231" s="13" t="n">
        <v>0</v>
      </c>
    </row>
    <row r="232" customFormat="false" ht="15" hidden="false" customHeight="false" outlineLevel="0" collapsed="false">
      <c r="A232" s="10"/>
      <c r="B232" s="10"/>
      <c r="C232" s="10"/>
      <c r="D232" s="14" t="str">
        <f aca="false">IFERROR(IF(C232="","",INDEX(Products!$C$5:$C$504,MATCH(C232,Products!$A$5:$A$504,0))),"")</f>
        <v/>
      </c>
      <c r="E232" s="13" t="n">
        <v>1</v>
      </c>
      <c r="F232" s="11"/>
      <c r="G232" s="10" t="s">
        <v>114</v>
      </c>
      <c r="H232" s="9" t="n">
        <f aca="false">IFERROR(E232*F232,"")</f>
        <v>0</v>
      </c>
      <c r="I232" s="9" t="n">
        <f aca="false">IFERROR(H232*IFERROR(VLOOKUP(G232,VatRates,2,FALSE()),0),"")</f>
        <v>0</v>
      </c>
      <c r="J232" s="9" t="n">
        <f aca="false">IFERROR(H232+I232,"")</f>
        <v>0</v>
      </c>
      <c r="K232" s="13" t="n">
        <v>0</v>
      </c>
    </row>
    <row r="233" customFormat="false" ht="15" hidden="false" customHeight="false" outlineLevel="0" collapsed="false">
      <c r="A233" s="10"/>
      <c r="B233" s="10"/>
      <c r="C233" s="10"/>
      <c r="D233" s="14" t="str">
        <f aca="false">IFERROR(IF(C233="","",INDEX(Products!$C$5:$C$504,MATCH(C233,Products!$A$5:$A$504,0))),"")</f>
        <v/>
      </c>
      <c r="E233" s="13" t="n">
        <v>1</v>
      </c>
      <c r="F233" s="11"/>
      <c r="G233" s="10" t="s">
        <v>114</v>
      </c>
      <c r="H233" s="9" t="n">
        <f aca="false">IFERROR(E233*F233,"")</f>
        <v>0</v>
      </c>
      <c r="I233" s="9" t="n">
        <f aca="false">IFERROR(H233*IFERROR(VLOOKUP(G233,VatRates,2,FALSE()),0),"")</f>
        <v>0</v>
      </c>
      <c r="J233" s="9" t="n">
        <f aca="false">IFERROR(H233+I233,"")</f>
        <v>0</v>
      </c>
      <c r="K233" s="13" t="n">
        <v>0</v>
      </c>
    </row>
    <row r="234" customFormat="false" ht="15" hidden="false" customHeight="false" outlineLevel="0" collapsed="false">
      <c r="A234" s="10"/>
      <c r="B234" s="10"/>
      <c r="C234" s="10"/>
      <c r="D234" s="14" t="str">
        <f aca="false">IFERROR(IF(C234="","",INDEX(Products!$C$5:$C$504,MATCH(C234,Products!$A$5:$A$504,0))),"")</f>
        <v/>
      </c>
      <c r="E234" s="13" t="n">
        <v>1</v>
      </c>
      <c r="F234" s="11"/>
      <c r="G234" s="10" t="s">
        <v>114</v>
      </c>
      <c r="H234" s="9" t="n">
        <f aca="false">IFERROR(E234*F234,"")</f>
        <v>0</v>
      </c>
      <c r="I234" s="9" t="n">
        <f aca="false">IFERROR(H234*IFERROR(VLOOKUP(G234,VatRates,2,FALSE()),0),"")</f>
        <v>0</v>
      </c>
      <c r="J234" s="9" t="n">
        <f aca="false">IFERROR(H234+I234,"")</f>
        <v>0</v>
      </c>
      <c r="K234" s="13" t="n">
        <v>0</v>
      </c>
    </row>
    <row r="235" customFormat="false" ht="15" hidden="false" customHeight="false" outlineLevel="0" collapsed="false">
      <c r="A235" s="10"/>
      <c r="B235" s="10"/>
      <c r="C235" s="10"/>
      <c r="D235" s="14" t="str">
        <f aca="false">IFERROR(IF(C235="","",INDEX(Products!$C$5:$C$504,MATCH(C235,Products!$A$5:$A$504,0))),"")</f>
        <v/>
      </c>
      <c r="E235" s="13" t="n">
        <v>1</v>
      </c>
      <c r="F235" s="11"/>
      <c r="G235" s="10" t="s">
        <v>114</v>
      </c>
      <c r="H235" s="9" t="n">
        <f aca="false">IFERROR(E235*F235,"")</f>
        <v>0</v>
      </c>
      <c r="I235" s="9" t="n">
        <f aca="false">IFERROR(H235*IFERROR(VLOOKUP(G235,VatRates,2,FALSE()),0),"")</f>
        <v>0</v>
      </c>
      <c r="J235" s="9" t="n">
        <f aca="false">IFERROR(H235+I235,"")</f>
        <v>0</v>
      </c>
      <c r="K235" s="13" t="n">
        <v>0</v>
      </c>
    </row>
    <row r="236" customFormat="false" ht="15" hidden="false" customHeight="false" outlineLevel="0" collapsed="false">
      <c r="A236" s="10"/>
      <c r="B236" s="10"/>
      <c r="C236" s="10"/>
      <c r="D236" s="14" t="str">
        <f aca="false">IFERROR(IF(C236="","",INDEX(Products!$C$5:$C$504,MATCH(C236,Products!$A$5:$A$504,0))),"")</f>
        <v/>
      </c>
      <c r="E236" s="13" t="n">
        <v>1</v>
      </c>
      <c r="F236" s="11"/>
      <c r="G236" s="10" t="s">
        <v>114</v>
      </c>
      <c r="H236" s="9" t="n">
        <f aca="false">IFERROR(E236*F236,"")</f>
        <v>0</v>
      </c>
      <c r="I236" s="9" t="n">
        <f aca="false">IFERROR(H236*IFERROR(VLOOKUP(G236,VatRates,2,FALSE()),0),"")</f>
        <v>0</v>
      </c>
      <c r="J236" s="9" t="n">
        <f aca="false">IFERROR(H236+I236,"")</f>
        <v>0</v>
      </c>
      <c r="K236" s="13" t="n">
        <v>0</v>
      </c>
    </row>
    <row r="237" customFormat="false" ht="15" hidden="false" customHeight="false" outlineLevel="0" collapsed="false">
      <c r="A237" s="10"/>
      <c r="B237" s="10"/>
      <c r="C237" s="10"/>
      <c r="D237" s="14" t="str">
        <f aca="false">IFERROR(IF(C237="","",INDEX(Products!$C$5:$C$504,MATCH(C237,Products!$A$5:$A$504,0))),"")</f>
        <v/>
      </c>
      <c r="E237" s="13" t="n">
        <v>1</v>
      </c>
      <c r="F237" s="11"/>
      <c r="G237" s="10" t="s">
        <v>114</v>
      </c>
      <c r="H237" s="9" t="n">
        <f aca="false">IFERROR(E237*F237,"")</f>
        <v>0</v>
      </c>
      <c r="I237" s="9" t="n">
        <f aca="false">IFERROR(H237*IFERROR(VLOOKUP(G237,VatRates,2,FALSE()),0),"")</f>
        <v>0</v>
      </c>
      <c r="J237" s="9" t="n">
        <f aca="false">IFERROR(H237+I237,"")</f>
        <v>0</v>
      </c>
      <c r="K237" s="13" t="n">
        <v>0</v>
      </c>
    </row>
    <row r="238" customFormat="false" ht="15" hidden="false" customHeight="false" outlineLevel="0" collapsed="false">
      <c r="A238" s="10"/>
      <c r="B238" s="10"/>
      <c r="C238" s="10"/>
      <c r="D238" s="14" t="str">
        <f aca="false">IFERROR(IF(C238="","",INDEX(Products!$C$5:$C$504,MATCH(C238,Products!$A$5:$A$504,0))),"")</f>
        <v/>
      </c>
      <c r="E238" s="13" t="n">
        <v>1</v>
      </c>
      <c r="F238" s="11"/>
      <c r="G238" s="10" t="s">
        <v>114</v>
      </c>
      <c r="H238" s="9" t="n">
        <f aca="false">IFERROR(E238*F238,"")</f>
        <v>0</v>
      </c>
      <c r="I238" s="9" t="n">
        <f aca="false">IFERROR(H238*IFERROR(VLOOKUP(G238,VatRates,2,FALSE()),0),"")</f>
        <v>0</v>
      </c>
      <c r="J238" s="9" t="n">
        <f aca="false">IFERROR(H238+I238,"")</f>
        <v>0</v>
      </c>
      <c r="K238" s="13" t="n">
        <v>0</v>
      </c>
    </row>
    <row r="239" customFormat="false" ht="15" hidden="false" customHeight="false" outlineLevel="0" collapsed="false">
      <c r="A239" s="10"/>
      <c r="B239" s="10"/>
      <c r="C239" s="10"/>
      <c r="D239" s="14" t="str">
        <f aca="false">IFERROR(IF(C239="","",INDEX(Products!$C$5:$C$504,MATCH(C239,Products!$A$5:$A$504,0))),"")</f>
        <v/>
      </c>
      <c r="E239" s="13" t="n">
        <v>1</v>
      </c>
      <c r="F239" s="11"/>
      <c r="G239" s="10" t="s">
        <v>114</v>
      </c>
      <c r="H239" s="9" t="n">
        <f aca="false">IFERROR(E239*F239,"")</f>
        <v>0</v>
      </c>
      <c r="I239" s="9" t="n">
        <f aca="false">IFERROR(H239*IFERROR(VLOOKUP(G239,VatRates,2,FALSE()),0),"")</f>
        <v>0</v>
      </c>
      <c r="J239" s="9" t="n">
        <f aca="false">IFERROR(H239+I239,"")</f>
        <v>0</v>
      </c>
      <c r="K239" s="13" t="n">
        <v>0</v>
      </c>
    </row>
    <row r="240" customFormat="false" ht="15" hidden="false" customHeight="false" outlineLevel="0" collapsed="false">
      <c r="A240" s="10"/>
      <c r="B240" s="10"/>
      <c r="C240" s="10"/>
      <c r="D240" s="14" t="str">
        <f aca="false">IFERROR(IF(C240="","",INDEX(Products!$C$5:$C$504,MATCH(C240,Products!$A$5:$A$504,0))),"")</f>
        <v/>
      </c>
      <c r="E240" s="13" t="n">
        <v>1</v>
      </c>
      <c r="F240" s="11"/>
      <c r="G240" s="10" t="s">
        <v>114</v>
      </c>
      <c r="H240" s="9" t="n">
        <f aca="false">IFERROR(E240*F240,"")</f>
        <v>0</v>
      </c>
      <c r="I240" s="9" t="n">
        <f aca="false">IFERROR(H240*IFERROR(VLOOKUP(G240,VatRates,2,FALSE()),0),"")</f>
        <v>0</v>
      </c>
      <c r="J240" s="9" t="n">
        <f aca="false">IFERROR(H240+I240,"")</f>
        <v>0</v>
      </c>
      <c r="K240" s="13" t="n">
        <v>0</v>
      </c>
    </row>
    <row r="241" customFormat="false" ht="15" hidden="false" customHeight="false" outlineLevel="0" collapsed="false">
      <c r="A241" s="10"/>
      <c r="B241" s="10"/>
      <c r="C241" s="10"/>
      <c r="D241" s="14" t="str">
        <f aca="false">IFERROR(IF(C241="","",INDEX(Products!$C$5:$C$504,MATCH(C241,Products!$A$5:$A$504,0))),"")</f>
        <v/>
      </c>
      <c r="E241" s="13" t="n">
        <v>1</v>
      </c>
      <c r="F241" s="11"/>
      <c r="G241" s="10" t="s">
        <v>114</v>
      </c>
      <c r="H241" s="9" t="n">
        <f aca="false">IFERROR(E241*F241,"")</f>
        <v>0</v>
      </c>
      <c r="I241" s="9" t="n">
        <f aca="false">IFERROR(H241*IFERROR(VLOOKUP(G241,VatRates,2,FALSE()),0),"")</f>
        <v>0</v>
      </c>
      <c r="J241" s="9" t="n">
        <f aca="false">IFERROR(H241+I241,"")</f>
        <v>0</v>
      </c>
      <c r="K241" s="13" t="n">
        <v>0</v>
      </c>
    </row>
    <row r="242" customFormat="false" ht="15" hidden="false" customHeight="false" outlineLevel="0" collapsed="false">
      <c r="A242" s="10"/>
      <c r="B242" s="10"/>
      <c r="C242" s="10"/>
      <c r="D242" s="14" t="str">
        <f aca="false">IFERROR(IF(C242="","",INDEX(Products!$C$5:$C$504,MATCH(C242,Products!$A$5:$A$504,0))),"")</f>
        <v/>
      </c>
      <c r="E242" s="13" t="n">
        <v>1</v>
      </c>
      <c r="F242" s="11"/>
      <c r="G242" s="10" t="s">
        <v>114</v>
      </c>
      <c r="H242" s="9" t="n">
        <f aca="false">IFERROR(E242*F242,"")</f>
        <v>0</v>
      </c>
      <c r="I242" s="9" t="n">
        <f aca="false">IFERROR(H242*IFERROR(VLOOKUP(G242,VatRates,2,FALSE()),0),"")</f>
        <v>0</v>
      </c>
      <c r="J242" s="9" t="n">
        <f aca="false">IFERROR(H242+I242,"")</f>
        <v>0</v>
      </c>
      <c r="K242" s="13" t="n">
        <v>0</v>
      </c>
    </row>
    <row r="243" customFormat="false" ht="15" hidden="false" customHeight="false" outlineLevel="0" collapsed="false">
      <c r="A243" s="10"/>
      <c r="B243" s="10"/>
      <c r="C243" s="10"/>
      <c r="D243" s="14" t="str">
        <f aca="false">IFERROR(IF(C243="","",INDEX(Products!$C$5:$C$504,MATCH(C243,Products!$A$5:$A$504,0))),"")</f>
        <v/>
      </c>
      <c r="E243" s="13" t="n">
        <v>1</v>
      </c>
      <c r="F243" s="11"/>
      <c r="G243" s="10" t="s">
        <v>114</v>
      </c>
      <c r="H243" s="9" t="n">
        <f aca="false">IFERROR(E243*F243,"")</f>
        <v>0</v>
      </c>
      <c r="I243" s="9" t="n">
        <f aca="false">IFERROR(H243*IFERROR(VLOOKUP(G243,VatRates,2,FALSE()),0),"")</f>
        <v>0</v>
      </c>
      <c r="J243" s="9" t="n">
        <f aca="false">IFERROR(H243+I243,"")</f>
        <v>0</v>
      </c>
      <c r="K243" s="13" t="n">
        <v>0</v>
      </c>
    </row>
    <row r="244" customFormat="false" ht="15" hidden="false" customHeight="false" outlineLevel="0" collapsed="false">
      <c r="A244" s="10"/>
      <c r="B244" s="10"/>
      <c r="C244" s="10"/>
      <c r="D244" s="14" t="str">
        <f aca="false">IFERROR(IF(C244="","",INDEX(Products!$C$5:$C$504,MATCH(C244,Products!$A$5:$A$504,0))),"")</f>
        <v/>
      </c>
      <c r="E244" s="13" t="n">
        <v>1</v>
      </c>
      <c r="F244" s="11"/>
      <c r="G244" s="10" t="s">
        <v>114</v>
      </c>
      <c r="H244" s="9" t="n">
        <f aca="false">IFERROR(E244*F244,"")</f>
        <v>0</v>
      </c>
      <c r="I244" s="9" t="n">
        <f aca="false">IFERROR(H244*IFERROR(VLOOKUP(G244,VatRates,2,FALSE()),0),"")</f>
        <v>0</v>
      </c>
      <c r="J244" s="9" t="n">
        <f aca="false">IFERROR(H244+I244,"")</f>
        <v>0</v>
      </c>
      <c r="K244" s="13" t="n">
        <v>0</v>
      </c>
    </row>
    <row r="245" customFormat="false" ht="15" hidden="false" customHeight="false" outlineLevel="0" collapsed="false">
      <c r="A245" s="10"/>
      <c r="B245" s="10"/>
      <c r="C245" s="10"/>
      <c r="D245" s="14" t="str">
        <f aca="false">IFERROR(IF(C245="","",INDEX(Products!$C$5:$C$504,MATCH(C245,Products!$A$5:$A$504,0))),"")</f>
        <v/>
      </c>
      <c r="E245" s="13" t="n">
        <v>1</v>
      </c>
      <c r="F245" s="11"/>
      <c r="G245" s="10" t="s">
        <v>114</v>
      </c>
      <c r="H245" s="9" t="n">
        <f aca="false">IFERROR(E245*F245,"")</f>
        <v>0</v>
      </c>
      <c r="I245" s="9" t="n">
        <f aca="false">IFERROR(H245*IFERROR(VLOOKUP(G245,VatRates,2,FALSE()),0),"")</f>
        <v>0</v>
      </c>
      <c r="J245" s="9" t="n">
        <f aca="false">IFERROR(H245+I245,"")</f>
        <v>0</v>
      </c>
      <c r="K245" s="13" t="n">
        <v>0</v>
      </c>
    </row>
    <row r="246" customFormat="false" ht="15" hidden="false" customHeight="false" outlineLevel="0" collapsed="false">
      <c r="A246" s="10"/>
      <c r="B246" s="10"/>
      <c r="C246" s="10"/>
      <c r="D246" s="14" t="str">
        <f aca="false">IFERROR(IF(C246="","",INDEX(Products!$C$5:$C$504,MATCH(C246,Products!$A$5:$A$504,0))),"")</f>
        <v/>
      </c>
      <c r="E246" s="13" t="n">
        <v>1</v>
      </c>
      <c r="F246" s="11"/>
      <c r="G246" s="10" t="s">
        <v>114</v>
      </c>
      <c r="H246" s="9" t="n">
        <f aca="false">IFERROR(E246*F246,"")</f>
        <v>0</v>
      </c>
      <c r="I246" s="9" t="n">
        <f aca="false">IFERROR(H246*IFERROR(VLOOKUP(G246,VatRates,2,FALSE()),0),"")</f>
        <v>0</v>
      </c>
      <c r="J246" s="9" t="n">
        <f aca="false">IFERROR(H246+I246,"")</f>
        <v>0</v>
      </c>
      <c r="K246" s="13" t="n">
        <v>0</v>
      </c>
    </row>
    <row r="247" customFormat="false" ht="15" hidden="false" customHeight="false" outlineLevel="0" collapsed="false">
      <c r="A247" s="10"/>
      <c r="B247" s="10"/>
      <c r="C247" s="10"/>
      <c r="D247" s="14" t="str">
        <f aca="false">IFERROR(IF(C247="","",INDEX(Products!$C$5:$C$504,MATCH(C247,Products!$A$5:$A$504,0))),"")</f>
        <v/>
      </c>
      <c r="E247" s="13" t="n">
        <v>1</v>
      </c>
      <c r="F247" s="11"/>
      <c r="G247" s="10" t="s">
        <v>114</v>
      </c>
      <c r="H247" s="9" t="n">
        <f aca="false">IFERROR(E247*F247,"")</f>
        <v>0</v>
      </c>
      <c r="I247" s="9" t="n">
        <f aca="false">IFERROR(H247*IFERROR(VLOOKUP(G247,VatRates,2,FALSE()),0),"")</f>
        <v>0</v>
      </c>
      <c r="J247" s="9" t="n">
        <f aca="false">IFERROR(H247+I247,"")</f>
        <v>0</v>
      </c>
      <c r="K247" s="13" t="n">
        <v>0</v>
      </c>
    </row>
    <row r="248" customFormat="false" ht="15" hidden="false" customHeight="false" outlineLevel="0" collapsed="false">
      <c r="A248" s="10"/>
      <c r="B248" s="10"/>
      <c r="C248" s="10"/>
      <c r="D248" s="14" t="str">
        <f aca="false">IFERROR(IF(C248="","",INDEX(Products!$C$5:$C$504,MATCH(C248,Products!$A$5:$A$504,0))),"")</f>
        <v/>
      </c>
      <c r="E248" s="13" t="n">
        <v>1</v>
      </c>
      <c r="F248" s="11"/>
      <c r="G248" s="10" t="s">
        <v>114</v>
      </c>
      <c r="H248" s="9" t="n">
        <f aca="false">IFERROR(E248*F248,"")</f>
        <v>0</v>
      </c>
      <c r="I248" s="9" t="n">
        <f aca="false">IFERROR(H248*IFERROR(VLOOKUP(G248,VatRates,2,FALSE()),0),"")</f>
        <v>0</v>
      </c>
      <c r="J248" s="9" t="n">
        <f aca="false">IFERROR(H248+I248,"")</f>
        <v>0</v>
      </c>
      <c r="K248" s="13" t="n">
        <v>0</v>
      </c>
    </row>
    <row r="249" customFormat="false" ht="15" hidden="false" customHeight="false" outlineLevel="0" collapsed="false">
      <c r="A249" s="10"/>
      <c r="B249" s="10"/>
      <c r="C249" s="10"/>
      <c r="D249" s="14" t="str">
        <f aca="false">IFERROR(IF(C249="","",INDEX(Products!$C$5:$C$504,MATCH(C249,Products!$A$5:$A$504,0))),"")</f>
        <v/>
      </c>
      <c r="E249" s="13" t="n">
        <v>1</v>
      </c>
      <c r="F249" s="11"/>
      <c r="G249" s="10" t="s">
        <v>114</v>
      </c>
      <c r="H249" s="9" t="n">
        <f aca="false">IFERROR(E249*F249,"")</f>
        <v>0</v>
      </c>
      <c r="I249" s="9" t="n">
        <f aca="false">IFERROR(H249*IFERROR(VLOOKUP(G249,VatRates,2,FALSE()),0),"")</f>
        <v>0</v>
      </c>
      <c r="J249" s="9" t="n">
        <f aca="false">IFERROR(H249+I249,"")</f>
        <v>0</v>
      </c>
      <c r="K249" s="13" t="n">
        <v>0</v>
      </c>
    </row>
    <row r="250" customFormat="false" ht="15" hidden="false" customHeight="false" outlineLevel="0" collapsed="false">
      <c r="A250" s="10"/>
      <c r="B250" s="10"/>
      <c r="C250" s="10"/>
      <c r="D250" s="14" t="str">
        <f aca="false">IFERROR(IF(C250="","",INDEX(Products!$C$5:$C$504,MATCH(C250,Products!$A$5:$A$504,0))),"")</f>
        <v/>
      </c>
      <c r="E250" s="13" t="n">
        <v>1</v>
      </c>
      <c r="F250" s="11"/>
      <c r="G250" s="10" t="s">
        <v>114</v>
      </c>
      <c r="H250" s="9" t="n">
        <f aca="false">IFERROR(E250*F250,"")</f>
        <v>0</v>
      </c>
      <c r="I250" s="9" t="n">
        <f aca="false">IFERROR(H250*IFERROR(VLOOKUP(G250,VatRates,2,FALSE()),0),"")</f>
        <v>0</v>
      </c>
      <c r="J250" s="9" t="n">
        <f aca="false">IFERROR(H250+I250,"")</f>
        <v>0</v>
      </c>
      <c r="K250" s="13" t="n">
        <v>0</v>
      </c>
    </row>
    <row r="251" customFormat="false" ht="15" hidden="false" customHeight="false" outlineLevel="0" collapsed="false">
      <c r="A251" s="10"/>
      <c r="B251" s="10"/>
      <c r="C251" s="10"/>
      <c r="D251" s="14" t="str">
        <f aca="false">IFERROR(IF(C251="","",INDEX(Products!$C$5:$C$504,MATCH(C251,Products!$A$5:$A$504,0))),"")</f>
        <v/>
      </c>
      <c r="E251" s="13" t="n">
        <v>1</v>
      </c>
      <c r="F251" s="11"/>
      <c r="G251" s="10" t="s">
        <v>114</v>
      </c>
      <c r="H251" s="9" t="n">
        <f aca="false">IFERROR(E251*F251,"")</f>
        <v>0</v>
      </c>
      <c r="I251" s="9" t="n">
        <f aca="false">IFERROR(H251*IFERROR(VLOOKUP(G251,VatRates,2,FALSE()),0),"")</f>
        <v>0</v>
      </c>
      <c r="J251" s="9" t="n">
        <f aca="false">IFERROR(H251+I251,"")</f>
        <v>0</v>
      </c>
      <c r="K251" s="13" t="n">
        <v>0</v>
      </c>
    </row>
    <row r="252" customFormat="false" ht="15" hidden="false" customHeight="false" outlineLevel="0" collapsed="false">
      <c r="A252" s="10"/>
      <c r="B252" s="10"/>
      <c r="C252" s="10"/>
      <c r="D252" s="14" t="str">
        <f aca="false">IFERROR(IF(C252="","",INDEX(Products!$C$5:$C$504,MATCH(C252,Products!$A$5:$A$504,0))),"")</f>
        <v/>
      </c>
      <c r="E252" s="13" t="n">
        <v>1</v>
      </c>
      <c r="F252" s="11"/>
      <c r="G252" s="10" t="s">
        <v>114</v>
      </c>
      <c r="H252" s="9" t="n">
        <f aca="false">IFERROR(E252*F252,"")</f>
        <v>0</v>
      </c>
      <c r="I252" s="9" t="n">
        <f aca="false">IFERROR(H252*IFERROR(VLOOKUP(G252,VatRates,2,FALSE()),0),"")</f>
        <v>0</v>
      </c>
      <c r="J252" s="9" t="n">
        <f aca="false">IFERROR(H252+I252,"")</f>
        <v>0</v>
      </c>
      <c r="K252" s="13" t="n">
        <v>0</v>
      </c>
    </row>
    <row r="253" customFormat="false" ht="15" hidden="false" customHeight="false" outlineLevel="0" collapsed="false">
      <c r="A253" s="10"/>
      <c r="B253" s="10"/>
      <c r="C253" s="10"/>
      <c r="D253" s="14" t="str">
        <f aca="false">IFERROR(IF(C253="","",INDEX(Products!$C$5:$C$504,MATCH(C253,Products!$A$5:$A$504,0))),"")</f>
        <v/>
      </c>
      <c r="E253" s="13" t="n">
        <v>1</v>
      </c>
      <c r="F253" s="11"/>
      <c r="G253" s="10" t="s">
        <v>114</v>
      </c>
      <c r="H253" s="9" t="n">
        <f aca="false">IFERROR(E253*F253,"")</f>
        <v>0</v>
      </c>
      <c r="I253" s="9" t="n">
        <f aca="false">IFERROR(H253*IFERROR(VLOOKUP(G253,VatRates,2,FALSE()),0),"")</f>
        <v>0</v>
      </c>
      <c r="J253" s="9" t="n">
        <f aca="false">IFERROR(H253+I253,"")</f>
        <v>0</v>
      </c>
      <c r="K253" s="13" t="n">
        <v>0</v>
      </c>
    </row>
    <row r="254" customFormat="false" ht="15" hidden="false" customHeight="false" outlineLevel="0" collapsed="false">
      <c r="A254" s="10"/>
      <c r="B254" s="10"/>
      <c r="C254" s="10"/>
      <c r="D254" s="14" t="str">
        <f aca="false">IFERROR(IF(C254="","",INDEX(Products!$C$5:$C$504,MATCH(C254,Products!$A$5:$A$504,0))),"")</f>
        <v/>
      </c>
      <c r="E254" s="13" t="n">
        <v>1</v>
      </c>
      <c r="F254" s="11"/>
      <c r="G254" s="10" t="s">
        <v>114</v>
      </c>
      <c r="H254" s="9" t="n">
        <f aca="false">IFERROR(E254*F254,"")</f>
        <v>0</v>
      </c>
      <c r="I254" s="9" t="n">
        <f aca="false">IFERROR(H254*IFERROR(VLOOKUP(G254,VatRates,2,FALSE()),0),"")</f>
        <v>0</v>
      </c>
      <c r="J254" s="9" t="n">
        <f aca="false">IFERROR(H254+I254,"")</f>
        <v>0</v>
      </c>
      <c r="K254" s="13" t="n">
        <v>0</v>
      </c>
    </row>
    <row r="255" customFormat="false" ht="15" hidden="false" customHeight="false" outlineLevel="0" collapsed="false">
      <c r="A255" s="10"/>
      <c r="B255" s="10"/>
      <c r="C255" s="10"/>
      <c r="D255" s="14" t="str">
        <f aca="false">IFERROR(IF(C255="","",INDEX(Products!$C$5:$C$504,MATCH(C255,Products!$A$5:$A$504,0))),"")</f>
        <v/>
      </c>
      <c r="E255" s="13" t="n">
        <v>1</v>
      </c>
      <c r="F255" s="11"/>
      <c r="G255" s="10" t="s">
        <v>114</v>
      </c>
      <c r="H255" s="9" t="n">
        <f aca="false">IFERROR(E255*F255,"")</f>
        <v>0</v>
      </c>
      <c r="I255" s="9" t="n">
        <f aca="false">IFERROR(H255*IFERROR(VLOOKUP(G255,VatRates,2,FALSE()),0),"")</f>
        <v>0</v>
      </c>
      <c r="J255" s="9" t="n">
        <f aca="false">IFERROR(H255+I255,"")</f>
        <v>0</v>
      </c>
      <c r="K255" s="13" t="n">
        <v>0</v>
      </c>
    </row>
    <row r="256" customFormat="false" ht="15" hidden="false" customHeight="false" outlineLevel="0" collapsed="false">
      <c r="A256" s="10"/>
      <c r="B256" s="10"/>
      <c r="C256" s="10"/>
      <c r="D256" s="14" t="str">
        <f aca="false">IFERROR(IF(C256="","",INDEX(Products!$C$5:$C$504,MATCH(C256,Products!$A$5:$A$504,0))),"")</f>
        <v/>
      </c>
      <c r="E256" s="13" t="n">
        <v>1</v>
      </c>
      <c r="F256" s="11"/>
      <c r="G256" s="10" t="s">
        <v>114</v>
      </c>
      <c r="H256" s="9" t="n">
        <f aca="false">IFERROR(E256*F256,"")</f>
        <v>0</v>
      </c>
      <c r="I256" s="9" t="n">
        <f aca="false">IFERROR(H256*IFERROR(VLOOKUP(G256,VatRates,2,FALSE()),0),"")</f>
        <v>0</v>
      </c>
      <c r="J256" s="9" t="n">
        <f aca="false">IFERROR(H256+I256,"")</f>
        <v>0</v>
      </c>
      <c r="K256" s="13" t="n">
        <v>0</v>
      </c>
    </row>
    <row r="257" customFormat="false" ht="15" hidden="false" customHeight="false" outlineLevel="0" collapsed="false">
      <c r="A257" s="10"/>
      <c r="B257" s="10"/>
      <c r="C257" s="10"/>
      <c r="D257" s="14" t="str">
        <f aca="false">IFERROR(IF(C257="","",INDEX(Products!$C$5:$C$504,MATCH(C257,Products!$A$5:$A$504,0))),"")</f>
        <v/>
      </c>
      <c r="E257" s="13" t="n">
        <v>1</v>
      </c>
      <c r="F257" s="11"/>
      <c r="G257" s="10" t="s">
        <v>114</v>
      </c>
      <c r="H257" s="9" t="n">
        <f aca="false">IFERROR(E257*F257,"")</f>
        <v>0</v>
      </c>
      <c r="I257" s="9" t="n">
        <f aca="false">IFERROR(H257*IFERROR(VLOOKUP(G257,VatRates,2,FALSE()),0),"")</f>
        <v>0</v>
      </c>
      <c r="J257" s="9" t="n">
        <f aca="false">IFERROR(H257+I257,"")</f>
        <v>0</v>
      </c>
      <c r="K257" s="13" t="n">
        <v>0</v>
      </c>
    </row>
    <row r="258" customFormat="false" ht="15" hidden="false" customHeight="false" outlineLevel="0" collapsed="false">
      <c r="A258" s="10"/>
      <c r="B258" s="10"/>
      <c r="C258" s="10"/>
      <c r="D258" s="14" t="str">
        <f aca="false">IFERROR(IF(C258="","",INDEX(Products!$C$5:$C$504,MATCH(C258,Products!$A$5:$A$504,0))),"")</f>
        <v/>
      </c>
      <c r="E258" s="13" t="n">
        <v>1</v>
      </c>
      <c r="F258" s="11"/>
      <c r="G258" s="10" t="s">
        <v>114</v>
      </c>
      <c r="H258" s="9" t="n">
        <f aca="false">IFERROR(E258*F258,"")</f>
        <v>0</v>
      </c>
      <c r="I258" s="9" t="n">
        <f aca="false">IFERROR(H258*IFERROR(VLOOKUP(G258,VatRates,2,FALSE()),0),"")</f>
        <v>0</v>
      </c>
      <c r="J258" s="9" t="n">
        <f aca="false">IFERROR(H258+I258,"")</f>
        <v>0</v>
      </c>
      <c r="K258" s="13" t="n">
        <v>0</v>
      </c>
    </row>
    <row r="259" customFormat="false" ht="15" hidden="false" customHeight="false" outlineLevel="0" collapsed="false">
      <c r="A259" s="10"/>
      <c r="B259" s="10"/>
      <c r="C259" s="10"/>
      <c r="D259" s="14" t="str">
        <f aca="false">IFERROR(IF(C259="","",INDEX(Products!$C$5:$C$504,MATCH(C259,Products!$A$5:$A$504,0))),"")</f>
        <v/>
      </c>
      <c r="E259" s="13" t="n">
        <v>1</v>
      </c>
      <c r="F259" s="11"/>
      <c r="G259" s="10" t="s">
        <v>114</v>
      </c>
      <c r="H259" s="9" t="n">
        <f aca="false">IFERROR(E259*F259,"")</f>
        <v>0</v>
      </c>
      <c r="I259" s="9" t="n">
        <f aca="false">IFERROR(H259*IFERROR(VLOOKUP(G259,VatRates,2,FALSE()),0),"")</f>
        <v>0</v>
      </c>
      <c r="J259" s="9" t="n">
        <f aca="false">IFERROR(H259+I259,"")</f>
        <v>0</v>
      </c>
      <c r="K259" s="13" t="n">
        <v>0</v>
      </c>
    </row>
    <row r="260" customFormat="false" ht="15" hidden="false" customHeight="false" outlineLevel="0" collapsed="false">
      <c r="A260" s="10"/>
      <c r="B260" s="10"/>
      <c r="C260" s="10"/>
      <c r="D260" s="14" t="str">
        <f aca="false">IFERROR(IF(C260="","",INDEX(Products!$C$5:$C$504,MATCH(C260,Products!$A$5:$A$504,0))),"")</f>
        <v/>
      </c>
      <c r="E260" s="13" t="n">
        <v>1</v>
      </c>
      <c r="F260" s="11"/>
      <c r="G260" s="10" t="s">
        <v>114</v>
      </c>
      <c r="H260" s="9" t="n">
        <f aca="false">IFERROR(E260*F260,"")</f>
        <v>0</v>
      </c>
      <c r="I260" s="9" t="n">
        <f aca="false">IFERROR(H260*IFERROR(VLOOKUP(G260,VatRates,2,FALSE()),0),"")</f>
        <v>0</v>
      </c>
      <c r="J260" s="9" t="n">
        <f aca="false">IFERROR(H260+I260,"")</f>
        <v>0</v>
      </c>
      <c r="K260" s="13" t="n">
        <v>0</v>
      </c>
    </row>
    <row r="261" customFormat="false" ht="15" hidden="false" customHeight="false" outlineLevel="0" collapsed="false">
      <c r="A261" s="10"/>
      <c r="B261" s="10"/>
      <c r="C261" s="10"/>
      <c r="D261" s="14" t="str">
        <f aca="false">IFERROR(IF(C261="","",INDEX(Products!$C$5:$C$504,MATCH(C261,Products!$A$5:$A$504,0))),"")</f>
        <v/>
      </c>
      <c r="E261" s="13" t="n">
        <v>1</v>
      </c>
      <c r="F261" s="11"/>
      <c r="G261" s="10" t="s">
        <v>114</v>
      </c>
      <c r="H261" s="9" t="n">
        <f aca="false">IFERROR(E261*F261,"")</f>
        <v>0</v>
      </c>
      <c r="I261" s="9" t="n">
        <f aca="false">IFERROR(H261*IFERROR(VLOOKUP(G261,VatRates,2,FALSE()),0),"")</f>
        <v>0</v>
      </c>
      <c r="J261" s="9" t="n">
        <f aca="false">IFERROR(H261+I261,"")</f>
        <v>0</v>
      </c>
      <c r="K261" s="13" t="n">
        <v>0</v>
      </c>
    </row>
    <row r="262" customFormat="false" ht="15" hidden="false" customHeight="false" outlineLevel="0" collapsed="false">
      <c r="A262" s="10"/>
      <c r="B262" s="10"/>
      <c r="C262" s="10"/>
      <c r="D262" s="14" t="str">
        <f aca="false">IFERROR(IF(C262="","",INDEX(Products!$C$5:$C$504,MATCH(C262,Products!$A$5:$A$504,0))),"")</f>
        <v/>
      </c>
      <c r="E262" s="13" t="n">
        <v>1</v>
      </c>
      <c r="F262" s="11"/>
      <c r="G262" s="10" t="s">
        <v>114</v>
      </c>
      <c r="H262" s="9" t="n">
        <f aca="false">IFERROR(E262*F262,"")</f>
        <v>0</v>
      </c>
      <c r="I262" s="9" t="n">
        <f aca="false">IFERROR(H262*IFERROR(VLOOKUP(G262,VatRates,2,FALSE()),0),"")</f>
        <v>0</v>
      </c>
      <c r="J262" s="9" t="n">
        <f aca="false">IFERROR(H262+I262,"")</f>
        <v>0</v>
      </c>
      <c r="K262" s="13" t="n">
        <v>0</v>
      </c>
    </row>
    <row r="263" customFormat="false" ht="15" hidden="false" customHeight="false" outlineLevel="0" collapsed="false">
      <c r="A263" s="10"/>
      <c r="B263" s="10"/>
      <c r="C263" s="10"/>
      <c r="D263" s="14" t="str">
        <f aca="false">IFERROR(IF(C263="","",INDEX(Products!$C$5:$C$504,MATCH(C263,Products!$A$5:$A$504,0))),"")</f>
        <v/>
      </c>
      <c r="E263" s="13" t="n">
        <v>1</v>
      </c>
      <c r="F263" s="11"/>
      <c r="G263" s="10" t="s">
        <v>114</v>
      </c>
      <c r="H263" s="9" t="n">
        <f aca="false">IFERROR(E263*F263,"")</f>
        <v>0</v>
      </c>
      <c r="I263" s="9" t="n">
        <f aca="false">IFERROR(H263*IFERROR(VLOOKUP(G263,VatRates,2,FALSE()),0),"")</f>
        <v>0</v>
      </c>
      <c r="J263" s="9" t="n">
        <f aca="false">IFERROR(H263+I263,"")</f>
        <v>0</v>
      </c>
      <c r="K263" s="13" t="n">
        <v>0</v>
      </c>
    </row>
    <row r="264" customFormat="false" ht="15" hidden="false" customHeight="false" outlineLevel="0" collapsed="false">
      <c r="A264" s="10"/>
      <c r="B264" s="10"/>
      <c r="C264" s="10"/>
      <c r="D264" s="14" t="str">
        <f aca="false">IFERROR(IF(C264="","",INDEX(Products!$C$5:$C$504,MATCH(C264,Products!$A$5:$A$504,0))),"")</f>
        <v/>
      </c>
      <c r="E264" s="13" t="n">
        <v>1</v>
      </c>
      <c r="F264" s="11"/>
      <c r="G264" s="10" t="s">
        <v>114</v>
      </c>
      <c r="H264" s="9" t="n">
        <f aca="false">IFERROR(E264*F264,"")</f>
        <v>0</v>
      </c>
      <c r="I264" s="9" t="n">
        <f aca="false">IFERROR(H264*IFERROR(VLOOKUP(G264,VatRates,2,FALSE()),0),"")</f>
        <v>0</v>
      </c>
      <c r="J264" s="9" t="n">
        <f aca="false">IFERROR(H264+I264,"")</f>
        <v>0</v>
      </c>
      <c r="K264" s="13" t="n">
        <v>0</v>
      </c>
    </row>
    <row r="265" customFormat="false" ht="15" hidden="false" customHeight="false" outlineLevel="0" collapsed="false">
      <c r="A265" s="10"/>
      <c r="B265" s="10"/>
      <c r="C265" s="10"/>
      <c r="D265" s="14" t="str">
        <f aca="false">IFERROR(IF(C265="","",INDEX(Products!$C$5:$C$504,MATCH(C265,Products!$A$5:$A$504,0))),"")</f>
        <v/>
      </c>
      <c r="E265" s="13" t="n">
        <v>1</v>
      </c>
      <c r="F265" s="11"/>
      <c r="G265" s="10" t="s">
        <v>114</v>
      </c>
      <c r="H265" s="9" t="n">
        <f aca="false">IFERROR(E265*F265,"")</f>
        <v>0</v>
      </c>
      <c r="I265" s="9" t="n">
        <f aca="false">IFERROR(H265*IFERROR(VLOOKUP(G265,VatRates,2,FALSE()),0),"")</f>
        <v>0</v>
      </c>
      <c r="J265" s="9" t="n">
        <f aca="false">IFERROR(H265+I265,"")</f>
        <v>0</v>
      </c>
      <c r="K265" s="13" t="n">
        <v>0</v>
      </c>
    </row>
    <row r="266" customFormat="false" ht="15" hidden="false" customHeight="false" outlineLevel="0" collapsed="false">
      <c r="A266" s="10"/>
      <c r="B266" s="10"/>
      <c r="C266" s="10"/>
      <c r="D266" s="14" t="str">
        <f aca="false">IFERROR(IF(C266="","",INDEX(Products!$C$5:$C$504,MATCH(C266,Products!$A$5:$A$504,0))),"")</f>
        <v/>
      </c>
      <c r="E266" s="13" t="n">
        <v>1</v>
      </c>
      <c r="F266" s="11"/>
      <c r="G266" s="10" t="s">
        <v>114</v>
      </c>
      <c r="H266" s="9" t="n">
        <f aca="false">IFERROR(E266*F266,"")</f>
        <v>0</v>
      </c>
      <c r="I266" s="9" t="n">
        <f aca="false">IFERROR(H266*IFERROR(VLOOKUP(G266,VatRates,2,FALSE()),0),"")</f>
        <v>0</v>
      </c>
      <c r="J266" s="9" t="n">
        <f aca="false">IFERROR(H266+I266,"")</f>
        <v>0</v>
      </c>
      <c r="K266" s="13" t="n">
        <v>0</v>
      </c>
    </row>
    <row r="267" customFormat="false" ht="15" hidden="false" customHeight="false" outlineLevel="0" collapsed="false">
      <c r="A267" s="10"/>
      <c r="B267" s="10"/>
      <c r="C267" s="10"/>
      <c r="D267" s="14" t="str">
        <f aca="false">IFERROR(IF(C267="","",INDEX(Products!$C$5:$C$504,MATCH(C267,Products!$A$5:$A$504,0))),"")</f>
        <v/>
      </c>
      <c r="E267" s="13" t="n">
        <v>1</v>
      </c>
      <c r="F267" s="11"/>
      <c r="G267" s="10" t="s">
        <v>114</v>
      </c>
      <c r="H267" s="9" t="n">
        <f aca="false">IFERROR(E267*F267,"")</f>
        <v>0</v>
      </c>
      <c r="I267" s="9" t="n">
        <f aca="false">IFERROR(H267*IFERROR(VLOOKUP(G267,VatRates,2,FALSE()),0),"")</f>
        <v>0</v>
      </c>
      <c r="J267" s="9" t="n">
        <f aca="false">IFERROR(H267+I267,"")</f>
        <v>0</v>
      </c>
      <c r="K267" s="13" t="n">
        <v>0</v>
      </c>
    </row>
    <row r="268" customFormat="false" ht="15" hidden="false" customHeight="false" outlineLevel="0" collapsed="false">
      <c r="A268" s="10"/>
      <c r="B268" s="10"/>
      <c r="C268" s="10"/>
      <c r="D268" s="14" t="str">
        <f aca="false">IFERROR(IF(C268="","",INDEX(Products!$C$5:$C$504,MATCH(C268,Products!$A$5:$A$504,0))),"")</f>
        <v/>
      </c>
      <c r="E268" s="13" t="n">
        <v>1</v>
      </c>
      <c r="F268" s="11"/>
      <c r="G268" s="10" t="s">
        <v>114</v>
      </c>
      <c r="H268" s="9" t="n">
        <f aca="false">IFERROR(E268*F268,"")</f>
        <v>0</v>
      </c>
      <c r="I268" s="9" t="n">
        <f aca="false">IFERROR(H268*IFERROR(VLOOKUP(G268,VatRates,2,FALSE()),0),"")</f>
        <v>0</v>
      </c>
      <c r="J268" s="9" t="n">
        <f aca="false">IFERROR(H268+I268,"")</f>
        <v>0</v>
      </c>
      <c r="K268" s="13" t="n">
        <v>0</v>
      </c>
    </row>
    <row r="269" customFormat="false" ht="15" hidden="false" customHeight="false" outlineLevel="0" collapsed="false">
      <c r="A269" s="10"/>
      <c r="B269" s="10"/>
      <c r="C269" s="10"/>
      <c r="D269" s="14" t="str">
        <f aca="false">IFERROR(IF(C269="","",INDEX(Products!$C$5:$C$504,MATCH(C269,Products!$A$5:$A$504,0))),"")</f>
        <v/>
      </c>
      <c r="E269" s="13" t="n">
        <v>1</v>
      </c>
      <c r="F269" s="11"/>
      <c r="G269" s="10" t="s">
        <v>114</v>
      </c>
      <c r="H269" s="9" t="n">
        <f aca="false">IFERROR(E269*F269,"")</f>
        <v>0</v>
      </c>
      <c r="I269" s="9" t="n">
        <f aca="false">IFERROR(H269*IFERROR(VLOOKUP(G269,VatRates,2,FALSE()),0),"")</f>
        <v>0</v>
      </c>
      <c r="J269" s="9" t="n">
        <f aca="false">IFERROR(H269+I269,"")</f>
        <v>0</v>
      </c>
      <c r="K269" s="13" t="n">
        <v>0</v>
      </c>
    </row>
    <row r="270" customFormat="false" ht="15" hidden="false" customHeight="false" outlineLevel="0" collapsed="false">
      <c r="A270" s="10"/>
      <c r="B270" s="10"/>
      <c r="C270" s="10"/>
      <c r="D270" s="14" t="str">
        <f aca="false">IFERROR(IF(C270="","",INDEX(Products!$C$5:$C$504,MATCH(C270,Products!$A$5:$A$504,0))),"")</f>
        <v/>
      </c>
      <c r="E270" s="13" t="n">
        <v>1</v>
      </c>
      <c r="F270" s="11"/>
      <c r="G270" s="10" t="s">
        <v>114</v>
      </c>
      <c r="H270" s="9" t="n">
        <f aca="false">IFERROR(E270*F270,"")</f>
        <v>0</v>
      </c>
      <c r="I270" s="9" t="n">
        <f aca="false">IFERROR(H270*IFERROR(VLOOKUP(G270,VatRates,2,FALSE()),0),"")</f>
        <v>0</v>
      </c>
      <c r="J270" s="9" t="n">
        <f aca="false">IFERROR(H270+I270,"")</f>
        <v>0</v>
      </c>
      <c r="K270" s="13" t="n">
        <v>0</v>
      </c>
    </row>
    <row r="271" customFormat="false" ht="15" hidden="false" customHeight="false" outlineLevel="0" collapsed="false">
      <c r="A271" s="10"/>
      <c r="B271" s="10"/>
      <c r="C271" s="10"/>
      <c r="D271" s="14" t="str">
        <f aca="false">IFERROR(IF(C271="","",INDEX(Products!$C$5:$C$504,MATCH(C271,Products!$A$5:$A$504,0))),"")</f>
        <v/>
      </c>
      <c r="E271" s="13" t="n">
        <v>1</v>
      </c>
      <c r="F271" s="11"/>
      <c r="G271" s="10" t="s">
        <v>114</v>
      </c>
      <c r="H271" s="9" t="n">
        <f aca="false">IFERROR(E271*F271,"")</f>
        <v>0</v>
      </c>
      <c r="I271" s="9" t="n">
        <f aca="false">IFERROR(H271*IFERROR(VLOOKUP(G271,VatRates,2,FALSE()),0),"")</f>
        <v>0</v>
      </c>
      <c r="J271" s="9" t="n">
        <f aca="false">IFERROR(H271+I271,"")</f>
        <v>0</v>
      </c>
      <c r="K271" s="13" t="n">
        <v>0</v>
      </c>
    </row>
    <row r="272" customFormat="false" ht="15" hidden="false" customHeight="false" outlineLevel="0" collapsed="false">
      <c r="A272" s="10"/>
      <c r="B272" s="10"/>
      <c r="C272" s="10"/>
      <c r="D272" s="14" t="str">
        <f aca="false">IFERROR(IF(C272="","",INDEX(Products!$C$5:$C$504,MATCH(C272,Products!$A$5:$A$504,0))),"")</f>
        <v/>
      </c>
      <c r="E272" s="13" t="n">
        <v>1</v>
      </c>
      <c r="F272" s="11"/>
      <c r="G272" s="10" t="s">
        <v>114</v>
      </c>
      <c r="H272" s="9" t="n">
        <f aca="false">IFERROR(E272*F272,"")</f>
        <v>0</v>
      </c>
      <c r="I272" s="9" t="n">
        <f aca="false">IFERROR(H272*IFERROR(VLOOKUP(G272,VatRates,2,FALSE()),0),"")</f>
        <v>0</v>
      </c>
      <c r="J272" s="9" t="n">
        <f aca="false">IFERROR(H272+I272,"")</f>
        <v>0</v>
      </c>
      <c r="K272" s="13" t="n">
        <v>0</v>
      </c>
    </row>
    <row r="273" customFormat="false" ht="15" hidden="false" customHeight="false" outlineLevel="0" collapsed="false">
      <c r="A273" s="10"/>
      <c r="B273" s="10"/>
      <c r="C273" s="10"/>
      <c r="D273" s="14" t="str">
        <f aca="false">IFERROR(IF(C273="","",INDEX(Products!$C$5:$C$504,MATCH(C273,Products!$A$5:$A$504,0))),"")</f>
        <v/>
      </c>
      <c r="E273" s="13" t="n">
        <v>1</v>
      </c>
      <c r="F273" s="11"/>
      <c r="G273" s="10" t="s">
        <v>114</v>
      </c>
      <c r="H273" s="9" t="n">
        <f aca="false">IFERROR(E273*F273,"")</f>
        <v>0</v>
      </c>
      <c r="I273" s="9" t="n">
        <f aca="false">IFERROR(H273*IFERROR(VLOOKUP(G273,VatRates,2,FALSE()),0),"")</f>
        <v>0</v>
      </c>
      <c r="J273" s="9" t="n">
        <f aca="false">IFERROR(H273+I273,"")</f>
        <v>0</v>
      </c>
      <c r="K273" s="13" t="n">
        <v>0</v>
      </c>
    </row>
    <row r="274" customFormat="false" ht="15" hidden="false" customHeight="false" outlineLevel="0" collapsed="false">
      <c r="A274" s="10"/>
      <c r="B274" s="10"/>
      <c r="C274" s="10"/>
      <c r="D274" s="14" t="str">
        <f aca="false">IFERROR(IF(C274="","",INDEX(Products!$C$5:$C$504,MATCH(C274,Products!$A$5:$A$504,0))),"")</f>
        <v/>
      </c>
      <c r="E274" s="13" t="n">
        <v>1</v>
      </c>
      <c r="F274" s="11"/>
      <c r="G274" s="10" t="s">
        <v>114</v>
      </c>
      <c r="H274" s="9" t="n">
        <f aca="false">IFERROR(E274*F274,"")</f>
        <v>0</v>
      </c>
      <c r="I274" s="9" t="n">
        <f aca="false">IFERROR(H274*IFERROR(VLOOKUP(G274,VatRates,2,FALSE()),0),"")</f>
        <v>0</v>
      </c>
      <c r="J274" s="9" t="n">
        <f aca="false">IFERROR(H274+I274,"")</f>
        <v>0</v>
      </c>
      <c r="K274" s="13" t="n">
        <v>0</v>
      </c>
    </row>
    <row r="275" customFormat="false" ht="15" hidden="false" customHeight="false" outlineLevel="0" collapsed="false">
      <c r="A275" s="10"/>
      <c r="B275" s="10"/>
      <c r="C275" s="10"/>
      <c r="D275" s="14" t="str">
        <f aca="false">IFERROR(IF(C275="","",INDEX(Products!$C$5:$C$504,MATCH(C275,Products!$A$5:$A$504,0))),"")</f>
        <v/>
      </c>
      <c r="E275" s="13" t="n">
        <v>1</v>
      </c>
      <c r="F275" s="11"/>
      <c r="G275" s="10" t="s">
        <v>114</v>
      </c>
      <c r="H275" s="9" t="n">
        <f aca="false">IFERROR(E275*F275,"")</f>
        <v>0</v>
      </c>
      <c r="I275" s="9" t="n">
        <f aca="false">IFERROR(H275*IFERROR(VLOOKUP(G275,VatRates,2,FALSE()),0),"")</f>
        <v>0</v>
      </c>
      <c r="J275" s="9" t="n">
        <f aca="false">IFERROR(H275+I275,"")</f>
        <v>0</v>
      </c>
      <c r="K275" s="13" t="n">
        <v>0</v>
      </c>
    </row>
    <row r="276" customFormat="false" ht="15" hidden="false" customHeight="false" outlineLevel="0" collapsed="false">
      <c r="A276" s="10"/>
      <c r="B276" s="10"/>
      <c r="C276" s="10"/>
      <c r="D276" s="14" t="str">
        <f aca="false">IFERROR(IF(C276="","",INDEX(Products!$C$5:$C$504,MATCH(C276,Products!$A$5:$A$504,0))),"")</f>
        <v/>
      </c>
      <c r="E276" s="13" t="n">
        <v>1</v>
      </c>
      <c r="F276" s="11"/>
      <c r="G276" s="10" t="s">
        <v>114</v>
      </c>
      <c r="H276" s="9" t="n">
        <f aca="false">IFERROR(E276*F276,"")</f>
        <v>0</v>
      </c>
      <c r="I276" s="9" t="n">
        <f aca="false">IFERROR(H276*IFERROR(VLOOKUP(G276,VatRates,2,FALSE()),0),"")</f>
        <v>0</v>
      </c>
      <c r="J276" s="9" t="n">
        <f aca="false">IFERROR(H276+I276,"")</f>
        <v>0</v>
      </c>
      <c r="K276" s="13" t="n">
        <v>0</v>
      </c>
    </row>
    <row r="277" customFormat="false" ht="15" hidden="false" customHeight="false" outlineLevel="0" collapsed="false">
      <c r="A277" s="10"/>
      <c r="B277" s="10"/>
      <c r="C277" s="10"/>
      <c r="D277" s="14" t="str">
        <f aca="false">IFERROR(IF(C277="","",INDEX(Products!$C$5:$C$504,MATCH(C277,Products!$A$5:$A$504,0))),"")</f>
        <v/>
      </c>
      <c r="E277" s="13" t="n">
        <v>1</v>
      </c>
      <c r="F277" s="11"/>
      <c r="G277" s="10" t="s">
        <v>114</v>
      </c>
      <c r="H277" s="9" t="n">
        <f aca="false">IFERROR(E277*F277,"")</f>
        <v>0</v>
      </c>
      <c r="I277" s="9" t="n">
        <f aca="false">IFERROR(H277*IFERROR(VLOOKUP(G277,VatRates,2,FALSE()),0),"")</f>
        <v>0</v>
      </c>
      <c r="J277" s="9" t="n">
        <f aca="false">IFERROR(H277+I277,"")</f>
        <v>0</v>
      </c>
      <c r="K277" s="13" t="n">
        <v>0</v>
      </c>
    </row>
    <row r="278" customFormat="false" ht="15" hidden="false" customHeight="false" outlineLevel="0" collapsed="false">
      <c r="A278" s="10"/>
      <c r="B278" s="10"/>
      <c r="C278" s="10"/>
      <c r="D278" s="14" t="str">
        <f aca="false">IFERROR(IF(C278="","",INDEX(Products!$C$5:$C$504,MATCH(C278,Products!$A$5:$A$504,0))),"")</f>
        <v/>
      </c>
      <c r="E278" s="13" t="n">
        <v>1</v>
      </c>
      <c r="F278" s="11"/>
      <c r="G278" s="10" t="s">
        <v>114</v>
      </c>
      <c r="H278" s="9" t="n">
        <f aca="false">IFERROR(E278*F278,"")</f>
        <v>0</v>
      </c>
      <c r="I278" s="9" t="n">
        <f aca="false">IFERROR(H278*IFERROR(VLOOKUP(G278,VatRates,2,FALSE()),0),"")</f>
        <v>0</v>
      </c>
      <c r="J278" s="9" t="n">
        <f aca="false">IFERROR(H278+I278,"")</f>
        <v>0</v>
      </c>
      <c r="K278" s="13" t="n">
        <v>0</v>
      </c>
    </row>
    <row r="279" customFormat="false" ht="15" hidden="false" customHeight="false" outlineLevel="0" collapsed="false">
      <c r="A279" s="10"/>
      <c r="B279" s="10"/>
      <c r="C279" s="10"/>
      <c r="D279" s="14" t="str">
        <f aca="false">IFERROR(IF(C279="","",INDEX(Products!$C$5:$C$504,MATCH(C279,Products!$A$5:$A$504,0))),"")</f>
        <v/>
      </c>
      <c r="E279" s="13" t="n">
        <v>1</v>
      </c>
      <c r="F279" s="11"/>
      <c r="G279" s="10" t="s">
        <v>114</v>
      </c>
      <c r="H279" s="9" t="n">
        <f aca="false">IFERROR(E279*F279,"")</f>
        <v>0</v>
      </c>
      <c r="I279" s="9" t="n">
        <f aca="false">IFERROR(H279*IFERROR(VLOOKUP(G279,VatRates,2,FALSE()),0),"")</f>
        <v>0</v>
      </c>
      <c r="J279" s="9" t="n">
        <f aca="false">IFERROR(H279+I279,"")</f>
        <v>0</v>
      </c>
      <c r="K279" s="13" t="n">
        <v>0</v>
      </c>
    </row>
    <row r="280" customFormat="false" ht="15" hidden="false" customHeight="false" outlineLevel="0" collapsed="false">
      <c r="A280" s="10"/>
      <c r="B280" s="10"/>
      <c r="C280" s="10"/>
      <c r="D280" s="14" t="str">
        <f aca="false">IFERROR(IF(C280="","",INDEX(Products!$C$5:$C$504,MATCH(C280,Products!$A$5:$A$504,0))),"")</f>
        <v/>
      </c>
      <c r="E280" s="13" t="n">
        <v>1</v>
      </c>
      <c r="F280" s="11"/>
      <c r="G280" s="10" t="s">
        <v>114</v>
      </c>
      <c r="H280" s="9" t="n">
        <f aca="false">IFERROR(E280*F280,"")</f>
        <v>0</v>
      </c>
      <c r="I280" s="9" t="n">
        <f aca="false">IFERROR(H280*IFERROR(VLOOKUP(G280,VatRates,2,FALSE()),0),"")</f>
        <v>0</v>
      </c>
      <c r="J280" s="9" t="n">
        <f aca="false">IFERROR(H280+I280,"")</f>
        <v>0</v>
      </c>
      <c r="K280" s="13" t="n">
        <v>0</v>
      </c>
    </row>
    <row r="281" customFormat="false" ht="15" hidden="false" customHeight="false" outlineLevel="0" collapsed="false">
      <c r="A281" s="10"/>
      <c r="B281" s="10"/>
      <c r="C281" s="10"/>
      <c r="D281" s="14" t="str">
        <f aca="false">IFERROR(IF(C281="","",INDEX(Products!$C$5:$C$504,MATCH(C281,Products!$A$5:$A$504,0))),"")</f>
        <v/>
      </c>
      <c r="E281" s="13" t="n">
        <v>1</v>
      </c>
      <c r="F281" s="11"/>
      <c r="G281" s="10" t="s">
        <v>114</v>
      </c>
      <c r="H281" s="9" t="n">
        <f aca="false">IFERROR(E281*F281,"")</f>
        <v>0</v>
      </c>
      <c r="I281" s="9" t="n">
        <f aca="false">IFERROR(H281*IFERROR(VLOOKUP(G281,VatRates,2,FALSE()),0),"")</f>
        <v>0</v>
      </c>
      <c r="J281" s="9" t="n">
        <f aca="false">IFERROR(H281+I281,"")</f>
        <v>0</v>
      </c>
      <c r="K281" s="13" t="n">
        <v>0</v>
      </c>
    </row>
    <row r="282" customFormat="false" ht="15" hidden="false" customHeight="false" outlineLevel="0" collapsed="false">
      <c r="A282" s="10"/>
      <c r="B282" s="10"/>
      <c r="C282" s="10"/>
      <c r="D282" s="14" t="str">
        <f aca="false">IFERROR(IF(C282="","",INDEX(Products!$C$5:$C$504,MATCH(C282,Products!$A$5:$A$504,0))),"")</f>
        <v/>
      </c>
      <c r="E282" s="13" t="n">
        <v>1</v>
      </c>
      <c r="F282" s="11"/>
      <c r="G282" s="10" t="s">
        <v>114</v>
      </c>
      <c r="H282" s="9" t="n">
        <f aca="false">IFERROR(E282*F282,"")</f>
        <v>0</v>
      </c>
      <c r="I282" s="9" t="n">
        <f aca="false">IFERROR(H282*IFERROR(VLOOKUP(G282,VatRates,2,FALSE()),0),"")</f>
        <v>0</v>
      </c>
      <c r="J282" s="9" t="n">
        <f aca="false">IFERROR(H282+I282,"")</f>
        <v>0</v>
      </c>
      <c r="K282" s="13" t="n">
        <v>0</v>
      </c>
    </row>
    <row r="283" customFormat="false" ht="15" hidden="false" customHeight="false" outlineLevel="0" collapsed="false">
      <c r="A283" s="10"/>
      <c r="B283" s="10"/>
      <c r="C283" s="10"/>
      <c r="D283" s="14" t="str">
        <f aca="false">IFERROR(IF(C283="","",INDEX(Products!$C$5:$C$504,MATCH(C283,Products!$A$5:$A$504,0))),"")</f>
        <v/>
      </c>
      <c r="E283" s="13" t="n">
        <v>1</v>
      </c>
      <c r="F283" s="11"/>
      <c r="G283" s="10" t="s">
        <v>114</v>
      </c>
      <c r="H283" s="9" t="n">
        <f aca="false">IFERROR(E283*F283,"")</f>
        <v>0</v>
      </c>
      <c r="I283" s="9" t="n">
        <f aca="false">IFERROR(H283*IFERROR(VLOOKUP(G283,VatRates,2,FALSE()),0),"")</f>
        <v>0</v>
      </c>
      <c r="J283" s="9" t="n">
        <f aca="false">IFERROR(H283+I283,"")</f>
        <v>0</v>
      </c>
      <c r="K283" s="13" t="n">
        <v>0</v>
      </c>
    </row>
    <row r="284" customFormat="false" ht="15" hidden="false" customHeight="false" outlineLevel="0" collapsed="false">
      <c r="A284" s="10"/>
      <c r="B284" s="10"/>
      <c r="C284" s="10"/>
      <c r="D284" s="14" t="str">
        <f aca="false">IFERROR(IF(C284="","",INDEX(Products!$C$5:$C$504,MATCH(C284,Products!$A$5:$A$504,0))),"")</f>
        <v/>
      </c>
      <c r="E284" s="13" t="n">
        <v>1</v>
      </c>
      <c r="F284" s="11"/>
      <c r="G284" s="10" t="s">
        <v>114</v>
      </c>
      <c r="H284" s="9" t="n">
        <f aca="false">IFERROR(E284*F284,"")</f>
        <v>0</v>
      </c>
      <c r="I284" s="9" t="n">
        <f aca="false">IFERROR(H284*IFERROR(VLOOKUP(G284,VatRates,2,FALSE()),0),"")</f>
        <v>0</v>
      </c>
      <c r="J284" s="9" t="n">
        <f aca="false">IFERROR(H284+I284,"")</f>
        <v>0</v>
      </c>
      <c r="K284" s="13" t="n">
        <v>0</v>
      </c>
    </row>
    <row r="285" customFormat="false" ht="15" hidden="false" customHeight="false" outlineLevel="0" collapsed="false">
      <c r="A285" s="10"/>
      <c r="B285" s="10"/>
      <c r="C285" s="10"/>
      <c r="D285" s="14" t="str">
        <f aca="false">IFERROR(IF(C285="","",INDEX(Products!$C$5:$C$504,MATCH(C285,Products!$A$5:$A$504,0))),"")</f>
        <v/>
      </c>
      <c r="E285" s="13" t="n">
        <v>1</v>
      </c>
      <c r="F285" s="11"/>
      <c r="G285" s="10" t="s">
        <v>114</v>
      </c>
      <c r="H285" s="9" t="n">
        <f aca="false">IFERROR(E285*F285,"")</f>
        <v>0</v>
      </c>
      <c r="I285" s="9" t="n">
        <f aca="false">IFERROR(H285*IFERROR(VLOOKUP(G285,VatRates,2,FALSE()),0),"")</f>
        <v>0</v>
      </c>
      <c r="J285" s="9" t="n">
        <f aca="false">IFERROR(H285+I285,"")</f>
        <v>0</v>
      </c>
      <c r="K285" s="13" t="n">
        <v>0</v>
      </c>
    </row>
    <row r="286" customFormat="false" ht="15" hidden="false" customHeight="false" outlineLevel="0" collapsed="false">
      <c r="A286" s="10"/>
      <c r="B286" s="10"/>
      <c r="C286" s="10"/>
      <c r="D286" s="14" t="str">
        <f aca="false">IFERROR(IF(C286="","",INDEX(Products!$C$5:$C$504,MATCH(C286,Products!$A$5:$A$504,0))),"")</f>
        <v/>
      </c>
      <c r="E286" s="13" t="n">
        <v>1</v>
      </c>
      <c r="F286" s="11"/>
      <c r="G286" s="10" t="s">
        <v>114</v>
      </c>
      <c r="H286" s="9" t="n">
        <f aca="false">IFERROR(E286*F286,"")</f>
        <v>0</v>
      </c>
      <c r="I286" s="9" t="n">
        <f aca="false">IFERROR(H286*IFERROR(VLOOKUP(G286,VatRates,2,FALSE()),0),"")</f>
        <v>0</v>
      </c>
      <c r="J286" s="9" t="n">
        <f aca="false">IFERROR(H286+I286,"")</f>
        <v>0</v>
      </c>
      <c r="K286" s="13" t="n">
        <v>0</v>
      </c>
    </row>
    <row r="287" customFormat="false" ht="15" hidden="false" customHeight="false" outlineLevel="0" collapsed="false">
      <c r="A287" s="10"/>
      <c r="B287" s="10"/>
      <c r="C287" s="10"/>
      <c r="D287" s="14" t="str">
        <f aca="false">IFERROR(IF(C287="","",INDEX(Products!$C$5:$C$504,MATCH(C287,Products!$A$5:$A$504,0))),"")</f>
        <v/>
      </c>
      <c r="E287" s="13" t="n">
        <v>1</v>
      </c>
      <c r="F287" s="11"/>
      <c r="G287" s="10" t="s">
        <v>114</v>
      </c>
      <c r="H287" s="9" t="n">
        <f aca="false">IFERROR(E287*F287,"")</f>
        <v>0</v>
      </c>
      <c r="I287" s="9" t="n">
        <f aca="false">IFERROR(H287*IFERROR(VLOOKUP(G287,VatRates,2,FALSE()),0),"")</f>
        <v>0</v>
      </c>
      <c r="J287" s="9" t="n">
        <f aca="false">IFERROR(H287+I287,"")</f>
        <v>0</v>
      </c>
      <c r="K287" s="13" t="n">
        <v>0</v>
      </c>
    </row>
    <row r="288" customFormat="false" ht="15" hidden="false" customHeight="false" outlineLevel="0" collapsed="false">
      <c r="A288" s="10"/>
      <c r="B288" s="10"/>
      <c r="C288" s="10"/>
      <c r="D288" s="14" t="str">
        <f aca="false">IFERROR(IF(C288="","",INDEX(Products!$C$5:$C$504,MATCH(C288,Products!$A$5:$A$504,0))),"")</f>
        <v/>
      </c>
      <c r="E288" s="13" t="n">
        <v>1</v>
      </c>
      <c r="F288" s="11"/>
      <c r="G288" s="10" t="s">
        <v>114</v>
      </c>
      <c r="H288" s="9" t="n">
        <f aca="false">IFERROR(E288*F288,"")</f>
        <v>0</v>
      </c>
      <c r="I288" s="9" t="n">
        <f aca="false">IFERROR(H288*IFERROR(VLOOKUP(G288,VatRates,2,FALSE()),0),"")</f>
        <v>0</v>
      </c>
      <c r="J288" s="9" t="n">
        <f aca="false">IFERROR(H288+I288,"")</f>
        <v>0</v>
      </c>
      <c r="K288" s="13" t="n">
        <v>0</v>
      </c>
    </row>
    <row r="289" customFormat="false" ht="15" hidden="false" customHeight="false" outlineLevel="0" collapsed="false">
      <c r="A289" s="10"/>
      <c r="B289" s="10"/>
      <c r="C289" s="10"/>
      <c r="D289" s="14" t="str">
        <f aca="false">IFERROR(IF(C289="","",INDEX(Products!$C$5:$C$504,MATCH(C289,Products!$A$5:$A$504,0))),"")</f>
        <v/>
      </c>
      <c r="E289" s="13" t="n">
        <v>1</v>
      </c>
      <c r="F289" s="11"/>
      <c r="G289" s="10" t="s">
        <v>114</v>
      </c>
      <c r="H289" s="9" t="n">
        <f aca="false">IFERROR(E289*F289,"")</f>
        <v>0</v>
      </c>
      <c r="I289" s="9" t="n">
        <f aca="false">IFERROR(H289*IFERROR(VLOOKUP(G289,VatRates,2,FALSE()),0),"")</f>
        <v>0</v>
      </c>
      <c r="J289" s="9" t="n">
        <f aca="false">IFERROR(H289+I289,"")</f>
        <v>0</v>
      </c>
      <c r="K289" s="13" t="n">
        <v>0</v>
      </c>
    </row>
    <row r="290" customFormat="false" ht="15" hidden="false" customHeight="false" outlineLevel="0" collapsed="false">
      <c r="A290" s="10"/>
      <c r="B290" s="10"/>
      <c r="C290" s="10"/>
      <c r="D290" s="14" t="str">
        <f aca="false">IFERROR(IF(C290="","",INDEX(Products!$C$5:$C$504,MATCH(C290,Products!$A$5:$A$504,0))),"")</f>
        <v/>
      </c>
      <c r="E290" s="13" t="n">
        <v>1</v>
      </c>
      <c r="F290" s="11"/>
      <c r="G290" s="10" t="s">
        <v>114</v>
      </c>
      <c r="H290" s="9" t="n">
        <f aca="false">IFERROR(E290*F290,"")</f>
        <v>0</v>
      </c>
      <c r="I290" s="9" t="n">
        <f aca="false">IFERROR(H290*IFERROR(VLOOKUP(G290,VatRates,2,FALSE()),0),"")</f>
        <v>0</v>
      </c>
      <c r="J290" s="9" t="n">
        <f aca="false">IFERROR(H290+I290,"")</f>
        <v>0</v>
      </c>
      <c r="K290" s="13" t="n">
        <v>0</v>
      </c>
    </row>
    <row r="291" customFormat="false" ht="15" hidden="false" customHeight="false" outlineLevel="0" collapsed="false">
      <c r="A291" s="10"/>
      <c r="B291" s="10"/>
      <c r="C291" s="10"/>
      <c r="D291" s="14" t="str">
        <f aca="false">IFERROR(IF(C291="","",INDEX(Products!$C$5:$C$504,MATCH(C291,Products!$A$5:$A$504,0))),"")</f>
        <v/>
      </c>
      <c r="E291" s="13" t="n">
        <v>1</v>
      </c>
      <c r="F291" s="11"/>
      <c r="G291" s="10" t="s">
        <v>114</v>
      </c>
      <c r="H291" s="9" t="n">
        <f aca="false">IFERROR(E291*F291,"")</f>
        <v>0</v>
      </c>
      <c r="I291" s="9" t="n">
        <f aca="false">IFERROR(H291*IFERROR(VLOOKUP(G291,VatRates,2,FALSE()),0),"")</f>
        <v>0</v>
      </c>
      <c r="J291" s="9" t="n">
        <f aca="false">IFERROR(H291+I291,"")</f>
        <v>0</v>
      </c>
      <c r="K291" s="13" t="n">
        <v>0</v>
      </c>
    </row>
    <row r="292" customFormat="false" ht="15" hidden="false" customHeight="false" outlineLevel="0" collapsed="false">
      <c r="A292" s="10"/>
      <c r="B292" s="10"/>
      <c r="C292" s="10"/>
      <c r="D292" s="14" t="str">
        <f aca="false">IFERROR(IF(C292="","",INDEX(Products!$C$5:$C$504,MATCH(C292,Products!$A$5:$A$504,0))),"")</f>
        <v/>
      </c>
      <c r="E292" s="13" t="n">
        <v>1</v>
      </c>
      <c r="F292" s="11"/>
      <c r="G292" s="10" t="s">
        <v>114</v>
      </c>
      <c r="H292" s="9" t="n">
        <f aca="false">IFERROR(E292*F292,"")</f>
        <v>0</v>
      </c>
      <c r="I292" s="9" t="n">
        <f aca="false">IFERROR(H292*IFERROR(VLOOKUP(G292,VatRates,2,FALSE()),0),"")</f>
        <v>0</v>
      </c>
      <c r="J292" s="9" t="n">
        <f aca="false">IFERROR(H292+I292,"")</f>
        <v>0</v>
      </c>
      <c r="K292" s="13" t="n">
        <v>0</v>
      </c>
    </row>
    <row r="293" customFormat="false" ht="15" hidden="false" customHeight="false" outlineLevel="0" collapsed="false">
      <c r="A293" s="10"/>
      <c r="B293" s="10"/>
      <c r="C293" s="10"/>
      <c r="D293" s="14" t="str">
        <f aca="false">IFERROR(IF(C293="","",INDEX(Products!$C$5:$C$504,MATCH(C293,Products!$A$5:$A$504,0))),"")</f>
        <v/>
      </c>
      <c r="E293" s="13" t="n">
        <v>1</v>
      </c>
      <c r="F293" s="11"/>
      <c r="G293" s="10" t="s">
        <v>114</v>
      </c>
      <c r="H293" s="9" t="n">
        <f aca="false">IFERROR(E293*F293,"")</f>
        <v>0</v>
      </c>
      <c r="I293" s="9" t="n">
        <f aca="false">IFERROR(H293*IFERROR(VLOOKUP(G293,VatRates,2,FALSE()),0),"")</f>
        <v>0</v>
      </c>
      <c r="J293" s="9" t="n">
        <f aca="false">IFERROR(H293+I293,"")</f>
        <v>0</v>
      </c>
      <c r="K293" s="13" t="n">
        <v>0</v>
      </c>
    </row>
    <row r="294" customFormat="false" ht="15" hidden="false" customHeight="false" outlineLevel="0" collapsed="false">
      <c r="A294" s="10"/>
      <c r="B294" s="10"/>
      <c r="C294" s="10"/>
      <c r="D294" s="14" t="str">
        <f aca="false">IFERROR(IF(C294="","",INDEX(Products!$C$5:$C$504,MATCH(C294,Products!$A$5:$A$504,0))),"")</f>
        <v/>
      </c>
      <c r="E294" s="13" t="n">
        <v>1</v>
      </c>
      <c r="F294" s="11"/>
      <c r="G294" s="10" t="s">
        <v>114</v>
      </c>
      <c r="H294" s="9" t="n">
        <f aca="false">IFERROR(E294*F294,"")</f>
        <v>0</v>
      </c>
      <c r="I294" s="9" t="n">
        <f aca="false">IFERROR(H294*IFERROR(VLOOKUP(G294,VatRates,2,FALSE()),0),"")</f>
        <v>0</v>
      </c>
      <c r="J294" s="9" t="n">
        <f aca="false">IFERROR(H294+I294,"")</f>
        <v>0</v>
      </c>
      <c r="K294" s="13" t="n">
        <v>0</v>
      </c>
    </row>
    <row r="295" customFormat="false" ht="15" hidden="false" customHeight="false" outlineLevel="0" collapsed="false">
      <c r="A295" s="10"/>
      <c r="B295" s="10"/>
      <c r="C295" s="10"/>
      <c r="D295" s="14" t="str">
        <f aca="false">IFERROR(IF(C295="","",INDEX(Products!$C$5:$C$504,MATCH(C295,Products!$A$5:$A$504,0))),"")</f>
        <v/>
      </c>
      <c r="E295" s="13" t="n">
        <v>1</v>
      </c>
      <c r="F295" s="11"/>
      <c r="G295" s="10" t="s">
        <v>114</v>
      </c>
      <c r="H295" s="9" t="n">
        <f aca="false">IFERROR(E295*F295,"")</f>
        <v>0</v>
      </c>
      <c r="I295" s="9" t="n">
        <f aca="false">IFERROR(H295*IFERROR(VLOOKUP(G295,VatRates,2,FALSE()),0),"")</f>
        <v>0</v>
      </c>
      <c r="J295" s="9" t="n">
        <f aca="false">IFERROR(H295+I295,"")</f>
        <v>0</v>
      </c>
      <c r="K295" s="13" t="n">
        <v>0</v>
      </c>
    </row>
    <row r="296" customFormat="false" ht="15" hidden="false" customHeight="false" outlineLevel="0" collapsed="false">
      <c r="A296" s="10"/>
      <c r="B296" s="10"/>
      <c r="C296" s="10"/>
      <c r="D296" s="14" t="str">
        <f aca="false">IFERROR(IF(C296="","",INDEX(Products!$C$5:$C$504,MATCH(C296,Products!$A$5:$A$504,0))),"")</f>
        <v/>
      </c>
      <c r="E296" s="13" t="n">
        <v>1</v>
      </c>
      <c r="F296" s="11"/>
      <c r="G296" s="10" t="s">
        <v>114</v>
      </c>
      <c r="H296" s="9" t="n">
        <f aca="false">IFERROR(E296*F296,"")</f>
        <v>0</v>
      </c>
      <c r="I296" s="9" t="n">
        <f aca="false">IFERROR(H296*IFERROR(VLOOKUP(G296,VatRates,2,FALSE()),0),"")</f>
        <v>0</v>
      </c>
      <c r="J296" s="9" t="n">
        <f aca="false">IFERROR(H296+I296,"")</f>
        <v>0</v>
      </c>
      <c r="K296" s="13" t="n">
        <v>0</v>
      </c>
    </row>
    <row r="297" customFormat="false" ht="15" hidden="false" customHeight="false" outlineLevel="0" collapsed="false">
      <c r="A297" s="10"/>
      <c r="B297" s="10"/>
      <c r="C297" s="10"/>
      <c r="D297" s="14" t="str">
        <f aca="false">IFERROR(IF(C297="","",INDEX(Products!$C$5:$C$504,MATCH(C297,Products!$A$5:$A$504,0))),"")</f>
        <v/>
      </c>
      <c r="E297" s="13" t="n">
        <v>1</v>
      </c>
      <c r="F297" s="11"/>
      <c r="G297" s="10" t="s">
        <v>114</v>
      </c>
      <c r="H297" s="9" t="n">
        <f aca="false">IFERROR(E297*F297,"")</f>
        <v>0</v>
      </c>
      <c r="I297" s="9" t="n">
        <f aca="false">IFERROR(H297*IFERROR(VLOOKUP(G297,VatRates,2,FALSE()),0),"")</f>
        <v>0</v>
      </c>
      <c r="J297" s="9" t="n">
        <f aca="false">IFERROR(H297+I297,"")</f>
        <v>0</v>
      </c>
      <c r="K297" s="13" t="n">
        <v>0</v>
      </c>
    </row>
    <row r="298" customFormat="false" ht="15" hidden="false" customHeight="false" outlineLevel="0" collapsed="false">
      <c r="A298" s="10"/>
      <c r="B298" s="10"/>
      <c r="C298" s="10"/>
      <c r="D298" s="14" t="str">
        <f aca="false">IFERROR(IF(C298="","",INDEX(Products!$C$5:$C$504,MATCH(C298,Products!$A$5:$A$504,0))),"")</f>
        <v/>
      </c>
      <c r="E298" s="13" t="n">
        <v>1</v>
      </c>
      <c r="F298" s="11"/>
      <c r="G298" s="10" t="s">
        <v>114</v>
      </c>
      <c r="H298" s="9" t="n">
        <f aca="false">IFERROR(E298*F298,"")</f>
        <v>0</v>
      </c>
      <c r="I298" s="9" t="n">
        <f aca="false">IFERROR(H298*IFERROR(VLOOKUP(G298,VatRates,2,FALSE()),0),"")</f>
        <v>0</v>
      </c>
      <c r="J298" s="9" t="n">
        <f aca="false">IFERROR(H298+I298,"")</f>
        <v>0</v>
      </c>
      <c r="K298" s="13" t="n">
        <v>0</v>
      </c>
    </row>
    <row r="299" customFormat="false" ht="15" hidden="false" customHeight="false" outlineLevel="0" collapsed="false">
      <c r="A299" s="10"/>
      <c r="B299" s="10"/>
      <c r="C299" s="10"/>
      <c r="D299" s="14" t="str">
        <f aca="false">IFERROR(IF(C299="","",INDEX(Products!$C$5:$C$504,MATCH(C299,Products!$A$5:$A$504,0))),"")</f>
        <v/>
      </c>
      <c r="E299" s="13" t="n">
        <v>1</v>
      </c>
      <c r="F299" s="11"/>
      <c r="G299" s="10" t="s">
        <v>114</v>
      </c>
      <c r="H299" s="9" t="n">
        <f aca="false">IFERROR(E299*F299,"")</f>
        <v>0</v>
      </c>
      <c r="I299" s="9" t="n">
        <f aca="false">IFERROR(H299*IFERROR(VLOOKUP(G299,VatRates,2,FALSE()),0),"")</f>
        <v>0</v>
      </c>
      <c r="J299" s="9" t="n">
        <f aca="false">IFERROR(H299+I299,"")</f>
        <v>0</v>
      </c>
      <c r="K299" s="13" t="n">
        <v>0</v>
      </c>
    </row>
    <row r="300" customFormat="false" ht="15" hidden="false" customHeight="false" outlineLevel="0" collapsed="false">
      <c r="A300" s="10"/>
      <c r="B300" s="10"/>
      <c r="C300" s="10"/>
      <c r="D300" s="14" t="str">
        <f aca="false">IFERROR(IF(C300="","",INDEX(Products!$C$5:$C$504,MATCH(C300,Products!$A$5:$A$504,0))),"")</f>
        <v/>
      </c>
      <c r="E300" s="13" t="n">
        <v>1</v>
      </c>
      <c r="F300" s="11"/>
      <c r="G300" s="10" t="s">
        <v>114</v>
      </c>
      <c r="H300" s="9" t="n">
        <f aca="false">IFERROR(E300*F300,"")</f>
        <v>0</v>
      </c>
      <c r="I300" s="9" t="n">
        <f aca="false">IFERROR(H300*IFERROR(VLOOKUP(G300,VatRates,2,FALSE()),0),"")</f>
        <v>0</v>
      </c>
      <c r="J300" s="9" t="n">
        <f aca="false">IFERROR(H300+I300,"")</f>
        <v>0</v>
      </c>
      <c r="K300" s="13" t="n">
        <v>0</v>
      </c>
    </row>
    <row r="301" customFormat="false" ht="15" hidden="false" customHeight="false" outlineLevel="0" collapsed="false">
      <c r="A301" s="10"/>
      <c r="B301" s="10"/>
      <c r="C301" s="10"/>
      <c r="D301" s="14" t="str">
        <f aca="false">IFERROR(IF(C301="","",INDEX(Products!$C$5:$C$504,MATCH(C301,Products!$A$5:$A$504,0))),"")</f>
        <v/>
      </c>
      <c r="E301" s="13" t="n">
        <v>1</v>
      </c>
      <c r="F301" s="11"/>
      <c r="G301" s="10" t="s">
        <v>114</v>
      </c>
      <c r="H301" s="9" t="n">
        <f aca="false">IFERROR(E301*F301,"")</f>
        <v>0</v>
      </c>
      <c r="I301" s="9" t="n">
        <f aca="false">IFERROR(H301*IFERROR(VLOOKUP(G301,VatRates,2,FALSE()),0),"")</f>
        <v>0</v>
      </c>
      <c r="J301" s="9" t="n">
        <f aca="false">IFERROR(H301+I301,"")</f>
        <v>0</v>
      </c>
      <c r="K301" s="13" t="n">
        <v>0</v>
      </c>
    </row>
    <row r="302" customFormat="false" ht="15" hidden="false" customHeight="false" outlineLevel="0" collapsed="false">
      <c r="A302" s="10"/>
      <c r="B302" s="10"/>
      <c r="C302" s="10"/>
      <c r="D302" s="14" t="str">
        <f aca="false">IFERROR(IF(C302="","",INDEX(Products!$C$5:$C$504,MATCH(C302,Products!$A$5:$A$504,0))),"")</f>
        <v/>
      </c>
      <c r="E302" s="13" t="n">
        <v>1</v>
      </c>
      <c r="F302" s="11"/>
      <c r="G302" s="10" t="s">
        <v>114</v>
      </c>
      <c r="H302" s="9" t="n">
        <f aca="false">IFERROR(E302*F302,"")</f>
        <v>0</v>
      </c>
      <c r="I302" s="9" t="n">
        <f aca="false">IFERROR(H302*IFERROR(VLOOKUP(G302,VatRates,2,FALSE()),0),"")</f>
        <v>0</v>
      </c>
      <c r="J302" s="9" t="n">
        <f aca="false">IFERROR(H302+I302,"")</f>
        <v>0</v>
      </c>
      <c r="K302" s="13" t="n">
        <v>0</v>
      </c>
    </row>
    <row r="303" customFormat="false" ht="15" hidden="false" customHeight="false" outlineLevel="0" collapsed="false">
      <c r="A303" s="10"/>
      <c r="B303" s="10"/>
      <c r="C303" s="10"/>
      <c r="D303" s="14" t="str">
        <f aca="false">IFERROR(IF(C303="","",INDEX(Products!$C$5:$C$504,MATCH(C303,Products!$A$5:$A$504,0))),"")</f>
        <v/>
      </c>
      <c r="E303" s="13" t="n">
        <v>1</v>
      </c>
      <c r="F303" s="11"/>
      <c r="G303" s="10" t="s">
        <v>114</v>
      </c>
      <c r="H303" s="9" t="n">
        <f aca="false">IFERROR(E303*F303,"")</f>
        <v>0</v>
      </c>
      <c r="I303" s="9" t="n">
        <f aca="false">IFERROR(H303*IFERROR(VLOOKUP(G303,VatRates,2,FALSE()),0),"")</f>
        <v>0</v>
      </c>
      <c r="J303" s="9" t="n">
        <f aca="false">IFERROR(H303+I303,"")</f>
        <v>0</v>
      </c>
      <c r="K303" s="13" t="n">
        <v>0</v>
      </c>
    </row>
    <row r="304" customFormat="false" ht="15" hidden="false" customHeight="false" outlineLevel="0" collapsed="false">
      <c r="A304" s="10"/>
      <c r="B304" s="10"/>
      <c r="C304" s="10"/>
      <c r="D304" s="14" t="str">
        <f aca="false">IFERROR(IF(C304="","",INDEX(Products!$C$5:$C$504,MATCH(C304,Products!$A$5:$A$504,0))),"")</f>
        <v/>
      </c>
      <c r="E304" s="13" t="n">
        <v>1</v>
      </c>
      <c r="F304" s="11"/>
      <c r="G304" s="10" t="s">
        <v>114</v>
      </c>
      <c r="H304" s="9" t="n">
        <f aca="false">IFERROR(E304*F304,"")</f>
        <v>0</v>
      </c>
      <c r="I304" s="9" t="n">
        <f aca="false">IFERROR(H304*IFERROR(VLOOKUP(G304,VatRates,2,FALSE()),0),"")</f>
        <v>0</v>
      </c>
      <c r="J304" s="9" t="n">
        <f aca="false">IFERROR(H304+I304,"")</f>
        <v>0</v>
      </c>
      <c r="K304" s="13" t="n">
        <v>0</v>
      </c>
    </row>
    <row r="305" customFormat="false" ht="15" hidden="false" customHeight="false" outlineLevel="0" collapsed="false">
      <c r="A305" s="10"/>
      <c r="B305" s="10"/>
      <c r="C305" s="10"/>
      <c r="D305" s="14" t="str">
        <f aca="false">IFERROR(IF(C305="","",INDEX(Products!$C$5:$C$504,MATCH(C305,Products!$A$5:$A$504,0))),"")</f>
        <v/>
      </c>
      <c r="E305" s="13" t="n">
        <v>1</v>
      </c>
      <c r="F305" s="11"/>
      <c r="G305" s="10" t="s">
        <v>114</v>
      </c>
      <c r="H305" s="9" t="n">
        <f aca="false">IFERROR(E305*F305,"")</f>
        <v>0</v>
      </c>
      <c r="I305" s="9" t="n">
        <f aca="false">IFERROR(H305*IFERROR(VLOOKUP(G305,VatRates,2,FALSE()),0),"")</f>
        <v>0</v>
      </c>
      <c r="J305" s="9" t="n">
        <f aca="false">IFERROR(H305+I305,"")</f>
        <v>0</v>
      </c>
      <c r="K305" s="13" t="n">
        <v>0</v>
      </c>
    </row>
    <row r="306" customFormat="false" ht="15" hidden="false" customHeight="false" outlineLevel="0" collapsed="false">
      <c r="A306" s="10"/>
      <c r="B306" s="10"/>
      <c r="C306" s="10"/>
      <c r="D306" s="14" t="str">
        <f aca="false">IFERROR(IF(C306="","",INDEX(Products!$C$5:$C$504,MATCH(C306,Products!$A$5:$A$504,0))),"")</f>
        <v/>
      </c>
      <c r="E306" s="13" t="n">
        <v>1</v>
      </c>
      <c r="F306" s="11"/>
      <c r="G306" s="10" t="s">
        <v>114</v>
      </c>
      <c r="H306" s="9" t="n">
        <f aca="false">IFERROR(E306*F306,"")</f>
        <v>0</v>
      </c>
      <c r="I306" s="9" t="n">
        <f aca="false">IFERROR(H306*IFERROR(VLOOKUP(G306,VatRates,2,FALSE()),0),"")</f>
        <v>0</v>
      </c>
      <c r="J306" s="9" t="n">
        <f aca="false">IFERROR(H306+I306,"")</f>
        <v>0</v>
      </c>
      <c r="K306" s="13" t="n">
        <v>0</v>
      </c>
    </row>
    <row r="307" customFormat="false" ht="15" hidden="false" customHeight="false" outlineLevel="0" collapsed="false">
      <c r="A307" s="10"/>
      <c r="B307" s="10"/>
      <c r="C307" s="10"/>
      <c r="D307" s="14" t="str">
        <f aca="false">IFERROR(IF(C307="","",INDEX(Products!$C$5:$C$504,MATCH(C307,Products!$A$5:$A$504,0))),"")</f>
        <v/>
      </c>
      <c r="E307" s="13" t="n">
        <v>1</v>
      </c>
      <c r="F307" s="11"/>
      <c r="G307" s="10" t="s">
        <v>114</v>
      </c>
      <c r="H307" s="9" t="n">
        <f aca="false">IFERROR(E307*F307,"")</f>
        <v>0</v>
      </c>
      <c r="I307" s="9" t="n">
        <f aca="false">IFERROR(H307*IFERROR(VLOOKUP(G307,VatRates,2,FALSE()),0),"")</f>
        <v>0</v>
      </c>
      <c r="J307" s="9" t="n">
        <f aca="false">IFERROR(H307+I307,"")</f>
        <v>0</v>
      </c>
      <c r="K307" s="13" t="n">
        <v>0</v>
      </c>
    </row>
    <row r="308" customFormat="false" ht="15" hidden="false" customHeight="false" outlineLevel="0" collapsed="false">
      <c r="A308" s="10"/>
      <c r="B308" s="10"/>
      <c r="C308" s="10"/>
      <c r="D308" s="14" t="str">
        <f aca="false">IFERROR(IF(C308="","",INDEX(Products!$C$5:$C$504,MATCH(C308,Products!$A$5:$A$504,0))),"")</f>
        <v/>
      </c>
      <c r="E308" s="13" t="n">
        <v>1</v>
      </c>
      <c r="F308" s="11"/>
      <c r="G308" s="10" t="s">
        <v>114</v>
      </c>
      <c r="H308" s="9" t="n">
        <f aca="false">IFERROR(E308*F308,"")</f>
        <v>0</v>
      </c>
      <c r="I308" s="9" t="n">
        <f aca="false">IFERROR(H308*IFERROR(VLOOKUP(G308,VatRates,2,FALSE()),0),"")</f>
        <v>0</v>
      </c>
      <c r="J308" s="9" t="n">
        <f aca="false">IFERROR(H308+I308,"")</f>
        <v>0</v>
      </c>
      <c r="K308" s="13" t="n">
        <v>0</v>
      </c>
    </row>
    <row r="309" customFormat="false" ht="15" hidden="false" customHeight="false" outlineLevel="0" collapsed="false">
      <c r="A309" s="10"/>
      <c r="B309" s="10"/>
      <c r="C309" s="10"/>
      <c r="D309" s="14" t="str">
        <f aca="false">IFERROR(IF(C309="","",INDEX(Products!$C$5:$C$504,MATCH(C309,Products!$A$5:$A$504,0))),"")</f>
        <v/>
      </c>
      <c r="E309" s="13" t="n">
        <v>1</v>
      </c>
      <c r="F309" s="11"/>
      <c r="G309" s="10" t="s">
        <v>114</v>
      </c>
      <c r="H309" s="9" t="n">
        <f aca="false">IFERROR(E309*F309,"")</f>
        <v>0</v>
      </c>
      <c r="I309" s="9" t="n">
        <f aca="false">IFERROR(H309*IFERROR(VLOOKUP(G309,VatRates,2,FALSE()),0),"")</f>
        <v>0</v>
      </c>
      <c r="J309" s="9" t="n">
        <f aca="false">IFERROR(H309+I309,"")</f>
        <v>0</v>
      </c>
      <c r="K309" s="13" t="n">
        <v>0</v>
      </c>
    </row>
    <row r="310" customFormat="false" ht="15" hidden="false" customHeight="false" outlineLevel="0" collapsed="false">
      <c r="A310" s="10"/>
      <c r="B310" s="10"/>
      <c r="C310" s="10"/>
      <c r="D310" s="14" t="str">
        <f aca="false">IFERROR(IF(C310="","",INDEX(Products!$C$5:$C$504,MATCH(C310,Products!$A$5:$A$504,0))),"")</f>
        <v/>
      </c>
      <c r="E310" s="13" t="n">
        <v>1</v>
      </c>
      <c r="F310" s="11"/>
      <c r="G310" s="10" t="s">
        <v>114</v>
      </c>
      <c r="H310" s="9" t="n">
        <f aca="false">IFERROR(E310*F310,"")</f>
        <v>0</v>
      </c>
      <c r="I310" s="9" t="n">
        <f aca="false">IFERROR(H310*IFERROR(VLOOKUP(G310,VatRates,2,FALSE()),0),"")</f>
        <v>0</v>
      </c>
      <c r="J310" s="9" t="n">
        <f aca="false">IFERROR(H310+I310,"")</f>
        <v>0</v>
      </c>
      <c r="K310" s="13" t="n">
        <v>0</v>
      </c>
    </row>
    <row r="311" customFormat="false" ht="15" hidden="false" customHeight="false" outlineLevel="0" collapsed="false">
      <c r="A311" s="10"/>
      <c r="B311" s="10"/>
      <c r="C311" s="10"/>
      <c r="D311" s="14" t="str">
        <f aca="false">IFERROR(IF(C311="","",INDEX(Products!$C$5:$C$504,MATCH(C311,Products!$A$5:$A$504,0))),"")</f>
        <v/>
      </c>
      <c r="E311" s="13" t="n">
        <v>1</v>
      </c>
      <c r="F311" s="11"/>
      <c r="G311" s="10" t="s">
        <v>114</v>
      </c>
      <c r="H311" s="9" t="n">
        <f aca="false">IFERROR(E311*F311,"")</f>
        <v>0</v>
      </c>
      <c r="I311" s="9" t="n">
        <f aca="false">IFERROR(H311*IFERROR(VLOOKUP(G311,VatRates,2,FALSE()),0),"")</f>
        <v>0</v>
      </c>
      <c r="J311" s="9" t="n">
        <f aca="false">IFERROR(H311+I311,"")</f>
        <v>0</v>
      </c>
      <c r="K311" s="13" t="n">
        <v>0</v>
      </c>
    </row>
    <row r="312" customFormat="false" ht="15" hidden="false" customHeight="false" outlineLevel="0" collapsed="false">
      <c r="A312" s="10"/>
      <c r="B312" s="10"/>
      <c r="C312" s="10"/>
      <c r="D312" s="14" t="str">
        <f aca="false">IFERROR(IF(C312="","",INDEX(Products!$C$5:$C$504,MATCH(C312,Products!$A$5:$A$504,0))),"")</f>
        <v/>
      </c>
      <c r="E312" s="13" t="n">
        <v>1</v>
      </c>
      <c r="F312" s="11"/>
      <c r="G312" s="10" t="s">
        <v>114</v>
      </c>
      <c r="H312" s="9" t="n">
        <f aca="false">IFERROR(E312*F312,"")</f>
        <v>0</v>
      </c>
      <c r="I312" s="9" t="n">
        <f aca="false">IFERROR(H312*IFERROR(VLOOKUP(G312,VatRates,2,FALSE()),0),"")</f>
        <v>0</v>
      </c>
      <c r="J312" s="9" t="n">
        <f aca="false">IFERROR(H312+I312,"")</f>
        <v>0</v>
      </c>
      <c r="K312" s="13" t="n">
        <v>0</v>
      </c>
    </row>
    <row r="313" customFormat="false" ht="15" hidden="false" customHeight="false" outlineLevel="0" collapsed="false">
      <c r="A313" s="10"/>
      <c r="B313" s="10"/>
      <c r="C313" s="10"/>
      <c r="D313" s="14" t="str">
        <f aca="false">IFERROR(IF(C313="","",INDEX(Products!$C$5:$C$504,MATCH(C313,Products!$A$5:$A$504,0))),"")</f>
        <v/>
      </c>
      <c r="E313" s="13" t="n">
        <v>1</v>
      </c>
      <c r="F313" s="11"/>
      <c r="G313" s="10" t="s">
        <v>114</v>
      </c>
      <c r="H313" s="9" t="n">
        <f aca="false">IFERROR(E313*F313,"")</f>
        <v>0</v>
      </c>
      <c r="I313" s="9" t="n">
        <f aca="false">IFERROR(H313*IFERROR(VLOOKUP(G313,VatRates,2,FALSE()),0),"")</f>
        <v>0</v>
      </c>
      <c r="J313" s="9" t="n">
        <f aca="false">IFERROR(H313+I313,"")</f>
        <v>0</v>
      </c>
      <c r="K313" s="13" t="n">
        <v>0</v>
      </c>
    </row>
    <row r="314" customFormat="false" ht="15" hidden="false" customHeight="false" outlineLevel="0" collapsed="false">
      <c r="A314" s="10"/>
      <c r="B314" s="10"/>
      <c r="C314" s="10"/>
      <c r="D314" s="14" t="str">
        <f aca="false">IFERROR(IF(C314="","",INDEX(Products!$C$5:$C$504,MATCH(C314,Products!$A$5:$A$504,0))),"")</f>
        <v/>
      </c>
      <c r="E314" s="13" t="n">
        <v>1</v>
      </c>
      <c r="F314" s="11"/>
      <c r="G314" s="10" t="s">
        <v>114</v>
      </c>
      <c r="H314" s="9" t="n">
        <f aca="false">IFERROR(E314*F314,"")</f>
        <v>0</v>
      </c>
      <c r="I314" s="9" t="n">
        <f aca="false">IFERROR(H314*IFERROR(VLOOKUP(G314,VatRates,2,FALSE()),0),"")</f>
        <v>0</v>
      </c>
      <c r="J314" s="9" t="n">
        <f aca="false">IFERROR(H314+I314,"")</f>
        <v>0</v>
      </c>
      <c r="K314" s="13" t="n">
        <v>0</v>
      </c>
    </row>
    <row r="315" customFormat="false" ht="15" hidden="false" customHeight="false" outlineLevel="0" collapsed="false">
      <c r="A315" s="10"/>
      <c r="B315" s="10"/>
      <c r="C315" s="10"/>
      <c r="D315" s="14" t="str">
        <f aca="false">IFERROR(IF(C315="","",INDEX(Products!$C$5:$C$504,MATCH(C315,Products!$A$5:$A$504,0))),"")</f>
        <v/>
      </c>
      <c r="E315" s="13" t="n">
        <v>1</v>
      </c>
      <c r="F315" s="11"/>
      <c r="G315" s="10" t="s">
        <v>114</v>
      </c>
      <c r="H315" s="9" t="n">
        <f aca="false">IFERROR(E315*F315,"")</f>
        <v>0</v>
      </c>
      <c r="I315" s="9" t="n">
        <f aca="false">IFERROR(H315*IFERROR(VLOOKUP(G315,VatRates,2,FALSE()),0),"")</f>
        <v>0</v>
      </c>
      <c r="J315" s="9" t="n">
        <f aca="false">IFERROR(H315+I315,"")</f>
        <v>0</v>
      </c>
      <c r="K315" s="13" t="n">
        <v>0</v>
      </c>
    </row>
    <row r="316" customFormat="false" ht="15" hidden="false" customHeight="false" outlineLevel="0" collapsed="false">
      <c r="A316" s="10"/>
      <c r="B316" s="10"/>
      <c r="C316" s="10"/>
      <c r="D316" s="14" t="str">
        <f aca="false">IFERROR(IF(C316="","",INDEX(Products!$C$5:$C$504,MATCH(C316,Products!$A$5:$A$504,0))),"")</f>
        <v/>
      </c>
      <c r="E316" s="13" t="n">
        <v>1</v>
      </c>
      <c r="F316" s="11"/>
      <c r="G316" s="10" t="s">
        <v>114</v>
      </c>
      <c r="H316" s="9" t="n">
        <f aca="false">IFERROR(E316*F316,"")</f>
        <v>0</v>
      </c>
      <c r="I316" s="9" t="n">
        <f aca="false">IFERROR(H316*IFERROR(VLOOKUP(G316,VatRates,2,FALSE()),0),"")</f>
        <v>0</v>
      </c>
      <c r="J316" s="9" t="n">
        <f aca="false">IFERROR(H316+I316,"")</f>
        <v>0</v>
      </c>
      <c r="K316" s="13" t="n">
        <v>0</v>
      </c>
    </row>
    <row r="317" customFormat="false" ht="15" hidden="false" customHeight="false" outlineLevel="0" collapsed="false">
      <c r="A317" s="10"/>
      <c r="B317" s="10"/>
      <c r="C317" s="10"/>
      <c r="D317" s="14" t="str">
        <f aca="false">IFERROR(IF(C317="","",INDEX(Products!$C$5:$C$504,MATCH(C317,Products!$A$5:$A$504,0))),"")</f>
        <v/>
      </c>
      <c r="E317" s="13" t="n">
        <v>1</v>
      </c>
      <c r="F317" s="11"/>
      <c r="G317" s="10" t="s">
        <v>114</v>
      </c>
      <c r="H317" s="9" t="n">
        <f aca="false">IFERROR(E317*F317,"")</f>
        <v>0</v>
      </c>
      <c r="I317" s="9" t="n">
        <f aca="false">IFERROR(H317*IFERROR(VLOOKUP(G317,VatRates,2,FALSE()),0),"")</f>
        <v>0</v>
      </c>
      <c r="J317" s="9" t="n">
        <f aca="false">IFERROR(H317+I317,"")</f>
        <v>0</v>
      </c>
      <c r="K317" s="13" t="n">
        <v>0</v>
      </c>
    </row>
    <row r="318" customFormat="false" ht="15" hidden="false" customHeight="false" outlineLevel="0" collapsed="false">
      <c r="A318" s="10"/>
      <c r="B318" s="10"/>
      <c r="C318" s="10"/>
      <c r="D318" s="14" t="str">
        <f aca="false">IFERROR(IF(C318="","",INDEX(Products!$C$5:$C$504,MATCH(C318,Products!$A$5:$A$504,0))),"")</f>
        <v/>
      </c>
      <c r="E318" s="13" t="n">
        <v>1</v>
      </c>
      <c r="F318" s="11"/>
      <c r="G318" s="10" t="s">
        <v>114</v>
      </c>
      <c r="H318" s="9" t="n">
        <f aca="false">IFERROR(E318*F318,"")</f>
        <v>0</v>
      </c>
      <c r="I318" s="9" t="n">
        <f aca="false">IFERROR(H318*IFERROR(VLOOKUP(G318,VatRates,2,FALSE()),0),"")</f>
        <v>0</v>
      </c>
      <c r="J318" s="9" t="n">
        <f aca="false">IFERROR(H318+I318,"")</f>
        <v>0</v>
      </c>
      <c r="K318" s="13" t="n">
        <v>0</v>
      </c>
    </row>
    <row r="319" customFormat="false" ht="15" hidden="false" customHeight="false" outlineLevel="0" collapsed="false">
      <c r="A319" s="10"/>
      <c r="B319" s="10"/>
      <c r="C319" s="10"/>
      <c r="D319" s="14" t="str">
        <f aca="false">IFERROR(IF(C319="","",INDEX(Products!$C$5:$C$504,MATCH(C319,Products!$A$5:$A$504,0))),"")</f>
        <v/>
      </c>
      <c r="E319" s="13" t="n">
        <v>1</v>
      </c>
      <c r="F319" s="11"/>
      <c r="G319" s="10" t="s">
        <v>114</v>
      </c>
      <c r="H319" s="9" t="n">
        <f aca="false">IFERROR(E319*F319,"")</f>
        <v>0</v>
      </c>
      <c r="I319" s="9" t="n">
        <f aca="false">IFERROR(H319*IFERROR(VLOOKUP(G319,VatRates,2,FALSE()),0),"")</f>
        <v>0</v>
      </c>
      <c r="J319" s="9" t="n">
        <f aca="false">IFERROR(H319+I319,"")</f>
        <v>0</v>
      </c>
      <c r="K319" s="13" t="n">
        <v>0</v>
      </c>
    </row>
    <row r="320" customFormat="false" ht="15" hidden="false" customHeight="false" outlineLevel="0" collapsed="false">
      <c r="A320" s="10"/>
      <c r="B320" s="10"/>
      <c r="C320" s="10"/>
      <c r="D320" s="14" t="str">
        <f aca="false">IFERROR(IF(C320="","",INDEX(Products!$C$5:$C$504,MATCH(C320,Products!$A$5:$A$504,0))),"")</f>
        <v/>
      </c>
      <c r="E320" s="13" t="n">
        <v>1</v>
      </c>
      <c r="F320" s="11"/>
      <c r="G320" s="10" t="s">
        <v>114</v>
      </c>
      <c r="H320" s="9" t="n">
        <f aca="false">IFERROR(E320*F320,"")</f>
        <v>0</v>
      </c>
      <c r="I320" s="9" t="n">
        <f aca="false">IFERROR(H320*IFERROR(VLOOKUP(G320,VatRates,2,FALSE()),0),"")</f>
        <v>0</v>
      </c>
      <c r="J320" s="9" t="n">
        <f aca="false">IFERROR(H320+I320,"")</f>
        <v>0</v>
      </c>
      <c r="K320" s="13" t="n">
        <v>0</v>
      </c>
    </row>
    <row r="321" customFormat="false" ht="15" hidden="false" customHeight="false" outlineLevel="0" collapsed="false">
      <c r="A321" s="10"/>
      <c r="B321" s="10"/>
      <c r="C321" s="10"/>
      <c r="D321" s="14" t="str">
        <f aca="false">IFERROR(IF(C321="","",INDEX(Products!$C$5:$C$504,MATCH(C321,Products!$A$5:$A$504,0))),"")</f>
        <v/>
      </c>
      <c r="E321" s="13" t="n">
        <v>1</v>
      </c>
      <c r="F321" s="11"/>
      <c r="G321" s="10" t="s">
        <v>114</v>
      </c>
      <c r="H321" s="9" t="n">
        <f aca="false">IFERROR(E321*F321,"")</f>
        <v>0</v>
      </c>
      <c r="I321" s="9" t="n">
        <f aca="false">IFERROR(H321*IFERROR(VLOOKUP(G321,VatRates,2,FALSE()),0),"")</f>
        <v>0</v>
      </c>
      <c r="J321" s="9" t="n">
        <f aca="false">IFERROR(H321+I321,"")</f>
        <v>0</v>
      </c>
      <c r="K321" s="13" t="n">
        <v>0</v>
      </c>
    </row>
    <row r="322" customFormat="false" ht="15" hidden="false" customHeight="false" outlineLevel="0" collapsed="false">
      <c r="A322" s="10"/>
      <c r="B322" s="10"/>
      <c r="C322" s="10"/>
      <c r="D322" s="14" t="str">
        <f aca="false">IFERROR(IF(C322="","",INDEX(Products!$C$5:$C$504,MATCH(C322,Products!$A$5:$A$504,0))),"")</f>
        <v/>
      </c>
      <c r="E322" s="13" t="n">
        <v>1</v>
      </c>
      <c r="F322" s="11"/>
      <c r="G322" s="10" t="s">
        <v>114</v>
      </c>
      <c r="H322" s="9" t="n">
        <f aca="false">IFERROR(E322*F322,"")</f>
        <v>0</v>
      </c>
      <c r="I322" s="9" t="n">
        <f aca="false">IFERROR(H322*IFERROR(VLOOKUP(G322,VatRates,2,FALSE()),0),"")</f>
        <v>0</v>
      </c>
      <c r="J322" s="9" t="n">
        <f aca="false">IFERROR(H322+I322,"")</f>
        <v>0</v>
      </c>
      <c r="K322" s="13" t="n">
        <v>0</v>
      </c>
    </row>
    <row r="323" customFormat="false" ht="15" hidden="false" customHeight="false" outlineLevel="0" collapsed="false">
      <c r="A323" s="10"/>
      <c r="B323" s="10"/>
      <c r="C323" s="10"/>
      <c r="D323" s="14" t="str">
        <f aca="false">IFERROR(IF(C323="","",INDEX(Products!$C$5:$C$504,MATCH(C323,Products!$A$5:$A$504,0))),"")</f>
        <v/>
      </c>
      <c r="E323" s="13" t="n">
        <v>1</v>
      </c>
      <c r="F323" s="11"/>
      <c r="G323" s="10" t="s">
        <v>114</v>
      </c>
      <c r="H323" s="9" t="n">
        <f aca="false">IFERROR(E323*F323,"")</f>
        <v>0</v>
      </c>
      <c r="I323" s="9" t="n">
        <f aca="false">IFERROR(H323*IFERROR(VLOOKUP(G323,VatRates,2,FALSE()),0),"")</f>
        <v>0</v>
      </c>
      <c r="J323" s="9" t="n">
        <f aca="false">IFERROR(H323+I323,"")</f>
        <v>0</v>
      </c>
      <c r="K323" s="13" t="n">
        <v>0</v>
      </c>
    </row>
    <row r="324" customFormat="false" ht="15" hidden="false" customHeight="false" outlineLevel="0" collapsed="false">
      <c r="A324" s="10"/>
      <c r="B324" s="10"/>
      <c r="C324" s="10"/>
      <c r="D324" s="14" t="str">
        <f aca="false">IFERROR(IF(C324="","",INDEX(Products!$C$5:$C$504,MATCH(C324,Products!$A$5:$A$504,0))),"")</f>
        <v/>
      </c>
      <c r="E324" s="13" t="n">
        <v>1</v>
      </c>
      <c r="F324" s="11"/>
      <c r="G324" s="10" t="s">
        <v>114</v>
      </c>
      <c r="H324" s="9" t="n">
        <f aca="false">IFERROR(E324*F324,"")</f>
        <v>0</v>
      </c>
      <c r="I324" s="9" t="n">
        <f aca="false">IFERROR(H324*IFERROR(VLOOKUP(G324,VatRates,2,FALSE()),0),"")</f>
        <v>0</v>
      </c>
      <c r="J324" s="9" t="n">
        <f aca="false">IFERROR(H324+I324,"")</f>
        <v>0</v>
      </c>
      <c r="K324" s="13" t="n">
        <v>0</v>
      </c>
    </row>
    <row r="325" customFormat="false" ht="15" hidden="false" customHeight="false" outlineLevel="0" collapsed="false">
      <c r="A325" s="10"/>
      <c r="B325" s="10"/>
      <c r="C325" s="10"/>
      <c r="D325" s="14" t="str">
        <f aca="false">IFERROR(IF(C325="","",INDEX(Products!$C$5:$C$504,MATCH(C325,Products!$A$5:$A$504,0))),"")</f>
        <v/>
      </c>
      <c r="E325" s="13" t="n">
        <v>1</v>
      </c>
      <c r="F325" s="11"/>
      <c r="G325" s="10" t="s">
        <v>114</v>
      </c>
      <c r="H325" s="9" t="n">
        <f aca="false">IFERROR(E325*F325,"")</f>
        <v>0</v>
      </c>
      <c r="I325" s="9" t="n">
        <f aca="false">IFERROR(H325*IFERROR(VLOOKUP(G325,VatRates,2,FALSE()),0),"")</f>
        <v>0</v>
      </c>
      <c r="J325" s="9" t="n">
        <f aca="false">IFERROR(H325+I325,"")</f>
        <v>0</v>
      </c>
      <c r="K325" s="13" t="n">
        <v>0</v>
      </c>
    </row>
    <row r="326" customFormat="false" ht="15" hidden="false" customHeight="false" outlineLevel="0" collapsed="false">
      <c r="A326" s="10"/>
      <c r="B326" s="10"/>
      <c r="C326" s="10"/>
      <c r="D326" s="14" t="str">
        <f aca="false">IFERROR(IF(C326="","",INDEX(Products!$C$5:$C$504,MATCH(C326,Products!$A$5:$A$504,0))),"")</f>
        <v/>
      </c>
      <c r="E326" s="13" t="n">
        <v>1</v>
      </c>
      <c r="F326" s="11"/>
      <c r="G326" s="10" t="s">
        <v>114</v>
      </c>
      <c r="H326" s="9" t="n">
        <f aca="false">IFERROR(E326*F326,"")</f>
        <v>0</v>
      </c>
      <c r="I326" s="9" t="n">
        <f aca="false">IFERROR(H326*IFERROR(VLOOKUP(G326,VatRates,2,FALSE()),0),"")</f>
        <v>0</v>
      </c>
      <c r="J326" s="9" t="n">
        <f aca="false">IFERROR(H326+I326,"")</f>
        <v>0</v>
      </c>
      <c r="K326" s="13" t="n">
        <v>0</v>
      </c>
    </row>
    <row r="327" customFormat="false" ht="15" hidden="false" customHeight="false" outlineLevel="0" collapsed="false">
      <c r="A327" s="10"/>
      <c r="B327" s="10"/>
      <c r="C327" s="10"/>
      <c r="D327" s="14" t="str">
        <f aca="false">IFERROR(IF(C327="","",INDEX(Products!$C$5:$C$504,MATCH(C327,Products!$A$5:$A$504,0))),"")</f>
        <v/>
      </c>
      <c r="E327" s="13" t="n">
        <v>1</v>
      </c>
      <c r="F327" s="11"/>
      <c r="G327" s="10" t="s">
        <v>114</v>
      </c>
      <c r="H327" s="9" t="n">
        <f aca="false">IFERROR(E327*F327,"")</f>
        <v>0</v>
      </c>
      <c r="I327" s="9" t="n">
        <f aca="false">IFERROR(H327*IFERROR(VLOOKUP(G327,VatRates,2,FALSE()),0),"")</f>
        <v>0</v>
      </c>
      <c r="J327" s="9" t="n">
        <f aca="false">IFERROR(H327+I327,"")</f>
        <v>0</v>
      </c>
      <c r="K327" s="13" t="n">
        <v>0</v>
      </c>
    </row>
    <row r="328" customFormat="false" ht="15" hidden="false" customHeight="false" outlineLevel="0" collapsed="false">
      <c r="A328" s="10"/>
      <c r="B328" s="10"/>
      <c r="C328" s="10"/>
      <c r="D328" s="14" t="str">
        <f aca="false">IFERROR(IF(C328="","",INDEX(Products!$C$5:$C$504,MATCH(C328,Products!$A$5:$A$504,0))),"")</f>
        <v/>
      </c>
      <c r="E328" s="13" t="n">
        <v>1</v>
      </c>
      <c r="F328" s="11"/>
      <c r="G328" s="10" t="s">
        <v>114</v>
      </c>
      <c r="H328" s="9" t="n">
        <f aca="false">IFERROR(E328*F328,"")</f>
        <v>0</v>
      </c>
      <c r="I328" s="9" t="n">
        <f aca="false">IFERROR(H328*IFERROR(VLOOKUP(G328,VatRates,2,FALSE()),0),"")</f>
        <v>0</v>
      </c>
      <c r="J328" s="9" t="n">
        <f aca="false">IFERROR(H328+I328,"")</f>
        <v>0</v>
      </c>
      <c r="K328" s="13" t="n">
        <v>0</v>
      </c>
    </row>
    <row r="329" customFormat="false" ht="15" hidden="false" customHeight="false" outlineLevel="0" collapsed="false">
      <c r="A329" s="10"/>
      <c r="B329" s="10"/>
      <c r="C329" s="10"/>
      <c r="D329" s="14" t="str">
        <f aca="false">IFERROR(IF(C329="","",INDEX(Products!$C$5:$C$504,MATCH(C329,Products!$A$5:$A$504,0))),"")</f>
        <v/>
      </c>
      <c r="E329" s="13" t="n">
        <v>1</v>
      </c>
      <c r="F329" s="11"/>
      <c r="G329" s="10" t="s">
        <v>114</v>
      </c>
      <c r="H329" s="9" t="n">
        <f aca="false">IFERROR(E329*F329,"")</f>
        <v>0</v>
      </c>
      <c r="I329" s="9" t="n">
        <f aca="false">IFERROR(H329*IFERROR(VLOOKUP(G329,VatRates,2,FALSE()),0),"")</f>
        <v>0</v>
      </c>
      <c r="J329" s="9" t="n">
        <f aca="false">IFERROR(H329+I329,"")</f>
        <v>0</v>
      </c>
      <c r="K329" s="13" t="n">
        <v>0</v>
      </c>
    </row>
    <row r="330" customFormat="false" ht="15" hidden="false" customHeight="false" outlineLevel="0" collapsed="false">
      <c r="A330" s="10"/>
      <c r="B330" s="10"/>
      <c r="C330" s="10"/>
      <c r="D330" s="14" t="str">
        <f aca="false">IFERROR(IF(C330="","",INDEX(Products!$C$5:$C$504,MATCH(C330,Products!$A$5:$A$504,0))),"")</f>
        <v/>
      </c>
      <c r="E330" s="13" t="n">
        <v>1</v>
      </c>
      <c r="F330" s="11"/>
      <c r="G330" s="10" t="s">
        <v>114</v>
      </c>
      <c r="H330" s="9" t="n">
        <f aca="false">IFERROR(E330*F330,"")</f>
        <v>0</v>
      </c>
      <c r="I330" s="9" t="n">
        <f aca="false">IFERROR(H330*IFERROR(VLOOKUP(G330,VatRates,2,FALSE()),0),"")</f>
        <v>0</v>
      </c>
      <c r="J330" s="9" t="n">
        <f aca="false">IFERROR(H330+I330,"")</f>
        <v>0</v>
      </c>
      <c r="K330" s="13" t="n">
        <v>0</v>
      </c>
    </row>
    <row r="331" customFormat="false" ht="15" hidden="false" customHeight="false" outlineLevel="0" collapsed="false">
      <c r="A331" s="10"/>
      <c r="B331" s="10"/>
      <c r="C331" s="10"/>
      <c r="D331" s="14" t="str">
        <f aca="false">IFERROR(IF(C331="","",INDEX(Products!$C$5:$C$504,MATCH(C331,Products!$A$5:$A$504,0))),"")</f>
        <v/>
      </c>
      <c r="E331" s="13" t="n">
        <v>1</v>
      </c>
      <c r="F331" s="11"/>
      <c r="G331" s="10" t="s">
        <v>114</v>
      </c>
      <c r="H331" s="9" t="n">
        <f aca="false">IFERROR(E331*F331,"")</f>
        <v>0</v>
      </c>
      <c r="I331" s="9" t="n">
        <f aca="false">IFERROR(H331*IFERROR(VLOOKUP(G331,VatRates,2,FALSE()),0),"")</f>
        <v>0</v>
      </c>
      <c r="J331" s="9" t="n">
        <f aca="false">IFERROR(H331+I331,"")</f>
        <v>0</v>
      </c>
      <c r="K331" s="13" t="n">
        <v>0</v>
      </c>
    </row>
    <row r="332" customFormat="false" ht="15" hidden="false" customHeight="false" outlineLevel="0" collapsed="false">
      <c r="A332" s="10"/>
      <c r="B332" s="10"/>
      <c r="C332" s="10"/>
      <c r="D332" s="14" t="str">
        <f aca="false">IFERROR(IF(C332="","",INDEX(Products!$C$5:$C$504,MATCH(C332,Products!$A$5:$A$504,0))),"")</f>
        <v/>
      </c>
      <c r="E332" s="13" t="n">
        <v>1</v>
      </c>
      <c r="F332" s="11"/>
      <c r="G332" s="10" t="s">
        <v>114</v>
      </c>
      <c r="H332" s="9" t="n">
        <f aca="false">IFERROR(E332*F332,"")</f>
        <v>0</v>
      </c>
      <c r="I332" s="9" t="n">
        <f aca="false">IFERROR(H332*IFERROR(VLOOKUP(G332,VatRates,2,FALSE()),0),"")</f>
        <v>0</v>
      </c>
      <c r="J332" s="9" t="n">
        <f aca="false">IFERROR(H332+I332,"")</f>
        <v>0</v>
      </c>
      <c r="K332" s="13" t="n">
        <v>0</v>
      </c>
    </row>
    <row r="333" customFormat="false" ht="15" hidden="false" customHeight="false" outlineLevel="0" collapsed="false">
      <c r="A333" s="10"/>
      <c r="B333" s="10"/>
      <c r="C333" s="10"/>
      <c r="D333" s="14" t="str">
        <f aca="false">IFERROR(IF(C333="","",INDEX(Products!$C$5:$C$504,MATCH(C333,Products!$A$5:$A$504,0))),"")</f>
        <v/>
      </c>
      <c r="E333" s="13" t="n">
        <v>1</v>
      </c>
      <c r="F333" s="11"/>
      <c r="G333" s="10" t="s">
        <v>114</v>
      </c>
      <c r="H333" s="9" t="n">
        <f aca="false">IFERROR(E333*F333,"")</f>
        <v>0</v>
      </c>
      <c r="I333" s="9" t="n">
        <f aca="false">IFERROR(H333*IFERROR(VLOOKUP(G333,VatRates,2,FALSE()),0),"")</f>
        <v>0</v>
      </c>
      <c r="J333" s="9" t="n">
        <f aca="false">IFERROR(H333+I333,"")</f>
        <v>0</v>
      </c>
      <c r="K333" s="13" t="n">
        <v>0</v>
      </c>
    </row>
    <row r="334" customFormat="false" ht="15" hidden="false" customHeight="false" outlineLevel="0" collapsed="false">
      <c r="A334" s="10"/>
      <c r="B334" s="10"/>
      <c r="C334" s="10"/>
      <c r="D334" s="14" t="str">
        <f aca="false">IFERROR(IF(C334="","",INDEX(Products!$C$5:$C$504,MATCH(C334,Products!$A$5:$A$504,0))),"")</f>
        <v/>
      </c>
      <c r="E334" s="13" t="n">
        <v>1</v>
      </c>
      <c r="F334" s="11"/>
      <c r="G334" s="10" t="s">
        <v>114</v>
      </c>
      <c r="H334" s="9" t="n">
        <f aca="false">IFERROR(E334*F334,"")</f>
        <v>0</v>
      </c>
      <c r="I334" s="9" t="n">
        <f aca="false">IFERROR(H334*IFERROR(VLOOKUP(G334,VatRates,2,FALSE()),0),"")</f>
        <v>0</v>
      </c>
      <c r="J334" s="9" t="n">
        <f aca="false">IFERROR(H334+I334,"")</f>
        <v>0</v>
      </c>
      <c r="K334" s="13" t="n">
        <v>0</v>
      </c>
    </row>
    <row r="335" customFormat="false" ht="15" hidden="false" customHeight="false" outlineLevel="0" collapsed="false">
      <c r="A335" s="10"/>
      <c r="B335" s="10"/>
      <c r="C335" s="10"/>
      <c r="D335" s="14" t="str">
        <f aca="false">IFERROR(IF(C335="","",INDEX(Products!$C$5:$C$504,MATCH(C335,Products!$A$5:$A$504,0))),"")</f>
        <v/>
      </c>
      <c r="E335" s="13" t="n">
        <v>1</v>
      </c>
      <c r="F335" s="11"/>
      <c r="G335" s="10" t="s">
        <v>114</v>
      </c>
      <c r="H335" s="9" t="n">
        <f aca="false">IFERROR(E335*F335,"")</f>
        <v>0</v>
      </c>
      <c r="I335" s="9" t="n">
        <f aca="false">IFERROR(H335*IFERROR(VLOOKUP(G335,VatRates,2,FALSE()),0),"")</f>
        <v>0</v>
      </c>
      <c r="J335" s="9" t="n">
        <f aca="false">IFERROR(H335+I335,"")</f>
        <v>0</v>
      </c>
      <c r="K335" s="13" t="n">
        <v>0</v>
      </c>
    </row>
    <row r="336" customFormat="false" ht="15" hidden="false" customHeight="false" outlineLevel="0" collapsed="false">
      <c r="A336" s="10"/>
      <c r="B336" s="10"/>
      <c r="C336" s="10"/>
      <c r="D336" s="14" t="str">
        <f aca="false">IFERROR(IF(C336="","",INDEX(Products!$C$5:$C$504,MATCH(C336,Products!$A$5:$A$504,0))),"")</f>
        <v/>
      </c>
      <c r="E336" s="13" t="n">
        <v>1</v>
      </c>
      <c r="F336" s="11"/>
      <c r="G336" s="10" t="s">
        <v>114</v>
      </c>
      <c r="H336" s="9" t="n">
        <f aca="false">IFERROR(E336*F336,"")</f>
        <v>0</v>
      </c>
      <c r="I336" s="9" t="n">
        <f aca="false">IFERROR(H336*IFERROR(VLOOKUP(G336,VatRates,2,FALSE()),0),"")</f>
        <v>0</v>
      </c>
      <c r="J336" s="9" t="n">
        <f aca="false">IFERROR(H336+I336,"")</f>
        <v>0</v>
      </c>
      <c r="K336" s="13" t="n">
        <v>0</v>
      </c>
    </row>
    <row r="337" customFormat="false" ht="15" hidden="false" customHeight="false" outlineLevel="0" collapsed="false">
      <c r="A337" s="10"/>
      <c r="B337" s="10"/>
      <c r="C337" s="10"/>
      <c r="D337" s="14" t="str">
        <f aca="false">IFERROR(IF(C337="","",INDEX(Products!$C$5:$C$504,MATCH(C337,Products!$A$5:$A$504,0))),"")</f>
        <v/>
      </c>
      <c r="E337" s="13" t="n">
        <v>1</v>
      </c>
      <c r="F337" s="11"/>
      <c r="G337" s="10" t="s">
        <v>114</v>
      </c>
      <c r="H337" s="9" t="n">
        <f aca="false">IFERROR(E337*F337,"")</f>
        <v>0</v>
      </c>
      <c r="I337" s="9" t="n">
        <f aca="false">IFERROR(H337*IFERROR(VLOOKUP(G337,VatRates,2,FALSE()),0),"")</f>
        <v>0</v>
      </c>
      <c r="J337" s="9" t="n">
        <f aca="false">IFERROR(H337+I337,"")</f>
        <v>0</v>
      </c>
      <c r="K337" s="13" t="n">
        <v>0</v>
      </c>
    </row>
    <row r="338" customFormat="false" ht="15" hidden="false" customHeight="false" outlineLevel="0" collapsed="false">
      <c r="A338" s="10"/>
      <c r="B338" s="10"/>
      <c r="C338" s="10"/>
      <c r="D338" s="14" t="str">
        <f aca="false">IFERROR(IF(C338="","",INDEX(Products!$C$5:$C$504,MATCH(C338,Products!$A$5:$A$504,0))),"")</f>
        <v/>
      </c>
      <c r="E338" s="13" t="n">
        <v>1</v>
      </c>
      <c r="F338" s="11"/>
      <c r="G338" s="10" t="s">
        <v>114</v>
      </c>
      <c r="H338" s="9" t="n">
        <f aca="false">IFERROR(E338*F338,"")</f>
        <v>0</v>
      </c>
      <c r="I338" s="9" t="n">
        <f aca="false">IFERROR(H338*IFERROR(VLOOKUP(G338,VatRates,2,FALSE()),0),"")</f>
        <v>0</v>
      </c>
      <c r="J338" s="9" t="n">
        <f aca="false">IFERROR(H338+I338,"")</f>
        <v>0</v>
      </c>
      <c r="K338" s="13" t="n">
        <v>0</v>
      </c>
    </row>
    <row r="339" customFormat="false" ht="15" hidden="false" customHeight="false" outlineLevel="0" collapsed="false">
      <c r="A339" s="10"/>
      <c r="B339" s="10"/>
      <c r="C339" s="10"/>
      <c r="D339" s="14" t="str">
        <f aca="false">IFERROR(IF(C339="","",INDEX(Products!$C$5:$C$504,MATCH(C339,Products!$A$5:$A$504,0))),"")</f>
        <v/>
      </c>
      <c r="E339" s="13" t="n">
        <v>1</v>
      </c>
      <c r="F339" s="11"/>
      <c r="G339" s="10" t="s">
        <v>114</v>
      </c>
      <c r="H339" s="9" t="n">
        <f aca="false">IFERROR(E339*F339,"")</f>
        <v>0</v>
      </c>
      <c r="I339" s="9" t="n">
        <f aca="false">IFERROR(H339*IFERROR(VLOOKUP(G339,VatRates,2,FALSE()),0),"")</f>
        <v>0</v>
      </c>
      <c r="J339" s="9" t="n">
        <f aca="false">IFERROR(H339+I339,"")</f>
        <v>0</v>
      </c>
      <c r="K339" s="13" t="n">
        <v>0</v>
      </c>
    </row>
    <row r="340" customFormat="false" ht="15" hidden="false" customHeight="false" outlineLevel="0" collapsed="false">
      <c r="A340" s="10"/>
      <c r="B340" s="10"/>
      <c r="C340" s="10"/>
      <c r="D340" s="14" t="str">
        <f aca="false">IFERROR(IF(C340="","",INDEX(Products!$C$5:$C$504,MATCH(C340,Products!$A$5:$A$504,0))),"")</f>
        <v/>
      </c>
      <c r="E340" s="13" t="n">
        <v>1</v>
      </c>
      <c r="F340" s="11"/>
      <c r="G340" s="10" t="s">
        <v>114</v>
      </c>
      <c r="H340" s="9" t="n">
        <f aca="false">IFERROR(E340*F340,"")</f>
        <v>0</v>
      </c>
      <c r="I340" s="9" t="n">
        <f aca="false">IFERROR(H340*IFERROR(VLOOKUP(G340,VatRates,2,FALSE()),0),"")</f>
        <v>0</v>
      </c>
      <c r="J340" s="9" t="n">
        <f aca="false">IFERROR(H340+I340,"")</f>
        <v>0</v>
      </c>
      <c r="K340" s="13" t="n">
        <v>0</v>
      </c>
    </row>
    <row r="341" customFormat="false" ht="15" hidden="false" customHeight="false" outlineLevel="0" collapsed="false">
      <c r="A341" s="10"/>
      <c r="B341" s="10"/>
      <c r="C341" s="10"/>
      <c r="D341" s="14" t="str">
        <f aca="false">IFERROR(IF(C341="","",INDEX(Products!$C$5:$C$504,MATCH(C341,Products!$A$5:$A$504,0))),"")</f>
        <v/>
      </c>
      <c r="E341" s="13" t="n">
        <v>1</v>
      </c>
      <c r="F341" s="11"/>
      <c r="G341" s="10" t="s">
        <v>114</v>
      </c>
      <c r="H341" s="9" t="n">
        <f aca="false">IFERROR(E341*F341,"")</f>
        <v>0</v>
      </c>
      <c r="I341" s="9" t="n">
        <f aca="false">IFERROR(H341*IFERROR(VLOOKUP(G341,VatRates,2,FALSE()),0),"")</f>
        <v>0</v>
      </c>
      <c r="J341" s="9" t="n">
        <f aca="false">IFERROR(H341+I341,"")</f>
        <v>0</v>
      </c>
      <c r="K341" s="13" t="n">
        <v>0</v>
      </c>
    </row>
    <row r="342" customFormat="false" ht="15" hidden="false" customHeight="false" outlineLevel="0" collapsed="false">
      <c r="A342" s="10"/>
      <c r="B342" s="10"/>
      <c r="C342" s="10"/>
      <c r="D342" s="14" t="str">
        <f aca="false">IFERROR(IF(C342="","",INDEX(Products!$C$5:$C$504,MATCH(C342,Products!$A$5:$A$504,0))),"")</f>
        <v/>
      </c>
      <c r="E342" s="13" t="n">
        <v>1</v>
      </c>
      <c r="F342" s="11"/>
      <c r="G342" s="10" t="s">
        <v>114</v>
      </c>
      <c r="H342" s="9" t="n">
        <f aca="false">IFERROR(E342*F342,"")</f>
        <v>0</v>
      </c>
      <c r="I342" s="9" t="n">
        <f aca="false">IFERROR(H342*IFERROR(VLOOKUP(G342,VatRates,2,FALSE()),0),"")</f>
        <v>0</v>
      </c>
      <c r="J342" s="9" t="n">
        <f aca="false">IFERROR(H342+I342,"")</f>
        <v>0</v>
      </c>
      <c r="K342" s="13" t="n">
        <v>0</v>
      </c>
    </row>
    <row r="343" customFormat="false" ht="15" hidden="false" customHeight="false" outlineLevel="0" collapsed="false">
      <c r="A343" s="10"/>
      <c r="B343" s="10"/>
      <c r="C343" s="10"/>
      <c r="D343" s="14" t="str">
        <f aca="false">IFERROR(IF(C343="","",INDEX(Products!$C$5:$C$504,MATCH(C343,Products!$A$5:$A$504,0))),"")</f>
        <v/>
      </c>
      <c r="E343" s="13" t="n">
        <v>1</v>
      </c>
      <c r="F343" s="11"/>
      <c r="G343" s="10" t="s">
        <v>114</v>
      </c>
      <c r="H343" s="9" t="n">
        <f aca="false">IFERROR(E343*F343,"")</f>
        <v>0</v>
      </c>
      <c r="I343" s="9" t="n">
        <f aca="false">IFERROR(H343*IFERROR(VLOOKUP(G343,VatRates,2,FALSE()),0),"")</f>
        <v>0</v>
      </c>
      <c r="J343" s="9" t="n">
        <f aca="false">IFERROR(H343+I343,"")</f>
        <v>0</v>
      </c>
      <c r="K343" s="13" t="n">
        <v>0</v>
      </c>
    </row>
    <row r="344" customFormat="false" ht="15" hidden="false" customHeight="false" outlineLevel="0" collapsed="false">
      <c r="A344" s="10"/>
      <c r="B344" s="10"/>
      <c r="C344" s="10"/>
      <c r="D344" s="14" t="str">
        <f aca="false">IFERROR(IF(C344="","",INDEX(Products!$C$5:$C$504,MATCH(C344,Products!$A$5:$A$504,0))),"")</f>
        <v/>
      </c>
      <c r="E344" s="13" t="n">
        <v>1</v>
      </c>
      <c r="F344" s="11"/>
      <c r="G344" s="10" t="s">
        <v>114</v>
      </c>
      <c r="H344" s="9" t="n">
        <f aca="false">IFERROR(E344*F344,"")</f>
        <v>0</v>
      </c>
      <c r="I344" s="9" t="n">
        <f aca="false">IFERROR(H344*IFERROR(VLOOKUP(G344,VatRates,2,FALSE()),0),"")</f>
        <v>0</v>
      </c>
      <c r="J344" s="9" t="n">
        <f aca="false">IFERROR(H344+I344,"")</f>
        <v>0</v>
      </c>
      <c r="K344" s="13" t="n">
        <v>0</v>
      </c>
    </row>
    <row r="345" customFormat="false" ht="15" hidden="false" customHeight="false" outlineLevel="0" collapsed="false">
      <c r="A345" s="10"/>
      <c r="B345" s="10"/>
      <c r="C345" s="10"/>
      <c r="D345" s="14" t="str">
        <f aca="false">IFERROR(IF(C345="","",INDEX(Products!$C$5:$C$504,MATCH(C345,Products!$A$5:$A$504,0))),"")</f>
        <v/>
      </c>
      <c r="E345" s="13" t="n">
        <v>1</v>
      </c>
      <c r="F345" s="11"/>
      <c r="G345" s="10" t="s">
        <v>114</v>
      </c>
      <c r="H345" s="9" t="n">
        <f aca="false">IFERROR(E345*F345,"")</f>
        <v>0</v>
      </c>
      <c r="I345" s="9" t="n">
        <f aca="false">IFERROR(H345*IFERROR(VLOOKUP(G345,VatRates,2,FALSE()),0),"")</f>
        <v>0</v>
      </c>
      <c r="J345" s="9" t="n">
        <f aca="false">IFERROR(H345+I345,"")</f>
        <v>0</v>
      </c>
      <c r="K345" s="13" t="n">
        <v>0</v>
      </c>
    </row>
    <row r="346" customFormat="false" ht="15" hidden="false" customHeight="false" outlineLevel="0" collapsed="false">
      <c r="A346" s="10"/>
      <c r="B346" s="10"/>
      <c r="C346" s="10"/>
      <c r="D346" s="14" t="str">
        <f aca="false">IFERROR(IF(C346="","",INDEX(Products!$C$5:$C$504,MATCH(C346,Products!$A$5:$A$504,0))),"")</f>
        <v/>
      </c>
      <c r="E346" s="13" t="n">
        <v>1</v>
      </c>
      <c r="F346" s="11"/>
      <c r="G346" s="10" t="s">
        <v>114</v>
      </c>
      <c r="H346" s="9" t="n">
        <f aca="false">IFERROR(E346*F346,"")</f>
        <v>0</v>
      </c>
      <c r="I346" s="9" t="n">
        <f aca="false">IFERROR(H346*IFERROR(VLOOKUP(G346,VatRates,2,FALSE()),0),"")</f>
        <v>0</v>
      </c>
      <c r="J346" s="9" t="n">
        <f aca="false">IFERROR(H346+I346,"")</f>
        <v>0</v>
      </c>
      <c r="K346" s="13" t="n">
        <v>0</v>
      </c>
    </row>
    <row r="347" customFormat="false" ht="15" hidden="false" customHeight="false" outlineLevel="0" collapsed="false">
      <c r="A347" s="10"/>
      <c r="B347" s="10"/>
      <c r="C347" s="10"/>
      <c r="D347" s="14" t="str">
        <f aca="false">IFERROR(IF(C347="","",INDEX(Products!$C$5:$C$504,MATCH(C347,Products!$A$5:$A$504,0))),"")</f>
        <v/>
      </c>
      <c r="E347" s="13" t="n">
        <v>1</v>
      </c>
      <c r="F347" s="11"/>
      <c r="G347" s="10" t="s">
        <v>114</v>
      </c>
      <c r="H347" s="9" t="n">
        <f aca="false">IFERROR(E347*F347,"")</f>
        <v>0</v>
      </c>
      <c r="I347" s="9" t="n">
        <f aca="false">IFERROR(H347*IFERROR(VLOOKUP(G347,VatRates,2,FALSE()),0),"")</f>
        <v>0</v>
      </c>
      <c r="J347" s="9" t="n">
        <f aca="false">IFERROR(H347+I347,"")</f>
        <v>0</v>
      </c>
      <c r="K347" s="13" t="n">
        <v>0</v>
      </c>
    </row>
    <row r="348" customFormat="false" ht="15" hidden="false" customHeight="false" outlineLevel="0" collapsed="false">
      <c r="A348" s="10"/>
      <c r="B348" s="10"/>
      <c r="C348" s="10"/>
      <c r="D348" s="14" t="str">
        <f aca="false">IFERROR(IF(C348="","",INDEX(Products!$C$5:$C$504,MATCH(C348,Products!$A$5:$A$504,0))),"")</f>
        <v/>
      </c>
      <c r="E348" s="13" t="n">
        <v>1</v>
      </c>
      <c r="F348" s="11"/>
      <c r="G348" s="10" t="s">
        <v>114</v>
      </c>
      <c r="H348" s="9" t="n">
        <f aca="false">IFERROR(E348*F348,"")</f>
        <v>0</v>
      </c>
      <c r="I348" s="9" t="n">
        <f aca="false">IFERROR(H348*IFERROR(VLOOKUP(G348,VatRates,2,FALSE()),0),"")</f>
        <v>0</v>
      </c>
      <c r="J348" s="9" t="n">
        <f aca="false">IFERROR(H348+I348,"")</f>
        <v>0</v>
      </c>
      <c r="K348" s="13" t="n">
        <v>0</v>
      </c>
    </row>
    <row r="349" customFormat="false" ht="15" hidden="false" customHeight="false" outlineLevel="0" collapsed="false">
      <c r="A349" s="10"/>
      <c r="B349" s="10"/>
      <c r="C349" s="10"/>
      <c r="D349" s="14" t="str">
        <f aca="false">IFERROR(IF(C349="","",INDEX(Products!$C$5:$C$504,MATCH(C349,Products!$A$5:$A$504,0))),"")</f>
        <v/>
      </c>
      <c r="E349" s="13" t="n">
        <v>1</v>
      </c>
      <c r="F349" s="11"/>
      <c r="G349" s="10" t="s">
        <v>114</v>
      </c>
      <c r="H349" s="9" t="n">
        <f aca="false">IFERROR(E349*F349,"")</f>
        <v>0</v>
      </c>
      <c r="I349" s="9" t="n">
        <f aca="false">IFERROR(H349*IFERROR(VLOOKUP(G349,VatRates,2,FALSE()),0),"")</f>
        <v>0</v>
      </c>
      <c r="J349" s="9" t="n">
        <f aca="false">IFERROR(H349+I349,"")</f>
        <v>0</v>
      </c>
      <c r="K349" s="13" t="n">
        <v>0</v>
      </c>
    </row>
    <row r="350" customFormat="false" ht="15" hidden="false" customHeight="false" outlineLevel="0" collapsed="false">
      <c r="A350" s="10"/>
      <c r="B350" s="10"/>
      <c r="C350" s="10"/>
      <c r="D350" s="14" t="str">
        <f aca="false">IFERROR(IF(C350="","",INDEX(Products!$C$5:$C$504,MATCH(C350,Products!$A$5:$A$504,0))),"")</f>
        <v/>
      </c>
      <c r="E350" s="13" t="n">
        <v>1</v>
      </c>
      <c r="F350" s="11"/>
      <c r="G350" s="10" t="s">
        <v>114</v>
      </c>
      <c r="H350" s="9" t="n">
        <f aca="false">IFERROR(E350*F350,"")</f>
        <v>0</v>
      </c>
      <c r="I350" s="9" t="n">
        <f aca="false">IFERROR(H350*IFERROR(VLOOKUP(G350,VatRates,2,FALSE()),0),"")</f>
        <v>0</v>
      </c>
      <c r="J350" s="9" t="n">
        <f aca="false">IFERROR(H350+I350,"")</f>
        <v>0</v>
      </c>
      <c r="K350" s="13" t="n">
        <v>0</v>
      </c>
    </row>
    <row r="351" customFormat="false" ht="15" hidden="false" customHeight="false" outlineLevel="0" collapsed="false">
      <c r="A351" s="10"/>
      <c r="B351" s="10"/>
      <c r="C351" s="10"/>
      <c r="D351" s="14" t="str">
        <f aca="false">IFERROR(IF(C351="","",INDEX(Products!$C$5:$C$504,MATCH(C351,Products!$A$5:$A$504,0))),"")</f>
        <v/>
      </c>
      <c r="E351" s="13" t="n">
        <v>1</v>
      </c>
      <c r="F351" s="11"/>
      <c r="G351" s="10" t="s">
        <v>114</v>
      </c>
      <c r="H351" s="9" t="n">
        <f aca="false">IFERROR(E351*F351,"")</f>
        <v>0</v>
      </c>
      <c r="I351" s="9" t="n">
        <f aca="false">IFERROR(H351*IFERROR(VLOOKUP(G351,VatRates,2,FALSE()),0),"")</f>
        <v>0</v>
      </c>
      <c r="J351" s="9" t="n">
        <f aca="false">IFERROR(H351+I351,"")</f>
        <v>0</v>
      </c>
      <c r="K351" s="13" t="n">
        <v>0</v>
      </c>
    </row>
    <row r="352" customFormat="false" ht="15" hidden="false" customHeight="false" outlineLevel="0" collapsed="false">
      <c r="A352" s="10"/>
      <c r="B352" s="10"/>
      <c r="C352" s="10"/>
      <c r="D352" s="14" t="str">
        <f aca="false">IFERROR(IF(C352="","",INDEX(Products!$C$5:$C$504,MATCH(C352,Products!$A$5:$A$504,0))),"")</f>
        <v/>
      </c>
      <c r="E352" s="13" t="n">
        <v>1</v>
      </c>
      <c r="F352" s="11"/>
      <c r="G352" s="10" t="s">
        <v>114</v>
      </c>
      <c r="H352" s="9" t="n">
        <f aca="false">IFERROR(E352*F352,"")</f>
        <v>0</v>
      </c>
      <c r="I352" s="9" t="n">
        <f aca="false">IFERROR(H352*IFERROR(VLOOKUP(G352,VatRates,2,FALSE()),0),"")</f>
        <v>0</v>
      </c>
      <c r="J352" s="9" t="n">
        <f aca="false">IFERROR(H352+I352,"")</f>
        <v>0</v>
      </c>
      <c r="K352" s="13" t="n">
        <v>0</v>
      </c>
    </row>
    <row r="353" customFormat="false" ht="15" hidden="false" customHeight="false" outlineLevel="0" collapsed="false">
      <c r="A353" s="10"/>
      <c r="B353" s="10"/>
      <c r="C353" s="10"/>
      <c r="D353" s="14" t="str">
        <f aca="false">IFERROR(IF(C353="","",INDEX(Products!$C$5:$C$504,MATCH(C353,Products!$A$5:$A$504,0))),"")</f>
        <v/>
      </c>
      <c r="E353" s="13" t="n">
        <v>1</v>
      </c>
      <c r="F353" s="11"/>
      <c r="G353" s="10" t="s">
        <v>114</v>
      </c>
      <c r="H353" s="9" t="n">
        <f aca="false">IFERROR(E353*F353,"")</f>
        <v>0</v>
      </c>
      <c r="I353" s="9" t="n">
        <f aca="false">IFERROR(H353*IFERROR(VLOOKUP(G353,VatRates,2,FALSE()),0),"")</f>
        <v>0</v>
      </c>
      <c r="J353" s="9" t="n">
        <f aca="false">IFERROR(H353+I353,"")</f>
        <v>0</v>
      </c>
      <c r="K353" s="13" t="n">
        <v>0</v>
      </c>
    </row>
    <row r="354" customFormat="false" ht="15" hidden="false" customHeight="false" outlineLevel="0" collapsed="false">
      <c r="A354" s="10"/>
      <c r="B354" s="10"/>
      <c r="C354" s="10"/>
      <c r="D354" s="14" t="str">
        <f aca="false">IFERROR(IF(C354="","",INDEX(Products!$C$5:$C$504,MATCH(C354,Products!$A$5:$A$504,0))),"")</f>
        <v/>
      </c>
      <c r="E354" s="13" t="n">
        <v>1</v>
      </c>
      <c r="F354" s="11"/>
      <c r="G354" s="10" t="s">
        <v>114</v>
      </c>
      <c r="H354" s="9" t="n">
        <f aca="false">IFERROR(E354*F354,"")</f>
        <v>0</v>
      </c>
      <c r="I354" s="9" t="n">
        <f aca="false">IFERROR(H354*IFERROR(VLOOKUP(G354,VatRates,2,FALSE()),0),"")</f>
        <v>0</v>
      </c>
      <c r="J354" s="9" t="n">
        <f aca="false">IFERROR(H354+I354,"")</f>
        <v>0</v>
      </c>
      <c r="K354" s="13" t="n">
        <v>0</v>
      </c>
    </row>
    <row r="355" customFormat="false" ht="15" hidden="false" customHeight="false" outlineLevel="0" collapsed="false">
      <c r="A355" s="10"/>
      <c r="B355" s="10"/>
      <c r="C355" s="10"/>
      <c r="D355" s="14" t="str">
        <f aca="false">IFERROR(IF(C355="","",INDEX(Products!$C$5:$C$504,MATCH(C355,Products!$A$5:$A$504,0))),"")</f>
        <v/>
      </c>
      <c r="E355" s="13" t="n">
        <v>1</v>
      </c>
      <c r="F355" s="11"/>
      <c r="G355" s="10" t="s">
        <v>114</v>
      </c>
      <c r="H355" s="9" t="n">
        <f aca="false">IFERROR(E355*F355,"")</f>
        <v>0</v>
      </c>
      <c r="I355" s="9" t="n">
        <f aca="false">IFERROR(H355*IFERROR(VLOOKUP(G355,VatRates,2,FALSE()),0),"")</f>
        <v>0</v>
      </c>
      <c r="J355" s="9" t="n">
        <f aca="false">IFERROR(H355+I355,"")</f>
        <v>0</v>
      </c>
      <c r="K355" s="13" t="n">
        <v>0</v>
      </c>
    </row>
    <row r="356" customFormat="false" ht="15" hidden="false" customHeight="false" outlineLevel="0" collapsed="false">
      <c r="A356" s="10"/>
      <c r="B356" s="10"/>
      <c r="C356" s="10"/>
      <c r="D356" s="14" t="str">
        <f aca="false">IFERROR(IF(C356="","",INDEX(Products!$C$5:$C$504,MATCH(C356,Products!$A$5:$A$504,0))),"")</f>
        <v/>
      </c>
      <c r="E356" s="13" t="n">
        <v>1</v>
      </c>
      <c r="F356" s="11"/>
      <c r="G356" s="10" t="s">
        <v>114</v>
      </c>
      <c r="H356" s="9" t="n">
        <f aca="false">IFERROR(E356*F356,"")</f>
        <v>0</v>
      </c>
      <c r="I356" s="9" t="n">
        <f aca="false">IFERROR(H356*IFERROR(VLOOKUP(G356,VatRates,2,FALSE()),0),"")</f>
        <v>0</v>
      </c>
      <c r="J356" s="9" t="n">
        <f aca="false">IFERROR(H356+I356,"")</f>
        <v>0</v>
      </c>
      <c r="K356" s="13" t="n">
        <v>0</v>
      </c>
    </row>
    <row r="357" customFormat="false" ht="15" hidden="false" customHeight="false" outlineLevel="0" collapsed="false">
      <c r="A357" s="10"/>
      <c r="B357" s="10"/>
      <c r="C357" s="10"/>
      <c r="D357" s="14" t="str">
        <f aca="false">IFERROR(IF(C357="","",INDEX(Products!$C$5:$C$504,MATCH(C357,Products!$A$5:$A$504,0))),"")</f>
        <v/>
      </c>
      <c r="E357" s="13" t="n">
        <v>1</v>
      </c>
      <c r="F357" s="11"/>
      <c r="G357" s="10" t="s">
        <v>114</v>
      </c>
      <c r="H357" s="9" t="n">
        <f aca="false">IFERROR(E357*F357,"")</f>
        <v>0</v>
      </c>
      <c r="I357" s="9" t="n">
        <f aca="false">IFERROR(H357*IFERROR(VLOOKUP(G357,VatRates,2,FALSE()),0),"")</f>
        <v>0</v>
      </c>
      <c r="J357" s="9" t="n">
        <f aca="false">IFERROR(H357+I357,"")</f>
        <v>0</v>
      </c>
      <c r="K357" s="13" t="n">
        <v>0</v>
      </c>
    </row>
    <row r="358" customFormat="false" ht="15" hidden="false" customHeight="false" outlineLevel="0" collapsed="false">
      <c r="A358" s="10"/>
      <c r="B358" s="10"/>
      <c r="C358" s="10"/>
      <c r="D358" s="14" t="str">
        <f aca="false">IFERROR(IF(C358="","",INDEX(Products!$C$5:$C$504,MATCH(C358,Products!$A$5:$A$504,0))),"")</f>
        <v/>
      </c>
      <c r="E358" s="13" t="n">
        <v>1</v>
      </c>
      <c r="F358" s="11"/>
      <c r="G358" s="10" t="s">
        <v>114</v>
      </c>
      <c r="H358" s="9" t="n">
        <f aca="false">IFERROR(E358*F358,"")</f>
        <v>0</v>
      </c>
      <c r="I358" s="9" t="n">
        <f aca="false">IFERROR(H358*IFERROR(VLOOKUP(G358,VatRates,2,FALSE()),0),"")</f>
        <v>0</v>
      </c>
      <c r="J358" s="9" t="n">
        <f aca="false">IFERROR(H358+I358,"")</f>
        <v>0</v>
      </c>
      <c r="K358" s="13" t="n">
        <v>0</v>
      </c>
    </row>
    <row r="359" customFormat="false" ht="15" hidden="false" customHeight="false" outlineLevel="0" collapsed="false">
      <c r="A359" s="10"/>
      <c r="B359" s="10"/>
      <c r="C359" s="10"/>
      <c r="D359" s="14" t="str">
        <f aca="false">IFERROR(IF(C359="","",INDEX(Products!$C$5:$C$504,MATCH(C359,Products!$A$5:$A$504,0))),"")</f>
        <v/>
      </c>
      <c r="E359" s="13" t="n">
        <v>1</v>
      </c>
      <c r="F359" s="11"/>
      <c r="G359" s="10" t="s">
        <v>114</v>
      </c>
      <c r="H359" s="9" t="n">
        <f aca="false">IFERROR(E359*F359,"")</f>
        <v>0</v>
      </c>
      <c r="I359" s="9" t="n">
        <f aca="false">IFERROR(H359*IFERROR(VLOOKUP(G359,VatRates,2,FALSE()),0),"")</f>
        <v>0</v>
      </c>
      <c r="J359" s="9" t="n">
        <f aca="false">IFERROR(H359+I359,"")</f>
        <v>0</v>
      </c>
      <c r="K359" s="13" t="n">
        <v>0</v>
      </c>
    </row>
    <row r="360" customFormat="false" ht="15" hidden="false" customHeight="false" outlineLevel="0" collapsed="false">
      <c r="A360" s="10"/>
      <c r="B360" s="10"/>
      <c r="C360" s="10"/>
      <c r="D360" s="14" t="str">
        <f aca="false">IFERROR(IF(C360="","",INDEX(Products!$C$5:$C$504,MATCH(C360,Products!$A$5:$A$504,0))),"")</f>
        <v/>
      </c>
      <c r="E360" s="13" t="n">
        <v>1</v>
      </c>
      <c r="F360" s="11"/>
      <c r="G360" s="10" t="s">
        <v>114</v>
      </c>
      <c r="H360" s="9" t="n">
        <f aca="false">IFERROR(E360*F360,"")</f>
        <v>0</v>
      </c>
      <c r="I360" s="9" t="n">
        <f aca="false">IFERROR(H360*IFERROR(VLOOKUP(G360,VatRates,2,FALSE()),0),"")</f>
        <v>0</v>
      </c>
      <c r="J360" s="9" t="n">
        <f aca="false">IFERROR(H360+I360,"")</f>
        <v>0</v>
      </c>
      <c r="K360" s="13" t="n">
        <v>0</v>
      </c>
    </row>
    <row r="361" customFormat="false" ht="15" hidden="false" customHeight="false" outlineLevel="0" collapsed="false">
      <c r="A361" s="10"/>
      <c r="B361" s="10"/>
      <c r="C361" s="10"/>
      <c r="D361" s="14" t="str">
        <f aca="false">IFERROR(IF(C361="","",INDEX(Products!$C$5:$C$504,MATCH(C361,Products!$A$5:$A$504,0))),"")</f>
        <v/>
      </c>
      <c r="E361" s="13" t="n">
        <v>1</v>
      </c>
      <c r="F361" s="11"/>
      <c r="G361" s="10" t="s">
        <v>114</v>
      </c>
      <c r="H361" s="9" t="n">
        <f aca="false">IFERROR(E361*F361,"")</f>
        <v>0</v>
      </c>
      <c r="I361" s="9" t="n">
        <f aca="false">IFERROR(H361*IFERROR(VLOOKUP(G361,VatRates,2,FALSE()),0),"")</f>
        <v>0</v>
      </c>
      <c r="J361" s="9" t="n">
        <f aca="false">IFERROR(H361+I361,"")</f>
        <v>0</v>
      </c>
      <c r="K361" s="13" t="n">
        <v>0</v>
      </c>
    </row>
    <row r="362" customFormat="false" ht="15" hidden="false" customHeight="false" outlineLevel="0" collapsed="false">
      <c r="A362" s="10"/>
      <c r="B362" s="10"/>
      <c r="C362" s="10"/>
      <c r="D362" s="14" t="str">
        <f aca="false">IFERROR(IF(C362="","",INDEX(Products!$C$5:$C$504,MATCH(C362,Products!$A$5:$A$504,0))),"")</f>
        <v/>
      </c>
      <c r="E362" s="13" t="n">
        <v>1</v>
      </c>
      <c r="F362" s="11"/>
      <c r="G362" s="10" t="s">
        <v>114</v>
      </c>
      <c r="H362" s="9" t="n">
        <f aca="false">IFERROR(E362*F362,"")</f>
        <v>0</v>
      </c>
      <c r="I362" s="9" t="n">
        <f aca="false">IFERROR(H362*IFERROR(VLOOKUP(G362,VatRates,2,FALSE()),0),"")</f>
        <v>0</v>
      </c>
      <c r="J362" s="9" t="n">
        <f aca="false">IFERROR(H362+I362,"")</f>
        <v>0</v>
      </c>
      <c r="K362" s="13" t="n">
        <v>0</v>
      </c>
    </row>
    <row r="363" customFormat="false" ht="15" hidden="false" customHeight="false" outlineLevel="0" collapsed="false">
      <c r="A363" s="10"/>
      <c r="B363" s="10"/>
      <c r="C363" s="10"/>
      <c r="D363" s="14" t="str">
        <f aca="false">IFERROR(IF(C363="","",INDEX(Products!$C$5:$C$504,MATCH(C363,Products!$A$5:$A$504,0))),"")</f>
        <v/>
      </c>
      <c r="E363" s="13" t="n">
        <v>1</v>
      </c>
      <c r="F363" s="11"/>
      <c r="G363" s="10" t="s">
        <v>114</v>
      </c>
      <c r="H363" s="9" t="n">
        <f aca="false">IFERROR(E363*F363,"")</f>
        <v>0</v>
      </c>
      <c r="I363" s="9" t="n">
        <f aca="false">IFERROR(H363*IFERROR(VLOOKUP(G363,VatRates,2,FALSE()),0),"")</f>
        <v>0</v>
      </c>
      <c r="J363" s="9" t="n">
        <f aca="false">IFERROR(H363+I363,"")</f>
        <v>0</v>
      </c>
      <c r="K363" s="13" t="n">
        <v>0</v>
      </c>
    </row>
    <row r="364" customFormat="false" ht="15" hidden="false" customHeight="false" outlineLevel="0" collapsed="false">
      <c r="A364" s="10"/>
      <c r="B364" s="10"/>
      <c r="C364" s="10"/>
      <c r="D364" s="14" t="str">
        <f aca="false">IFERROR(IF(C364="","",INDEX(Products!$C$5:$C$504,MATCH(C364,Products!$A$5:$A$504,0))),"")</f>
        <v/>
      </c>
      <c r="E364" s="13" t="n">
        <v>1</v>
      </c>
      <c r="F364" s="11"/>
      <c r="G364" s="10" t="s">
        <v>114</v>
      </c>
      <c r="H364" s="9" t="n">
        <f aca="false">IFERROR(E364*F364,"")</f>
        <v>0</v>
      </c>
      <c r="I364" s="9" t="n">
        <f aca="false">IFERROR(H364*IFERROR(VLOOKUP(G364,VatRates,2,FALSE()),0),"")</f>
        <v>0</v>
      </c>
      <c r="J364" s="9" t="n">
        <f aca="false">IFERROR(H364+I364,"")</f>
        <v>0</v>
      </c>
      <c r="K364" s="13" t="n">
        <v>0</v>
      </c>
    </row>
    <row r="365" customFormat="false" ht="15" hidden="false" customHeight="false" outlineLevel="0" collapsed="false">
      <c r="A365" s="10"/>
      <c r="B365" s="10"/>
      <c r="C365" s="10"/>
      <c r="D365" s="14" t="str">
        <f aca="false">IFERROR(IF(C365="","",INDEX(Products!$C$5:$C$504,MATCH(C365,Products!$A$5:$A$504,0))),"")</f>
        <v/>
      </c>
      <c r="E365" s="13" t="n">
        <v>1</v>
      </c>
      <c r="F365" s="11"/>
      <c r="G365" s="10" t="s">
        <v>114</v>
      </c>
      <c r="H365" s="9" t="n">
        <f aca="false">IFERROR(E365*F365,"")</f>
        <v>0</v>
      </c>
      <c r="I365" s="9" t="n">
        <f aca="false">IFERROR(H365*IFERROR(VLOOKUP(G365,VatRates,2,FALSE()),0),"")</f>
        <v>0</v>
      </c>
      <c r="J365" s="9" t="n">
        <f aca="false">IFERROR(H365+I365,"")</f>
        <v>0</v>
      </c>
      <c r="K365" s="13" t="n">
        <v>0</v>
      </c>
    </row>
    <row r="366" customFormat="false" ht="15" hidden="false" customHeight="false" outlineLevel="0" collapsed="false">
      <c r="A366" s="10"/>
      <c r="B366" s="10"/>
      <c r="C366" s="10"/>
      <c r="D366" s="14" t="str">
        <f aca="false">IFERROR(IF(C366="","",INDEX(Products!$C$5:$C$504,MATCH(C366,Products!$A$5:$A$504,0))),"")</f>
        <v/>
      </c>
      <c r="E366" s="13" t="n">
        <v>1</v>
      </c>
      <c r="F366" s="11"/>
      <c r="G366" s="10" t="s">
        <v>114</v>
      </c>
      <c r="H366" s="9" t="n">
        <f aca="false">IFERROR(E366*F366,"")</f>
        <v>0</v>
      </c>
      <c r="I366" s="9" t="n">
        <f aca="false">IFERROR(H366*IFERROR(VLOOKUP(G366,VatRates,2,FALSE()),0),"")</f>
        <v>0</v>
      </c>
      <c r="J366" s="9" t="n">
        <f aca="false">IFERROR(H366+I366,"")</f>
        <v>0</v>
      </c>
      <c r="K366" s="13" t="n">
        <v>0</v>
      </c>
    </row>
    <row r="367" customFormat="false" ht="15" hidden="false" customHeight="false" outlineLevel="0" collapsed="false">
      <c r="A367" s="10"/>
      <c r="B367" s="10"/>
      <c r="C367" s="10"/>
      <c r="D367" s="14" t="str">
        <f aca="false">IFERROR(IF(C367="","",INDEX(Products!$C$5:$C$504,MATCH(C367,Products!$A$5:$A$504,0))),"")</f>
        <v/>
      </c>
      <c r="E367" s="13" t="n">
        <v>1</v>
      </c>
      <c r="F367" s="11"/>
      <c r="G367" s="10" t="s">
        <v>114</v>
      </c>
      <c r="H367" s="9" t="n">
        <f aca="false">IFERROR(E367*F367,"")</f>
        <v>0</v>
      </c>
      <c r="I367" s="9" t="n">
        <f aca="false">IFERROR(H367*IFERROR(VLOOKUP(G367,VatRates,2,FALSE()),0),"")</f>
        <v>0</v>
      </c>
      <c r="J367" s="9" t="n">
        <f aca="false">IFERROR(H367+I367,"")</f>
        <v>0</v>
      </c>
      <c r="K367" s="13" t="n">
        <v>0</v>
      </c>
    </row>
    <row r="368" customFormat="false" ht="15" hidden="false" customHeight="false" outlineLevel="0" collapsed="false">
      <c r="A368" s="10"/>
      <c r="B368" s="10"/>
      <c r="C368" s="10"/>
      <c r="D368" s="14" t="str">
        <f aca="false">IFERROR(IF(C368="","",INDEX(Products!$C$5:$C$504,MATCH(C368,Products!$A$5:$A$504,0))),"")</f>
        <v/>
      </c>
      <c r="E368" s="13" t="n">
        <v>1</v>
      </c>
      <c r="F368" s="11"/>
      <c r="G368" s="10" t="s">
        <v>114</v>
      </c>
      <c r="H368" s="9" t="n">
        <f aca="false">IFERROR(E368*F368,"")</f>
        <v>0</v>
      </c>
      <c r="I368" s="9" t="n">
        <f aca="false">IFERROR(H368*IFERROR(VLOOKUP(G368,VatRates,2,FALSE()),0),"")</f>
        <v>0</v>
      </c>
      <c r="J368" s="9" t="n">
        <f aca="false">IFERROR(H368+I368,"")</f>
        <v>0</v>
      </c>
      <c r="K368" s="13" t="n">
        <v>0</v>
      </c>
    </row>
    <row r="369" customFormat="false" ht="15" hidden="false" customHeight="false" outlineLevel="0" collapsed="false">
      <c r="A369" s="10"/>
      <c r="B369" s="10"/>
      <c r="C369" s="10"/>
      <c r="D369" s="14" t="str">
        <f aca="false">IFERROR(IF(C369="","",INDEX(Products!$C$5:$C$504,MATCH(C369,Products!$A$5:$A$504,0))),"")</f>
        <v/>
      </c>
      <c r="E369" s="13" t="n">
        <v>1</v>
      </c>
      <c r="F369" s="11"/>
      <c r="G369" s="10" t="s">
        <v>114</v>
      </c>
      <c r="H369" s="9" t="n">
        <f aca="false">IFERROR(E369*F369,"")</f>
        <v>0</v>
      </c>
      <c r="I369" s="9" t="n">
        <f aca="false">IFERROR(H369*IFERROR(VLOOKUP(G369,VatRates,2,FALSE()),0),"")</f>
        <v>0</v>
      </c>
      <c r="J369" s="9" t="n">
        <f aca="false">IFERROR(H369+I369,"")</f>
        <v>0</v>
      </c>
      <c r="K369" s="13" t="n">
        <v>0</v>
      </c>
    </row>
    <row r="370" customFormat="false" ht="15" hidden="false" customHeight="false" outlineLevel="0" collapsed="false">
      <c r="A370" s="10"/>
      <c r="B370" s="10"/>
      <c r="C370" s="10"/>
      <c r="D370" s="14" t="str">
        <f aca="false">IFERROR(IF(C370="","",INDEX(Products!$C$5:$C$504,MATCH(C370,Products!$A$5:$A$504,0))),"")</f>
        <v/>
      </c>
      <c r="E370" s="13" t="n">
        <v>1</v>
      </c>
      <c r="F370" s="11"/>
      <c r="G370" s="10" t="s">
        <v>114</v>
      </c>
      <c r="H370" s="9" t="n">
        <f aca="false">IFERROR(E370*F370,"")</f>
        <v>0</v>
      </c>
      <c r="I370" s="9" t="n">
        <f aca="false">IFERROR(H370*IFERROR(VLOOKUP(G370,VatRates,2,FALSE()),0),"")</f>
        <v>0</v>
      </c>
      <c r="J370" s="9" t="n">
        <f aca="false">IFERROR(H370+I370,"")</f>
        <v>0</v>
      </c>
      <c r="K370" s="13" t="n">
        <v>0</v>
      </c>
    </row>
    <row r="371" customFormat="false" ht="15" hidden="false" customHeight="false" outlineLevel="0" collapsed="false">
      <c r="A371" s="10"/>
      <c r="B371" s="10"/>
      <c r="C371" s="10"/>
      <c r="D371" s="14" t="str">
        <f aca="false">IFERROR(IF(C371="","",INDEX(Products!$C$5:$C$504,MATCH(C371,Products!$A$5:$A$504,0))),"")</f>
        <v/>
      </c>
      <c r="E371" s="13" t="n">
        <v>1</v>
      </c>
      <c r="F371" s="11"/>
      <c r="G371" s="10" t="s">
        <v>114</v>
      </c>
      <c r="H371" s="9" t="n">
        <f aca="false">IFERROR(E371*F371,"")</f>
        <v>0</v>
      </c>
      <c r="I371" s="9" t="n">
        <f aca="false">IFERROR(H371*IFERROR(VLOOKUP(G371,VatRates,2,FALSE()),0),"")</f>
        <v>0</v>
      </c>
      <c r="J371" s="9" t="n">
        <f aca="false">IFERROR(H371+I371,"")</f>
        <v>0</v>
      </c>
      <c r="K371" s="13" t="n">
        <v>0</v>
      </c>
    </row>
    <row r="372" customFormat="false" ht="15" hidden="false" customHeight="false" outlineLevel="0" collapsed="false">
      <c r="A372" s="10"/>
      <c r="B372" s="10"/>
      <c r="C372" s="10"/>
      <c r="D372" s="14" t="str">
        <f aca="false">IFERROR(IF(C372="","",INDEX(Products!$C$5:$C$504,MATCH(C372,Products!$A$5:$A$504,0))),"")</f>
        <v/>
      </c>
      <c r="E372" s="13" t="n">
        <v>1</v>
      </c>
      <c r="F372" s="11"/>
      <c r="G372" s="10" t="s">
        <v>114</v>
      </c>
      <c r="H372" s="9" t="n">
        <f aca="false">IFERROR(E372*F372,"")</f>
        <v>0</v>
      </c>
      <c r="I372" s="9" t="n">
        <f aca="false">IFERROR(H372*IFERROR(VLOOKUP(G372,VatRates,2,FALSE()),0),"")</f>
        <v>0</v>
      </c>
      <c r="J372" s="9" t="n">
        <f aca="false">IFERROR(H372+I372,"")</f>
        <v>0</v>
      </c>
      <c r="K372" s="13" t="n">
        <v>0</v>
      </c>
    </row>
    <row r="373" customFormat="false" ht="15" hidden="false" customHeight="false" outlineLevel="0" collapsed="false">
      <c r="A373" s="10"/>
      <c r="B373" s="10"/>
      <c r="C373" s="10"/>
      <c r="D373" s="14" t="str">
        <f aca="false">IFERROR(IF(C373="","",INDEX(Products!$C$5:$C$504,MATCH(C373,Products!$A$5:$A$504,0))),"")</f>
        <v/>
      </c>
      <c r="E373" s="13" t="n">
        <v>1</v>
      </c>
      <c r="F373" s="11"/>
      <c r="G373" s="10" t="s">
        <v>114</v>
      </c>
      <c r="H373" s="9" t="n">
        <f aca="false">IFERROR(E373*F373,"")</f>
        <v>0</v>
      </c>
      <c r="I373" s="9" t="n">
        <f aca="false">IFERROR(H373*IFERROR(VLOOKUP(G373,VatRates,2,FALSE()),0),"")</f>
        <v>0</v>
      </c>
      <c r="J373" s="9" t="n">
        <f aca="false">IFERROR(H373+I373,"")</f>
        <v>0</v>
      </c>
      <c r="K373" s="13" t="n">
        <v>0</v>
      </c>
    </row>
    <row r="374" customFormat="false" ht="15" hidden="false" customHeight="false" outlineLevel="0" collapsed="false">
      <c r="A374" s="10"/>
      <c r="B374" s="10"/>
      <c r="C374" s="10"/>
      <c r="D374" s="14" t="str">
        <f aca="false">IFERROR(IF(C374="","",INDEX(Products!$C$5:$C$504,MATCH(C374,Products!$A$5:$A$504,0))),"")</f>
        <v/>
      </c>
      <c r="E374" s="13" t="n">
        <v>1</v>
      </c>
      <c r="F374" s="11"/>
      <c r="G374" s="10" t="s">
        <v>114</v>
      </c>
      <c r="H374" s="9" t="n">
        <f aca="false">IFERROR(E374*F374,"")</f>
        <v>0</v>
      </c>
      <c r="I374" s="9" t="n">
        <f aca="false">IFERROR(H374*IFERROR(VLOOKUP(G374,VatRates,2,FALSE()),0),"")</f>
        <v>0</v>
      </c>
      <c r="J374" s="9" t="n">
        <f aca="false">IFERROR(H374+I374,"")</f>
        <v>0</v>
      </c>
      <c r="K374" s="13" t="n">
        <v>0</v>
      </c>
    </row>
    <row r="375" customFormat="false" ht="15" hidden="false" customHeight="false" outlineLevel="0" collapsed="false">
      <c r="A375" s="10"/>
      <c r="B375" s="10"/>
      <c r="C375" s="10"/>
      <c r="D375" s="14" t="str">
        <f aca="false">IFERROR(IF(C375="","",INDEX(Products!$C$5:$C$504,MATCH(C375,Products!$A$5:$A$504,0))),"")</f>
        <v/>
      </c>
      <c r="E375" s="13" t="n">
        <v>1</v>
      </c>
      <c r="F375" s="11"/>
      <c r="G375" s="10" t="s">
        <v>114</v>
      </c>
      <c r="H375" s="9" t="n">
        <f aca="false">IFERROR(E375*F375,"")</f>
        <v>0</v>
      </c>
      <c r="I375" s="9" t="n">
        <f aca="false">IFERROR(H375*IFERROR(VLOOKUP(G375,VatRates,2,FALSE()),0),"")</f>
        <v>0</v>
      </c>
      <c r="J375" s="9" t="n">
        <f aca="false">IFERROR(H375+I375,"")</f>
        <v>0</v>
      </c>
      <c r="K375" s="13" t="n">
        <v>0</v>
      </c>
    </row>
    <row r="376" customFormat="false" ht="15" hidden="false" customHeight="false" outlineLevel="0" collapsed="false">
      <c r="A376" s="10"/>
      <c r="B376" s="10"/>
      <c r="C376" s="10"/>
      <c r="D376" s="14" t="str">
        <f aca="false">IFERROR(IF(C376="","",INDEX(Products!$C$5:$C$504,MATCH(C376,Products!$A$5:$A$504,0))),"")</f>
        <v/>
      </c>
      <c r="E376" s="13" t="n">
        <v>1</v>
      </c>
      <c r="F376" s="11"/>
      <c r="G376" s="10" t="s">
        <v>114</v>
      </c>
      <c r="H376" s="9" t="n">
        <f aca="false">IFERROR(E376*F376,"")</f>
        <v>0</v>
      </c>
      <c r="I376" s="9" t="n">
        <f aca="false">IFERROR(H376*IFERROR(VLOOKUP(G376,VatRates,2,FALSE()),0),"")</f>
        <v>0</v>
      </c>
      <c r="J376" s="9" t="n">
        <f aca="false">IFERROR(H376+I376,"")</f>
        <v>0</v>
      </c>
      <c r="K376" s="13" t="n">
        <v>0</v>
      </c>
    </row>
    <row r="377" customFormat="false" ht="15" hidden="false" customHeight="false" outlineLevel="0" collapsed="false">
      <c r="A377" s="10"/>
      <c r="B377" s="10"/>
      <c r="C377" s="10"/>
      <c r="D377" s="14" t="str">
        <f aca="false">IFERROR(IF(C377="","",INDEX(Products!$C$5:$C$504,MATCH(C377,Products!$A$5:$A$504,0))),"")</f>
        <v/>
      </c>
      <c r="E377" s="13" t="n">
        <v>1</v>
      </c>
      <c r="F377" s="11"/>
      <c r="G377" s="10" t="s">
        <v>114</v>
      </c>
      <c r="H377" s="9" t="n">
        <f aca="false">IFERROR(E377*F377,"")</f>
        <v>0</v>
      </c>
      <c r="I377" s="9" t="n">
        <f aca="false">IFERROR(H377*IFERROR(VLOOKUP(G377,VatRates,2,FALSE()),0),"")</f>
        <v>0</v>
      </c>
      <c r="J377" s="9" t="n">
        <f aca="false">IFERROR(H377+I377,"")</f>
        <v>0</v>
      </c>
      <c r="K377" s="13" t="n">
        <v>0</v>
      </c>
    </row>
    <row r="378" customFormat="false" ht="15" hidden="false" customHeight="false" outlineLevel="0" collapsed="false">
      <c r="A378" s="10"/>
      <c r="B378" s="10"/>
      <c r="C378" s="10"/>
      <c r="D378" s="14" t="str">
        <f aca="false">IFERROR(IF(C378="","",INDEX(Products!$C$5:$C$504,MATCH(C378,Products!$A$5:$A$504,0))),"")</f>
        <v/>
      </c>
      <c r="E378" s="13" t="n">
        <v>1</v>
      </c>
      <c r="F378" s="11"/>
      <c r="G378" s="10" t="s">
        <v>114</v>
      </c>
      <c r="H378" s="9" t="n">
        <f aca="false">IFERROR(E378*F378,"")</f>
        <v>0</v>
      </c>
      <c r="I378" s="9" t="n">
        <f aca="false">IFERROR(H378*IFERROR(VLOOKUP(G378,VatRates,2,FALSE()),0),"")</f>
        <v>0</v>
      </c>
      <c r="J378" s="9" t="n">
        <f aca="false">IFERROR(H378+I378,"")</f>
        <v>0</v>
      </c>
      <c r="K378" s="13" t="n">
        <v>0</v>
      </c>
    </row>
    <row r="379" customFormat="false" ht="15" hidden="false" customHeight="false" outlineLevel="0" collapsed="false">
      <c r="A379" s="10"/>
      <c r="B379" s="10"/>
      <c r="C379" s="10"/>
      <c r="D379" s="14" t="str">
        <f aca="false">IFERROR(IF(C379="","",INDEX(Products!$C$5:$C$504,MATCH(C379,Products!$A$5:$A$504,0))),"")</f>
        <v/>
      </c>
      <c r="E379" s="13" t="n">
        <v>1</v>
      </c>
      <c r="F379" s="11"/>
      <c r="G379" s="10" t="s">
        <v>114</v>
      </c>
      <c r="H379" s="9" t="n">
        <f aca="false">IFERROR(E379*F379,"")</f>
        <v>0</v>
      </c>
      <c r="I379" s="9" t="n">
        <f aca="false">IFERROR(H379*IFERROR(VLOOKUP(G379,VatRates,2,FALSE()),0),"")</f>
        <v>0</v>
      </c>
      <c r="J379" s="9" t="n">
        <f aca="false">IFERROR(H379+I379,"")</f>
        <v>0</v>
      </c>
      <c r="K379" s="13" t="n">
        <v>0</v>
      </c>
    </row>
    <row r="380" customFormat="false" ht="15" hidden="false" customHeight="false" outlineLevel="0" collapsed="false">
      <c r="A380" s="10"/>
      <c r="B380" s="10"/>
      <c r="C380" s="10"/>
      <c r="D380" s="14" t="str">
        <f aca="false">IFERROR(IF(C380="","",INDEX(Products!$C$5:$C$504,MATCH(C380,Products!$A$5:$A$504,0))),"")</f>
        <v/>
      </c>
      <c r="E380" s="13" t="n">
        <v>1</v>
      </c>
      <c r="F380" s="11"/>
      <c r="G380" s="10" t="s">
        <v>114</v>
      </c>
      <c r="H380" s="9" t="n">
        <f aca="false">IFERROR(E380*F380,"")</f>
        <v>0</v>
      </c>
      <c r="I380" s="9" t="n">
        <f aca="false">IFERROR(H380*IFERROR(VLOOKUP(G380,VatRates,2,FALSE()),0),"")</f>
        <v>0</v>
      </c>
      <c r="J380" s="9" t="n">
        <f aca="false">IFERROR(H380+I380,"")</f>
        <v>0</v>
      </c>
      <c r="K380" s="13" t="n">
        <v>0</v>
      </c>
    </row>
    <row r="381" customFormat="false" ht="15" hidden="false" customHeight="false" outlineLevel="0" collapsed="false">
      <c r="A381" s="10"/>
      <c r="B381" s="10"/>
      <c r="C381" s="10"/>
      <c r="D381" s="14" t="str">
        <f aca="false">IFERROR(IF(C381="","",INDEX(Products!$C$5:$C$504,MATCH(C381,Products!$A$5:$A$504,0))),"")</f>
        <v/>
      </c>
      <c r="E381" s="13" t="n">
        <v>1</v>
      </c>
      <c r="F381" s="11"/>
      <c r="G381" s="10" t="s">
        <v>114</v>
      </c>
      <c r="H381" s="9" t="n">
        <f aca="false">IFERROR(E381*F381,"")</f>
        <v>0</v>
      </c>
      <c r="I381" s="9" t="n">
        <f aca="false">IFERROR(H381*IFERROR(VLOOKUP(G381,VatRates,2,FALSE()),0),"")</f>
        <v>0</v>
      </c>
      <c r="J381" s="9" t="n">
        <f aca="false">IFERROR(H381+I381,"")</f>
        <v>0</v>
      </c>
      <c r="K381" s="13" t="n">
        <v>0</v>
      </c>
    </row>
    <row r="382" customFormat="false" ht="15" hidden="false" customHeight="false" outlineLevel="0" collapsed="false">
      <c r="A382" s="10"/>
      <c r="B382" s="10"/>
      <c r="C382" s="10"/>
      <c r="D382" s="14" t="str">
        <f aca="false">IFERROR(IF(C382="","",INDEX(Products!$C$5:$C$504,MATCH(C382,Products!$A$5:$A$504,0))),"")</f>
        <v/>
      </c>
      <c r="E382" s="13" t="n">
        <v>1</v>
      </c>
      <c r="F382" s="11"/>
      <c r="G382" s="10" t="s">
        <v>114</v>
      </c>
      <c r="H382" s="9" t="n">
        <f aca="false">IFERROR(E382*F382,"")</f>
        <v>0</v>
      </c>
      <c r="I382" s="9" t="n">
        <f aca="false">IFERROR(H382*IFERROR(VLOOKUP(G382,VatRates,2,FALSE()),0),"")</f>
        <v>0</v>
      </c>
      <c r="J382" s="9" t="n">
        <f aca="false">IFERROR(H382+I382,"")</f>
        <v>0</v>
      </c>
      <c r="K382" s="13" t="n">
        <v>0</v>
      </c>
    </row>
    <row r="383" customFormat="false" ht="15" hidden="false" customHeight="false" outlineLevel="0" collapsed="false">
      <c r="A383" s="10"/>
      <c r="B383" s="10"/>
      <c r="C383" s="10"/>
      <c r="D383" s="14" t="str">
        <f aca="false">IFERROR(IF(C383="","",INDEX(Products!$C$5:$C$504,MATCH(C383,Products!$A$5:$A$504,0))),"")</f>
        <v/>
      </c>
      <c r="E383" s="13" t="n">
        <v>1</v>
      </c>
      <c r="F383" s="11"/>
      <c r="G383" s="10" t="s">
        <v>114</v>
      </c>
      <c r="H383" s="9" t="n">
        <f aca="false">IFERROR(E383*F383,"")</f>
        <v>0</v>
      </c>
      <c r="I383" s="9" t="n">
        <f aca="false">IFERROR(H383*IFERROR(VLOOKUP(G383,VatRates,2,FALSE()),0),"")</f>
        <v>0</v>
      </c>
      <c r="J383" s="9" t="n">
        <f aca="false">IFERROR(H383+I383,"")</f>
        <v>0</v>
      </c>
      <c r="K383" s="13" t="n">
        <v>0</v>
      </c>
    </row>
    <row r="384" customFormat="false" ht="15" hidden="false" customHeight="false" outlineLevel="0" collapsed="false">
      <c r="A384" s="10"/>
      <c r="B384" s="10"/>
      <c r="C384" s="10"/>
      <c r="D384" s="14" t="str">
        <f aca="false">IFERROR(IF(C384="","",INDEX(Products!$C$5:$C$504,MATCH(C384,Products!$A$5:$A$504,0))),"")</f>
        <v/>
      </c>
      <c r="E384" s="13" t="n">
        <v>1</v>
      </c>
      <c r="F384" s="11"/>
      <c r="G384" s="10" t="s">
        <v>114</v>
      </c>
      <c r="H384" s="9" t="n">
        <f aca="false">IFERROR(E384*F384,"")</f>
        <v>0</v>
      </c>
      <c r="I384" s="9" t="n">
        <f aca="false">IFERROR(H384*IFERROR(VLOOKUP(G384,VatRates,2,FALSE()),0),"")</f>
        <v>0</v>
      </c>
      <c r="J384" s="9" t="n">
        <f aca="false">IFERROR(H384+I384,"")</f>
        <v>0</v>
      </c>
      <c r="K384" s="13" t="n">
        <v>0</v>
      </c>
    </row>
    <row r="385" customFormat="false" ht="15" hidden="false" customHeight="false" outlineLevel="0" collapsed="false">
      <c r="A385" s="10"/>
      <c r="B385" s="10"/>
      <c r="C385" s="10"/>
      <c r="D385" s="14" t="str">
        <f aca="false">IFERROR(IF(C385="","",INDEX(Products!$C$5:$C$504,MATCH(C385,Products!$A$5:$A$504,0))),"")</f>
        <v/>
      </c>
      <c r="E385" s="13" t="n">
        <v>1</v>
      </c>
      <c r="F385" s="11"/>
      <c r="G385" s="10" t="s">
        <v>114</v>
      </c>
      <c r="H385" s="9" t="n">
        <f aca="false">IFERROR(E385*F385,"")</f>
        <v>0</v>
      </c>
      <c r="I385" s="9" t="n">
        <f aca="false">IFERROR(H385*IFERROR(VLOOKUP(G385,VatRates,2,FALSE()),0),"")</f>
        <v>0</v>
      </c>
      <c r="J385" s="9" t="n">
        <f aca="false">IFERROR(H385+I385,"")</f>
        <v>0</v>
      </c>
      <c r="K385" s="13" t="n">
        <v>0</v>
      </c>
    </row>
    <row r="386" customFormat="false" ht="15" hidden="false" customHeight="false" outlineLevel="0" collapsed="false">
      <c r="A386" s="10"/>
      <c r="B386" s="10"/>
      <c r="C386" s="10"/>
      <c r="D386" s="14" t="str">
        <f aca="false">IFERROR(IF(C386="","",INDEX(Products!$C$5:$C$504,MATCH(C386,Products!$A$5:$A$504,0))),"")</f>
        <v/>
      </c>
      <c r="E386" s="13" t="n">
        <v>1</v>
      </c>
      <c r="F386" s="11"/>
      <c r="G386" s="10" t="s">
        <v>114</v>
      </c>
      <c r="H386" s="9" t="n">
        <f aca="false">IFERROR(E386*F386,"")</f>
        <v>0</v>
      </c>
      <c r="I386" s="9" t="n">
        <f aca="false">IFERROR(H386*IFERROR(VLOOKUP(G386,VatRates,2,FALSE()),0),"")</f>
        <v>0</v>
      </c>
      <c r="J386" s="9" t="n">
        <f aca="false">IFERROR(H386+I386,"")</f>
        <v>0</v>
      </c>
      <c r="K386" s="13" t="n">
        <v>0</v>
      </c>
    </row>
    <row r="387" customFormat="false" ht="15" hidden="false" customHeight="false" outlineLevel="0" collapsed="false">
      <c r="A387" s="10"/>
      <c r="B387" s="10"/>
      <c r="C387" s="10"/>
      <c r="D387" s="14" t="str">
        <f aca="false">IFERROR(IF(C387="","",INDEX(Products!$C$5:$C$504,MATCH(C387,Products!$A$5:$A$504,0))),"")</f>
        <v/>
      </c>
      <c r="E387" s="13" t="n">
        <v>1</v>
      </c>
      <c r="F387" s="11"/>
      <c r="G387" s="10" t="s">
        <v>114</v>
      </c>
      <c r="H387" s="9" t="n">
        <f aca="false">IFERROR(E387*F387,"")</f>
        <v>0</v>
      </c>
      <c r="I387" s="9" t="n">
        <f aca="false">IFERROR(H387*IFERROR(VLOOKUP(G387,VatRates,2,FALSE()),0),"")</f>
        <v>0</v>
      </c>
      <c r="J387" s="9" t="n">
        <f aca="false">IFERROR(H387+I387,"")</f>
        <v>0</v>
      </c>
      <c r="K387" s="13" t="n">
        <v>0</v>
      </c>
    </row>
    <row r="388" customFormat="false" ht="15" hidden="false" customHeight="false" outlineLevel="0" collapsed="false">
      <c r="A388" s="10"/>
      <c r="B388" s="10"/>
      <c r="C388" s="10"/>
      <c r="D388" s="14" t="str">
        <f aca="false">IFERROR(IF(C388="","",INDEX(Products!$C$5:$C$504,MATCH(C388,Products!$A$5:$A$504,0))),"")</f>
        <v/>
      </c>
      <c r="E388" s="13" t="n">
        <v>1</v>
      </c>
      <c r="F388" s="11"/>
      <c r="G388" s="10" t="s">
        <v>114</v>
      </c>
      <c r="H388" s="9" t="n">
        <f aca="false">IFERROR(E388*F388,"")</f>
        <v>0</v>
      </c>
      <c r="I388" s="9" t="n">
        <f aca="false">IFERROR(H388*IFERROR(VLOOKUP(G388,VatRates,2,FALSE()),0),"")</f>
        <v>0</v>
      </c>
      <c r="J388" s="9" t="n">
        <f aca="false">IFERROR(H388+I388,"")</f>
        <v>0</v>
      </c>
      <c r="K388" s="13" t="n">
        <v>0</v>
      </c>
    </row>
    <row r="389" customFormat="false" ht="15" hidden="false" customHeight="false" outlineLevel="0" collapsed="false">
      <c r="A389" s="10"/>
      <c r="B389" s="10"/>
      <c r="C389" s="10"/>
      <c r="D389" s="14" t="str">
        <f aca="false">IFERROR(IF(C389="","",INDEX(Products!$C$5:$C$504,MATCH(C389,Products!$A$5:$A$504,0))),"")</f>
        <v/>
      </c>
      <c r="E389" s="13" t="n">
        <v>1</v>
      </c>
      <c r="F389" s="11"/>
      <c r="G389" s="10" t="s">
        <v>114</v>
      </c>
      <c r="H389" s="9" t="n">
        <f aca="false">IFERROR(E389*F389,"")</f>
        <v>0</v>
      </c>
      <c r="I389" s="9" t="n">
        <f aca="false">IFERROR(H389*IFERROR(VLOOKUP(G389,VatRates,2,FALSE()),0),"")</f>
        <v>0</v>
      </c>
      <c r="J389" s="9" t="n">
        <f aca="false">IFERROR(H389+I389,"")</f>
        <v>0</v>
      </c>
      <c r="K389" s="13" t="n">
        <v>0</v>
      </c>
    </row>
    <row r="390" customFormat="false" ht="15" hidden="false" customHeight="false" outlineLevel="0" collapsed="false">
      <c r="A390" s="10"/>
      <c r="B390" s="10"/>
      <c r="C390" s="10"/>
      <c r="D390" s="14" t="str">
        <f aca="false">IFERROR(IF(C390="","",INDEX(Products!$C$5:$C$504,MATCH(C390,Products!$A$5:$A$504,0))),"")</f>
        <v/>
      </c>
      <c r="E390" s="13" t="n">
        <v>1</v>
      </c>
      <c r="F390" s="11"/>
      <c r="G390" s="10" t="s">
        <v>114</v>
      </c>
      <c r="H390" s="9" t="n">
        <f aca="false">IFERROR(E390*F390,"")</f>
        <v>0</v>
      </c>
      <c r="I390" s="9" t="n">
        <f aca="false">IFERROR(H390*IFERROR(VLOOKUP(G390,VatRates,2,FALSE()),0),"")</f>
        <v>0</v>
      </c>
      <c r="J390" s="9" t="n">
        <f aca="false">IFERROR(H390+I390,"")</f>
        <v>0</v>
      </c>
      <c r="K390" s="13" t="n">
        <v>0</v>
      </c>
    </row>
    <row r="391" customFormat="false" ht="15" hidden="false" customHeight="false" outlineLevel="0" collapsed="false">
      <c r="A391" s="10"/>
      <c r="B391" s="10"/>
      <c r="C391" s="10"/>
      <c r="D391" s="14" t="str">
        <f aca="false">IFERROR(IF(C391="","",INDEX(Products!$C$5:$C$504,MATCH(C391,Products!$A$5:$A$504,0))),"")</f>
        <v/>
      </c>
      <c r="E391" s="13" t="n">
        <v>1</v>
      </c>
      <c r="F391" s="11"/>
      <c r="G391" s="10" t="s">
        <v>114</v>
      </c>
      <c r="H391" s="9" t="n">
        <f aca="false">IFERROR(E391*F391,"")</f>
        <v>0</v>
      </c>
      <c r="I391" s="9" t="n">
        <f aca="false">IFERROR(H391*IFERROR(VLOOKUP(G391,VatRates,2,FALSE()),0),"")</f>
        <v>0</v>
      </c>
      <c r="J391" s="9" t="n">
        <f aca="false">IFERROR(H391+I391,"")</f>
        <v>0</v>
      </c>
      <c r="K391" s="13" t="n">
        <v>0</v>
      </c>
    </row>
    <row r="392" customFormat="false" ht="15" hidden="false" customHeight="false" outlineLevel="0" collapsed="false">
      <c r="A392" s="10"/>
      <c r="B392" s="10"/>
      <c r="C392" s="10"/>
      <c r="D392" s="14" t="str">
        <f aca="false">IFERROR(IF(C392="","",INDEX(Products!$C$5:$C$504,MATCH(C392,Products!$A$5:$A$504,0))),"")</f>
        <v/>
      </c>
      <c r="E392" s="13" t="n">
        <v>1</v>
      </c>
      <c r="F392" s="11"/>
      <c r="G392" s="10" t="s">
        <v>114</v>
      </c>
      <c r="H392" s="9" t="n">
        <f aca="false">IFERROR(E392*F392,"")</f>
        <v>0</v>
      </c>
      <c r="I392" s="9" t="n">
        <f aca="false">IFERROR(H392*IFERROR(VLOOKUP(G392,VatRates,2,FALSE()),0),"")</f>
        <v>0</v>
      </c>
      <c r="J392" s="9" t="n">
        <f aca="false">IFERROR(H392+I392,"")</f>
        <v>0</v>
      </c>
      <c r="K392" s="13" t="n">
        <v>0</v>
      </c>
    </row>
    <row r="393" customFormat="false" ht="15" hidden="false" customHeight="false" outlineLevel="0" collapsed="false">
      <c r="A393" s="10"/>
      <c r="B393" s="10"/>
      <c r="C393" s="10"/>
      <c r="D393" s="14" t="str">
        <f aca="false">IFERROR(IF(C393="","",INDEX(Products!$C$5:$C$504,MATCH(C393,Products!$A$5:$A$504,0))),"")</f>
        <v/>
      </c>
      <c r="E393" s="13" t="n">
        <v>1</v>
      </c>
      <c r="F393" s="11"/>
      <c r="G393" s="10" t="s">
        <v>114</v>
      </c>
      <c r="H393" s="9" t="n">
        <f aca="false">IFERROR(E393*F393,"")</f>
        <v>0</v>
      </c>
      <c r="I393" s="9" t="n">
        <f aca="false">IFERROR(H393*IFERROR(VLOOKUP(G393,VatRates,2,FALSE()),0),"")</f>
        <v>0</v>
      </c>
      <c r="J393" s="9" t="n">
        <f aca="false">IFERROR(H393+I393,"")</f>
        <v>0</v>
      </c>
      <c r="K393" s="13" t="n">
        <v>0</v>
      </c>
    </row>
    <row r="394" customFormat="false" ht="15" hidden="false" customHeight="false" outlineLevel="0" collapsed="false">
      <c r="A394" s="10"/>
      <c r="B394" s="10"/>
      <c r="C394" s="10"/>
      <c r="D394" s="14" t="str">
        <f aca="false">IFERROR(IF(C394="","",INDEX(Products!$C$5:$C$504,MATCH(C394,Products!$A$5:$A$504,0))),"")</f>
        <v/>
      </c>
      <c r="E394" s="13" t="n">
        <v>1</v>
      </c>
      <c r="F394" s="11"/>
      <c r="G394" s="10" t="s">
        <v>114</v>
      </c>
      <c r="H394" s="9" t="n">
        <f aca="false">IFERROR(E394*F394,"")</f>
        <v>0</v>
      </c>
      <c r="I394" s="9" t="n">
        <f aca="false">IFERROR(H394*IFERROR(VLOOKUP(G394,VatRates,2,FALSE()),0),"")</f>
        <v>0</v>
      </c>
      <c r="J394" s="9" t="n">
        <f aca="false">IFERROR(H394+I394,"")</f>
        <v>0</v>
      </c>
      <c r="K394" s="13" t="n">
        <v>0</v>
      </c>
    </row>
    <row r="395" customFormat="false" ht="15" hidden="false" customHeight="false" outlineLevel="0" collapsed="false">
      <c r="A395" s="10"/>
      <c r="B395" s="10"/>
      <c r="C395" s="10"/>
      <c r="D395" s="14" t="str">
        <f aca="false">IFERROR(IF(C395="","",INDEX(Products!$C$5:$C$504,MATCH(C395,Products!$A$5:$A$504,0))),"")</f>
        <v/>
      </c>
      <c r="E395" s="13" t="n">
        <v>1</v>
      </c>
      <c r="F395" s="11"/>
      <c r="G395" s="10" t="s">
        <v>114</v>
      </c>
      <c r="H395" s="9" t="n">
        <f aca="false">IFERROR(E395*F395,"")</f>
        <v>0</v>
      </c>
      <c r="I395" s="9" t="n">
        <f aca="false">IFERROR(H395*IFERROR(VLOOKUP(G395,VatRates,2,FALSE()),0),"")</f>
        <v>0</v>
      </c>
      <c r="J395" s="9" t="n">
        <f aca="false">IFERROR(H395+I395,"")</f>
        <v>0</v>
      </c>
      <c r="K395" s="13" t="n">
        <v>0</v>
      </c>
    </row>
    <row r="396" customFormat="false" ht="15" hidden="false" customHeight="false" outlineLevel="0" collapsed="false">
      <c r="A396" s="10"/>
      <c r="B396" s="10"/>
      <c r="C396" s="10"/>
      <c r="D396" s="14" t="str">
        <f aca="false">IFERROR(IF(C396="","",INDEX(Products!$C$5:$C$504,MATCH(C396,Products!$A$5:$A$504,0))),"")</f>
        <v/>
      </c>
      <c r="E396" s="13" t="n">
        <v>1</v>
      </c>
      <c r="F396" s="11"/>
      <c r="G396" s="10" t="s">
        <v>114</v>
      </c>
      <c r="H396" s="9" t="n">
        <f aca="false">IFERROR(E396*F396,"")</f>
        <v>0</v>
      </c>
      <c r="I396" s="9" t="n">
        <f aca="false">IFERROR(H396*IFERROR(VLOOKUP(G396,VatRates,2,FALSE()),0),"")</f>
        <v>0</v>
      </c>
      <c r="J396" s="9" t="n">
        <f aca="false">IFERROR(H396+I396,"")</f>
        <v>0</v>
      </c>
      <c r="K396" s="13" t="n">
        <v>0</v>
      </c>
    </row>
    <row r="397" customFormat="false" ht="15" hidden="false" customHeight="false" outlineLevel="0" collapsed="false">
      <c r="A397" s="10"/>
      <c r="B397" s="10"/>
      <c r="C397" s="10"/>
      <c r="D397" s="14" t="str">
        <f aca="false">IFERROR(IF(C397="","",INDEX(Products!$C$5:$C$504,MATCH(C397,Products!$A$5:$A$504,0))),"")</f>
        <v/>
      </c>
      <c r="E397" s="13" t="n">
        <v>1</v>
      </c>
      <c r="F397" s="11"/>
      <c r="G397" s="10" t="s">
        <v>114</v>
      </c>
      <c r="H397" s="9" t="n">
        <f aca="false">IFERROR(E397*F397,"")</f>
        <v>0</v>
      </c>
      <c r="I397" s="9" t="n">
        <f aca="false">IFERROR(H397*IFERROR(VLOOKUP(G397,VatRates,2,FALSE()),0),"")</f>
        <v>0</v>
      </c>
      <c r="J397" s="9" t="n">
        <f aca="false">IFERROR(H397+I397,"")</f>
        <v>0</v>
      </c>
      <c r="K397" s="13" t="n">
        <v>0</v>
      </c>
    </row>
    <row r="398" customFormat="false" ht="15" hidden="false" customHeight="false" outlineLevel="0" collapsed="false">
      <c r="A398" s="10"/>
      <c r="B398" s="10"/>
      <c r="C398" s="10"/>
      <c r="D398" s="14" t="str">
        <f aca="false">IFERROR(IF(C398="","",INDEX(Products!$C$5:$C$504,MATCH(C398,Products!$A$5:$A$504,0))),"")</f>
        <v/>
      </c>
      <c r="E398" s="13" t="n">
        <v>1</v>
      </c>
      <c r="F398" s="11"/>
      <c r="G398" s="10" t="s">
        <v>114</v>
      </c>
      <c r="H398" s="9" t="n">
        <f aca="false">IFERROR(E398*F398,"")</f>
        <v>0</v>
      </c>
      <c r="I398" s="9" t="n">
        <f aca="false">IFERROR(H398*IFERROR(VLOOKUP(G398,VatRates,2,FALSE()),0),"")</f>
        <v>0</v>
      </c>
      <c r="J398" s="9" t="n">
        <f aca="false">IFERROR(H398+I398,"")</f>
        <v>0</v>
      </c>
      <c r="K398" s="13" t="n">
        <v>0</v>
      </c>
    </row>
    <row r="399" customFormat="false" ht="15" hidden="false" customHeight="false" outlineLevel="0" collapsed="false">
      <c r="A399" s="10"/>
      <c r="B399" s="10"/>
      <c r="C399" s="10"/>
      <c r="D399" s="14" t="str">
        <f aca="false">IFERROR(IF(C399="","",INDEX(Products!$C$5:$C$504,MATCH(C399,Products!$A$5:$A$504,0))),"")</f>
        <v/>
      </c>
      <c r="E399" s="13" t="n">
        <v>1</v>
      </c>
      <c r="F399" s="11"/>
      <c r="G399" s="10" t="s">
        <v>114</v>
      </c>
      <c r="H399" s="9" t="n">
        <f aca="false">IFERROR(E399*F399,"")</f>
        <v>0</v>
      </c>
      <c r="I399" s="9" t="n">
        <f aca="false">IFERROR(H399*IFERROR(VLOOKUP(G399,VatRates,2,FALSE()),0),"")</f>
        <v>0</v>
      </c>
      <c r="J399" s="9" t="n">
        <f aca="false">IFERROR(H399+I399,"")</f>
        <v>0</v>
      </c>
      <c r="K399" s="13" t="n">
        <v>0</v>
      </c>
    </row>
    <row r="400" customFormat="false" ht="15" hidden="false" customHeight="false" outlineLevel="0" collapsed="false">
      <c r="A400" s="10"/>
      <c r="B400" s="10"/>
      <c r="C400" s="10"/>
      <c r="D400" s="14" t="str">
        <f aca="false">IFERROR(IF(C400="","",INDEX(Products!$C$5:$C$504,MATCH(C400,Products!$A$5:$A$504,0))),"")</f>
        <v/>
      </c>
      <c r="E400" s="13" t="n">
        <v>1</v>
      </c>
      <c r="F400" s="11"/>
      <c r="G400" s="10" t="s">
        <v>114</v>
      </c>
      <c r="H400" s="9" t="n">
        <f aca="false">IFERROR(E400*F400,"")</f>
        <v>0</v>
      </c>
      <c r="I400" s="9" t="n">
        <f aca="false">IFERROR(H400*IFERROR(VLOOKUP(G400,VatRates,2,FALSE()),0),"")</f>
        <v>0</v>
      </c>
      <c r="J400" s="9" t="n">
        <f aca="false">IFERROR(H400+I400,"")</f>
        <v>0</v>
      </c>
      <c r="K400" s="13" t="n">
        <v>0</v>
      </c>
    </row>
    <row r="401" customFormat="false" ht="15" hidden="false" customHeight="false" outlineLevel="0" collapsed="false">
      <c r="A401" s="10"/>
      <c r="B401" s="10"/>
      <c r="C401" s="10"/>
      <c r="D401" s="14" t="str">
        <f aca="false">IFERROR(IF(C401="","",INDEX(Products!$C$5:$C$504,MATCH(C401,Products!$A$5:$A$504,0))),"")</f>
        <v/>
      </c>
      <c r="E401" s="13" t="n">
        <v>1</v>
      </c>
      <c r="F401" s="11"/>
      <c r="G401" s="10" t="s">
        <v>114</v>
      </c>
      <c r="H401" s="9" t="n">
        <f aca="false">IFERROR(E401*F401,"")</f>
        <v>0</v>
      </c>
      <c r="I401" s="9" t="n">
        <f aca="false">IFERROR(H401*IFERROR(VLOOKUP(G401,VatRates,2,FALSE()),0),"")</f>
        <v>0</v>
      </c>
      <c r="J401" s="9" t="n">
        <f aca="false">IFERROR(H401+I401,"")</f>
        <v>0</v>
      </c>
      <c r="K401" s="13" t="n">
        <v>0</v>
      </c>
    </row>
    <row r="402" customFormat="false" ht="15" hidden="false" customHeight="false" outlineLevel="0" collapsed="false">
      <c r="A402" s="10"/>
      <c r="B402" s="10"/>
      <c r="C402" s="10"/>
      <c r="D402" s="14" t="str">
        <f aca="false">IFERROR(IF(C402="","",INDEX(Products!$C$5:$C$504,MATCH(C402,Products!$A$5:$A$504,0))),"")</f>
        <v/>
      </c>
      <c r="E402" s="13" t="n">
        <v>1</v>
      </c>
      <c r="F402" s="11"/>
      <c r="G402" s="10" t="s">
        <v>114</v>
      </c>
      <c r="H402" s="9" t="n">
        <f aca="false">IFERROR(E402*F402,"")</f>
        <v>0</v>
      </c>
      <c r="I402" s="9" t="n">
        <f aca="false">IFERROR(H402*IFERROR(VLOOKUP(G402,VatRates,2,FALSE()),0),"")</f>
        <v>0</v>
      </c>
      <c r="J402" s="9" t="n">
        <f aca="false">IFERROR(H402+I402,"")</f>
        <v>0</v>
      </c>
      <c r="K402" s="13" t="n">
        <v>0</v>
      </c>
    </row>
    <row r="403" customFormat="false" ht="15" hidden="false" customHeight="false" outlineLevel="0" collapsed="false">
      <c r="A403" s="10"/>
      <c r="B403" s="10"/>
      <c r="C403" s="10"/>
      <c r="D403" s="14" t="str">
        <f aca="false">IFERROR(IF(C403="","",INDEX(Products!$C$5:$C$504,MATCH(C403,Products!$A$5:$A$504,0))),"")</f>
        <v/>
      </c>
      <c r="E403" s="13" t="n">
        <v>1</v>
      </c>
      <c r="F403" s="11"/>
      <c r="G403" s="10" t="s">
        <v>114</v>
      </c>
      <c r="H403" s="9" t="n">
        <f aca="false">IFERROR(E403*F403,"")</f>
        <v>0</v>
      </c>
      <c r="I403" s="9" t="n">
        <f aca="false">IFERROR(H403*IFERROR(VLOOKUP(G403,VatRates,2,FALSE()),0),"")</f>
        <v>0</v>
      </c>
      <c r="J403" s="9" t="n">
        <f aca="false">IFERROR(H403+I403,"")</f>
        <v>0</v>
      </c>
      <c r="K403" s="13" t="n">
        <v>0</v>
      </c>
    </row>
    <row r="404" customFormat="false" ht="15" hidden="false" customHeight="false" outlineLevel="0" collapsed="false">
      <c r="A404" s="10"/>
      <c r="B404" s="10"/>
      <c r="C404" s="10"/>
      <c r="D404" s="14" t="str">
        <f aca="false">IFERROR(IF(C404="","",INDEX(Products!$C$5:$C$504,MATCH(C404,Products!$A$5:$A$504,0))),"")</f>
        <v/>
      </c>
      <c r="E404" s="13" t="n">
        <v>1</v>
      </c>
      <c r="F404" s="11"/>
      <c r="G404" s="10" t="s">
        <v>114</v>
      </c>
      <c r="H404" s="9" t="n">
        <f aca="false">IFERROR(E404*F404,"")</f>
        <v>0</v>
      </c>
      <c r="I404" s="9" t="n">
        <f aca="false">IFERROR(H404*IFERROR(VLOOKUP(G404,VatRates,2,FALSE()),0),"")</f>
        <v>0</v>
      </c>
      <c r="J404" s="9" t="n">
        <f aca="false">IFERROR(H404+I404,"")</f>
        <v>0</v>
      </c>
      <c r="K404" s="13" t="n">
        <v>0</v>
      </c>
    </row>
    <row r="405" customFormat="false" ht="15" hidden="false" customHeight="false" outlineLevel="0" collapsed="false">
      <c r="A405" s="10"/>
      <c r="B405" s="10"/>
      <c r="C405" s="10"/>
      <c r="D405" s="14" t="str">
        <f aca="false">IFERROR(IF(C405="","",INDEX(Products!$C$5:$C$504,MATCH(C405,Products!$A$5:$A$504,0))),"")</f>
        <v/>
      </c>
      <c r="E405" s="13" t="n">
        <v>1</v>
      </c>
      <c r="F405" s="11"/>
      <c r="G405" s="10" t="s">
        <v>114</v>
      </c>
      <c r="H405" s="9" t="n">
        <f aca="false">IFERROR(E405*F405,"")</f>
        <v>0</v>
      </c>
      <c r="I405" s="9" t="n">
        <f aca="false">IFERROR(H405*IFERROR(VLOOKUP(G405,VatRates,2,FALSE()),0),"")</f>
        <v>0</v>
      </c>
      <c r="J405" s="9" t="n">
        <f aca="false">IFERROR(H405+I405,"")</f>
        <v>0</v>
      </c>
      <c r="K405" s="13" t="n">
        <v>0</v>
      </c>
    </row>
    <row r="406" customFormat="false" ht="15" hidden="false" customHeight="false" outlineLevel="0" collapsed="false">
      <c r="A406" s="10"/>
      <c r="B406" s="10"/>
      <c r="C406" s="10"/>
      <c r="D406" s="14" t="str">
        <f aca="false">IFERROR(IF(C406="","",INDEX(Products!$C$5:$C$504,MATCH(C406,Products!$A$5:$A$504,0))),"")</f>
        <v/>
      </c>
      <c r="E406" s="13" t="n">
        <v>1</v>
      </c>
      <c r="F406" s="11"/>
      <c r="G406" s="10" t="s">
        <v>114</v>
      </c>
      <c r="H406" s="9" t="n">
        <f aca="false">IFERROR(E406*F406,"")</f>
        <v>0</v>
      </c>
      <c r="I406" s="9" t="n">
        <f aca="false">IFERROR(H406*IFERROR(VLOOKUP(G406,VatRates,2,FALSE()),0),"")</f>
        <v>0</v>
      </c>
      <c r="J406" s="9" t="n">
        <f aca="false">IFERROR(H406+I406,"")</f>
        <v>0</v>
      </c>
      <c r="K406" s="13" t="n">
        <v>0</v>
      </c>
    </row>
    <row r="407" customFormat="false" ht="15" hidden="false" customHeight="false" outlineLevel="0" collapsed="false">
      <c r="A407" s="10"/>
      <c r="B407" s="10"/>
      <c r="C407" s="10"/>
      <c r="D407" s="14" t="str">
        <f aca="false">IFERROR(IF(C407="","",INDEX(Products!$C$5:$C$504,MATCH(C407,Products!$A$5:$A$504,0))),"")</f>
        <v/>
      </c>
      <c r="E407" s="13" t="n">
        <v>1</v>
      </c>
      <c r="F407" s="11"/>
      <c r="G407" s="10" t="s">
        <v>114</v>
      </c>
      <c r="H407" s="9" t="n">
        <f aca="false">IFERROR(E407*F407,"")</f>
        <v>0</v>
      </c>
      <c r="I407" s="9" t="n">
        <f aca="false">IFERROR(H407*IFERROR(VLOOKUP(G407,VatRates,2,FALSE()),0),"")</f>
        <v>0</v>
      </c>
      <c r="J407" s="9" t="n">
        <f aca="false">IFERROR(H407+I407,"")</f>
        <v>0</v>
      </c>
      <c r="K407" s="13" t="n">
        <v>0</v>
      </c>
    </row>
    <row r="408" customFormat="false" ht="15" hidden="false" customHeight="false" outlineLevel="0" collapsed="false">
      <c r="A408" s="10"/>
      <c r="B408" s="10"/>
      <c r="C408" s="10"/>
      <c r="D408" s="14" t="str">
        <f aca="false">IFERROR(IF(C408="","",INDEX(Products!$C$5:$C$504,MATCH(C408,Products!$A$5:$A$504,0))),"")</f>
        <v/>
      </c>
      <c r="E408" s="13" t="n">
        <v>1</v>
      </c>
      <c r="F408" s="11"/>
      <c r="G408" s="10" t="s">
        <v>114</v>
      </c>
      <c r="H408" s="9" t="n">
        <f aca="false">IFERROR(E408*F408,"")</f>
        <v>0</v>
      </c>
      <c r="I408" s="9" t="n">
        <f aca="false">IFERROR(H408*IFERROR(VLOOKUP(G408,VatRates,2,FALSE()),0),"")</f>
        <v>0</v>
      </c>
      <c r="J408" s="9" t="n">
        <f aca="false">IFERROR(H408+I408,"")</f>
        <v>0</v>
      </c>
      <c r="K408" s="13" t="n">
        <v>0</v>
      </c>
    </row>
    <row r="409" customFormat="false" ht="15" hidden="false" customHeight="false" outlineLevel="0" collapsed="false">
      <c r="A409" s="10"/>
      <c r="B409" s="10"/>
      <c r="C409" s="10"/>
      <c r="D409" s="14" t="str">
        <f aca="false">IFERROR(IF(C409="","",INDEX(Products!$C$5:$C$504,MATCH(C409,Products!$A$5:$A$504,0))),"")</f>
        <v/>
      </c>
      <c r="E409" s="13" t="n">
        <v>1</v>
      </c>
      <c r="F409" s="11"/>
      <c r="G409" s="10" t="s">
        <v>114</v>
      </c>
      <c r="H409" s="9" t="n">
        <f aca="false">IFERROR(E409*F409,"")</f>
        <v>0</v>
      </c>
      <c r="I409" s="9" t="n">
        <f aca="false">IFERROR(H409*IFERROR(VLOOKUP(G409,VatRates,2,FALSE()),0),"")</f>
        <v>0</v>
      </c>
      <c r="J409" s="9" t="n">
        <f aca="false">IFERROR(H409+I409,"")</f>
        <v>0</v>
      </c>
      <c r="K409" s="13" t="n">
        <v>0</v>
      </c>
    </row>
    <row r="410" customFormat="false" ht="15" hidden="false" customHeight="false" outlineLevel="0" collapsed="false">
      <c r="A410" s="10"/>
      <c r="B410" s="10"/>
      <c r="C410" s="10"/>
      <c r="D410" s="14" t="str">
        <f aca="false">IFERROR(IF(C410="","",INDEX(Products!$C$5:$C$504,MATCH(C410,Products!$A$5:$A$504,0))),"")</f>
        <v/>
      </c>
      <c r="E410" s="13" t="n">
        <v>1</v>
      </c>
      <c r="F410" s="11"/>
      <c r="G410" s="10" t="s">
        <v>114</v>
      </c>
      <c r="H410" s="9" t="n">
        <f aca="false">IFERROR(E410*F410,"")</f>
        <v>0</v>
      </c>
      <c r="I410" s="9" t="n">
        <f aca="false">IFERROR(H410*IFERROR(VLOOKUP(G410,VatRates,2,FALSE()),0),"")</f>
        <v>0</v>
      </c>
      <c r="J410" s="9" t="n">
        <f aca="false">IFERROR(H410+I410,"")</f>
        <v>0</v>
      </c>
      <c r="K410" s="13" t="n">
        <v>0</v>
      </c>
    </row>
    <row r="411" customFormat="false" ht="15" hidden="false" customHeight="false" outlineLevel="0" collapsed="false">
      <c r="A411" s="10"/>
      <c r="B411" s="10"/>
      <c r="C411" s="10"/>
      <c r="D411" s="14" t="str">
        <f aca="false">IFERROR(IF(C411="","",INDEX(Products!$C$5:$C$504,MATCH(C411,Products!$A$5:$A$504,0))),"")</f>
        <v/>
      </c>
      <c r="E411" s="13" t="n">
        <v>1</v>
      </c>
      <c r="F411" s="11"/>
      <c r="G411" s="10" t="s">
        <v>114</v>
      </c>
      <c r="H411" s="9" t="n">
        <f aca="false">IFERROR(E411*F411,"")</f>
        <v>0</v>
      </c>
      <c r="I411" s="9" t="n">
        <f aca="false">IFERROR(H411*IFERROR(VLOOKUP(G411,VatRates,2,FALSE()),0),"")</f>
        <v>0</v>
      </c>
      <c r="J411" s="9" t="n">
        <f aca="false">IFERROR(H411+I411,"")</f>
        <v>0</v>
      </c>
      <c r="K411" s="13" t="n">
        <v>0</v>
      </c>
    </row>
    <row r="412" customFormat="false" ht="15" hidden="false" customHeight="false" outlineLevel="0" collapsed="false">
      <c r="A412" s="10"/>
      <c r="B412" s="10"/>
      <c r="C412" s="10"/>
      <c r="D412" s="14" t="str">
        <f aca="false">IFERROR(IF(C412="","",INDEX(Products!$C$5:$C$504,MATCH(C412,Products!$A$5:$A$504,0))),"")</f>
        <v/>
      </c>
      <c r="E412" s="13" t="n">
        <v>1</v>
      </c>
      <c r="F412" s="11"/>
      <c r="G412" s="10" t="s">
        <v>114</v>
      </c>
      <c r="H412" s="9" t="n">
        <f aca="false">IFERROR(E412*F412,"")</f>
        <v>0</v>
      </c>
      <c r="I412" s="9" t="n">
        <f aca="false">IFERROR(H412*IFERROR(VLOOKUP(G412,VatRates,2,FALSE()),0),"")</f>
        <v>0</v>
      </c>
      <c r="J412" s="9" t="n">
        <f aca="false">IFERROR(H412+I412,"")</f>
        <v>0</v>
      </c>
      <c r="K412" s="13" t="n">
        <v>0</v>
      </c>
    </row>
    <row r="413" customFormat="false" ht="15" hidden="false" customHeight="false" outlineLevel="0" collapsed="false">
      <c r="A413" s="10"/>
      <c r="B413" s="10"/>
      <c r="C413" s="10"/>
      <c r="D413" s="14" t="str">
        <f aca="false">IFERROR(IF(C413="","",INDEX(Products!$C$5:$C$504,MATCH(C413,Products!$A$5:$A$504,0))),"")</f>
        <v/>
      </c>
      <c r="E413" s="13" t="n">
        <v>1</v>
      </c>
      <c r="F413" s="11"/>
      <c r="G413" s="10" t="s">
        <v>114</v>
      </c>
      <c r="H413" s="9" t="n">
        <f aca="false">IFERROR(E413*F413,"")</f>
        <v>0</v>
      </c>
      <c r="I413" s="9" t="n">
        <f aca="false">IFERROR(H413*IFERROR(VLOOKUP(G413,VatRates,2,FALSE()),0),"")</f>
        <v>0</v>
      </c>
      <c r="J413" s="9" t="n">
        <f aca="false">IFERROR(H413+I413,"")</f>
        <v>0</v>
      </c>
      <c r="K413" s="13" t="n">
        <v>0</v>
      </c>
    </row>
    <row r="414" customFormat="false" ht="15" hidden="false" customHeight="false" outlineLevel="0" collapsed="false">
      <c r="A414" s="10"/>
      <c r="B414" s="10"/>
      <c r="C414" s="10"/>
      <c r="D414" s="14" t="str">
        <f aca="false">IFERROR(IF(C414="","",INDEX(Products!$C$5:$C$504,MATCH(C414,Products!$A$5:$A$504,0))),"")</f>
        <v/>
      </c>
      <c r="E414" s="13" t="n">
        <v>1</v>
      </c>
      <c r="F414" s="11"/>
      <c r="G414" s="10" t="s">
        <v>114</v>
      </c>
      <c r="H414" s="9" t="n">
        <f aca="false">IFERROR(E414*F414,"")</f>
        <v>0</v>
      </c>
      <c r="I414" s="9" t="n">
        <f aca="false">IFERROR(H414*IFERROR(VLOOKUP(G414,VatRates,2,FALSE()),0),"")</f>
        <v>0</v>
      </c>
      <c r="J414" s="9" t="n">
        <f aca="false">IFERROR(H414+I414,"")</f>
        <v>0</v>
      </c>
      <c r="K414" s="13" t="n">
        <v>0</v>
      </c>
    </row>
    <row r="415" customFormat="false" ht="15" hidden="false" customHeight="false" outlineLevel="0" collapsed="false">
      <c r="A415" s="10"/>
      <c r="B415" s="10"/>
      <c r="C415" s="10"/>
      <c r="D415" s="14" t="str">
        <f aca="false">IFERROR(IF(C415="","",INDEX(Products!$C$5:$C$504,MATCH(C415,Products!$A$5:$A$504,0))),"")</f>
        <v/>
      </c>
      <c r="E415" s="13" t="n">
        <v>1</v>
      </c>
      <c r="F415" s="11"/>
      <c r="G415" s="10" t="s">
        <v>114</v>
      </c>
      <c r="H415" s="9" t="n">
        <f aca="false">IFERROR(E415*F415,"")</f>
        <v>0</v>
      </c>
      <c r="I415" s="9" t="n">
        <f aca="false">IFERROR(H415*IFERROR(VLOOKUP(G415,VatRates,2,FALSE()),0),"")</f>
        <v>0</v>
      </c>
      <c r="J415" s="9" t="n">
        <f aca="false">IFERROR(H415+I415,"")</f>
        <v>0</v>
      </c>
      <c r="K415" s="13" t="n">
        <v>0</v>
      </c>
    </row>
    <row r="416" customFormat="false" ht="15" hidden="false" customHeight="false" outlineLevel="0" collapsed="false">
      <c r="A416" s="10"/>
      <c r="B416" s="10"/>
      <c r="C416" s="10"/>
      <c r="D416" s="14" t="str">
        <f aca="false">IFERROR(IF(C416="","",INDEX(Products!$C$5:$C$504,MATCH(C416,Products!$A$5:$A$504,0))),"")</f>
        <v/>
      </c>
      <c r="E416" s="13" t="n">
        <v>1</v>
      </c>
      <c r="F416" s="11"/>
      <c r="G416" s="10" t="s">
        <v>114</v>
      </c>
      <c r="H416" s="9" t="n">
        <f aca="false">IFERROR(E416*F416,"")</f>
        <v>0</v>
      </c>
      <c r="I416" s="9" t="n">
        <f aca="false">IFERROR(H416*IFERROR(VLOOKUP(G416,VatRates,2,FALSE()),0),"")</f>
        <v>0</v>
      </c>
      <c r="J416" s="9" t="n">
        <f aca="false">IFERROR(H416+I416,"")</f>
        <v>0</v>
      </c>
      <c r="K416" s="13" t="n">
        <v>0</v>
      </c>
    </row>
    <row r="417" customFormat="false" ht="15" hidden="false" customHeight="false" outlineLevel="0" collapsed="false">
      <c r="A417" s="10"/>
      <c r="B417" s="10"/>
      <c r="C417" s="10"/>
      <c r="D417" s="14" t="str">
        <f aca="false">IFERROR(IF(C417="","",INDEX(Products!$C$5:$C$504,MATCH(C417,Products!$A$5:$A$504,0))),"")</f>
        <v/>
      </c>
      <c r="E417" s="13" t="n">
        <v>1</v>
      </c>
      <c r="F417" s="11"/>
      <c r="G417" s="10" t="s">
        <v>114</v>
      </c>
      <c r="H417" s="9" t="n">
        <f aca="false">IFERROR(E417*F417,"")</f>
        <v>0</v>
      </c>
      <c r="I417" s="9" t="n">
        <f aca="false">IFERROR(H417*IFERROR(VLOOKUP(G417,VatRates,2,FALSE()),0),"")</f>
        <v>0</v>
      </c>
      <c r="J417" s="9" t="n">
        <f aca="false">IFERROR(H417+I417,"")</f>
        <v>0</v>
      </c>
      <c r="K417" s="13" t="n">
        <v>0</v>
      </c>
    </row>
    <row r="418" customFormat="false" ht="15" hidden="false" customHeight="false" outlineLevel="0" collapsed="false">
      <c r="A418" s="10"/>
      <c r="B418" s="10"/>
      <c r="C418" s="10"/>
      <c r="D418" s="14" t="str">
        <f aca="false">IFERROR(IF(C418="","",INDEX(Products!$C$5:$C$504,MATCH(C418,Products!$A$5:$A$504,0))),"")</f>
        <v/>
      </c>
      <c r="E418" s="13" t="n">
        <v>1</v>
      </c>
      <c r="F418" s="11"/>
      <c r="G418" s="10" t="s">
        <v>114</v>
      </c>
      <c r="H418" s="9" t="n">
        <f aca="false">IFERROR(E418*F418,"")</f>
        <v>0</v>
      </c>
      <c r="I418" s="9" t="n">
        <f aca="false">IFERROR(H418*IFERROR(VLOOKUP(G418,VatRates,2,FALSE()),0),"")</f>
        <v>0</v>
      </c>
      <c r="J418" s="9" t="n">
        <f aca="false">IFERROR(H418+I418,"")</f>
        <v>0</v>
      </c>
      <c r="K418" s="13" t="n">
        <v>0</v>
      </c>
    </row>
    <row r="419" customFormat="false" ht="15" hidden="false" customHeight="false" outlineLevel="0" collapsed="false">
      <c r="A419" s="10"/>
      <c r="B419" s="10"/>
      <c r="C419" s="10"/>
      <c r="D419" s="14" t="str">
        <f aca="false">IFERROR(IF(C419="","",INDEX(Products!$C$5:$C$504,MATCH(C419,Products!$A$5:$A$504,0))),"")</f>
        <v/>
      </c>
      <c r="E419" s="13" t="n">
        <v>1</v>
      </c>
      <c r="F419" s="11"/>
      <c r="G419" s="10" t="s">
        <v>114</v>
      </c>
      <c r="H419" s="9" t="n">
        <f aca="false">IFERROR(E419*F419,"")</f>
        <v>0</v>
      </c>
      <c r="I419" s="9" t="n">
        <f aca="false">IFERROR(H419*IFERROR(VLOOKUP(G419,VatRates,2,FALSE()),0),"")</f>
        <v>0</v>
      </c>
      <c r="J419" s="9" t="n">
        <f aca="false">IFERROR(H419+I419,"")</f>
        <v>0</v>
      </c>
      <c r="K419" s="13" t="n">
        <v>0</v>
      </c>
    </row>
    <row r="420" customFormat="false" ht="15" hidden="false" customHeight="false" outlineLevel="0" collapsed="false">
      <c r="A420" s="10"/>
      <c r="B420" s="10"/>
      <c r="C420" s="10"/>
      <c r="D420" s="14" t="str">
        <f aca="false">IFERROR(IF(C420="","",INDEX(Products!$C$5:$C$504,MATCH(C420,Products!$A$5:$A$504,0))),"")</f>
        <v/>
      </c>
      <c r="E420" s="13" t="n">
        <v>1</v>
      </c>
      <c r="F420" s="11"/>
      <c r="G420" s="10" t="s">
        <v>114</v>
      </c>
      <c r="H420" s="9" t="n">
        <f aca="false">IFERROR(E420*F420,"")</f>
        <v>0</v>
      </c>
      <c r="I420" s="9" t="n">
        <f aca="false">IFERROR(H420*IFERROR(VLOOKUP(G420,VatRates,2,FALSE()),0),"")</f>
        <v>0</v>
      </c>
      <c r="J420" s="9" t="n">
        <f aca="false">IFERROR(H420+I420,"")</f>
        <v>0</v>
      </c>
      <c r="K420" s="13" t="n">
        <v>0</v>
      </c>
    </row>
    <row r="421" customFormat="false" ht="15" hidden="false" customHeight="false" outlineLevel="0" collapsed="false">
      <c r="A421" s="10"/>
      <c r="B421" s="10"/>
      <c r="C421" s="10"/>
      <c r="D421" s="14" t="str">
        <f aca="false">IFERROR(IF(C421="","",INDEX(Products!$C$5:$C$504,MATCH(C421,Products!$A$5:$A$504,0))),"")</f>
        <v/>
      </c>
      <c r="E421" s="13" t="n">
        <v>1</v>
      </c>
      <c r="F421" s="11"/>
      <c r="G421" s="10" t="s">
        <v>114</v>
      </c>
      <c r="H421" s="9" t="n">
        <f aca="false">IFERROR(E421*F421,"")</f>
        <v>0</v>
      </c>
      <c r="I421" s="9" t="n">
        <f aca="false">IFERROR(H421*IFERROR(VLOOKUP(G421,VatRates,2,FALSE()),0),"")</f>
        <v>0</v>
      </c>
      <c r="J421" s="9" t="n">
        <f aca="false">IFERROR(H421+I421,"")</f>
        <v>0</v>
      </c>
      <c r="K421" s="13" t="n">
        <v>0</v>
      </c>
    </row>
    <row r="422" customFormat="false" ht="15" hidden="false" customHeight="false" outlineLevel="0" collapsed="false">
      <c r="A422" s="10"/>
      <c r="B422" s="10"/>
      <c r="C422" s="10"/>
      <c r="D422" s="14" t="str">
        <f aca="false">IFERROR(IF(C422="","",INDEX(Products!$C$5:$C$504,MATCH(C422,Products!$A$5:$A$504,0))),"")</f>
        <v/>
      </c>
      <c r="E422" s="13" t="n">
        <v>1</v>
      </c>
      <c r="F422" s="11"/>
      <c r="G422" s="10" t="s">
        <v>114</v>
      </c>
      <c r="H422" s="9" t="n">
        <f aca="false">IFERROR(E422*F422,"")</f>
        <v>0</v>
      </c>
      <c r="I422" s="9" t="n">
        <f aca="false">IFERROR(H422*IFERROR(VLOOKUP(G422,VatRates,2,FALSE()),0),"")</f>
        <v>0</v>
      </c>
      <c r="J422" s="9" t="n">
        <f aca="false">IFERROR(H422+I422,"")</f>
        <v>0</v>
      </c>
      <c r="K422" s="13" t="n">
        <v>0</v>
      </c>
    </row>
    <row r="423" customFormat="false" ht="15" hidden="false" customHeight="false" outlineLevel="0" collapsed="false">
      <c r="A423" s="10"/>
      <c r="B423" s="10"/>
      <c r="C423" s="10"/>
      <c r="D423" s="14" t="str">
        <f aca="false">IFERROR(IF(C423="","",INDEX(Products!$C$5:$C$504,MATCH(C423,Products!$A$5:$A$504,0))),"")</f>
        <v/>
      </c>
      <c r="E423" s="13" t="n">
        <v>1</v>
      </c>
      <c r="F423" s="11"/>
      <c r="G423" s="10" t="s">
        <v>114</v>
      </c>
      <c r="H423" s="9" t="n">
        <f aca="false">IFERROR(E423*F423,"")</f>
        <v>0</v>
      </c>
      <c r="I423" s="9" t="n">
        <f aca="false">IFERROR(H423*IFERROR(VLOOKUP(G423,VatRates,2,FALSE()),0),"")</f>
        <v>0</v>
      </c>
      <c r="J423" s="9" t="n">
        <f aca="false">IFERROR(H423+I423,"")</f>
        <v>0</v>
      </c>
      <c r="K423" s="13" t="n">
        <v>0</v>
      </c>
    </row>
    <row r="424" customFormat="false" ht="15" hidden="false" customHeight="false" outlineLevel="0" collapsed="false">
      <c r="A424" s="10"/>
      <c r="B424" s="10"/>
      <c r="C424" s="10"/>
      <c r="D424" s="14" t="str">
        <f aca="false">IFERROR(IF(C424="","",INDEX(Products!$C$5:$C$504,MATCH(C424,Products!$A$5:$A$504,0))),"")</f>
        <v/>
      </c>
      <c r="E424" s="13" t="n">
        <v>1</v>
      </c>
      <c r="F424" s="11"/>
      <c r="G424" s="10" t="s">
        <v>114</v>
      </c>
      <c r="H424" s="9" t="n">
        <f aca="false">IFERROR(E424*F424,"")</f>
        <v>0</v>
      </c>
      <c r="I424" s="9" t="n">
        <f aca="false">IFERROR(H424*IFERROR(VLOOKUP(G424,VatRates,2,FALSE()),0),"")</f>
        <v>0</v>
      </c>
      <c r="J424" s="9" t="n">
        <f aca="false">IFERROR(H424+I424,"")</f>
        <v>0</v>
      </c>
      <c r="K424" s="13" t="n">
        <v>0</v>
      </c>
    </row>
    <row r="425" customFormat="false" ht="15" hidden="false" customHeight="false" outlineLevel="0" collapsed="false">
      <c r="A425" s="10"/>
      <c r="B425" s="10"/>
      <c r="C425" s="10"/>
      <c r="D425" s="14" t="str">
        <f aca="false">IFERROR(IF(C425="","",INDEX(Products!$C$5:$C$504,MATCH(C425,Products!$A$5:$A$504,0))),"")</f>
        <v/>
      </c>
      <c r="E425" s="13" t="n">
        <v>1</v>
      </c>
      <c r="F425" s="11"/>
      <c r="G425" s="10" t="s">
        <v>114</v>
      </c>
      <c r="H425" s="9" t="n">
        <f aca="false">IFERROR(E425*F425,"")</f>
        <v>0</v>
      </c>
      <c r="I425" s="9" t="n">
        <f aca="false">IFERROR(H425*IFERROR(VLOOKUP(G425,VatRates,2,FALSE()),0),"")</f>
        <v>0</v>
      </c>
      <c r="J425" s="9" t="n">
        <f aca="false">IFERROR(H425+I425,"")</f>
        <v>0</v>
      </c>
      <c r="K425" s="13" t="n">
        <v>0</v>
      </c>
    </row>
    <row r="426" customFormat="false" ht="15" hidden="false" customHeight="false" outlineLevel="0" collapsed="false">
      <c r="A426" s="10"/>
      <c r="B426" s="10"/>
      <c r="C426" s="10"/>
      <c r="D426" s="14" t="str">
        <f aca="false">IFERROR(IF(C426="","",INDEX(Products!$C$5:$C$504,MATCH(C426,Products!$A$5:$A$504,0))),"")</f>
        <v/>
      </c>
      <c r="E426" s="13" t="n">
        <v>1</v>
      </c>
      <c r="F426" s="11"/>
      <c r="G426" s="10" t="s">
        <v>114</v>
      </c>
      <c r="H426" s="9" t="n">
        <f aca="false">IFERROR(E426*F426,"")</f>
        <v>0</v>
      </c>
      <c r="I426" s="9" t="n">
        <f aca="false">IFERROR(H426*IFERROR(VLOOKUP(G426,VatRates,2,FALSE()),0),"")</f>
        <v>0</v>
      </c>
      <c r="J426" s="9" t="n">
        <f aca="false">IFERROR(H426+I426,"")</f>
        <v>0</v>
      </c>
      <c r="K426" s="13" t="n">
        <v>0</v>
      </c>
    </row>
    <row r="427" customFormat="false" ht="15" hidden="false" customHeight="false" outlineLevel="0" collapsed="false">
      <c r="A427" s="10"/>
      <c r="B427" s="10"/>
      <c r="C427" s="10"/>
      <c r="D427" s="14" t="str">
        <f aca="false">IFERROR(IF(C427="","",INDEX(Products!$C$5:$C$504,MATCH(C427,Products!$A$5:$A$504,0))),"")</f>
        <v/>
      </c>
      <c r="E427" s="13" t="n">
        <v>1</v>
      </c>
      <c r="F427" s="11"/>
      <c r="G427" s="10" t="s">
        <v>114</v>
      </c>
      <c r="H427" s="9" t="n">
        <f aca="false">IFERROR(E427*F427,"")</f>
        <v>0</v>
      </c>
      <c r="I427" s="9" t="n">
        <f aca="false">IFERROR(H427*IFERROR(VLOOKUP(G427,VatRates,2,FALSE()),0),"")</f>
        <v>0</v>
      </c>
      <c r="J427" s="9" t="n">
        <f aca="false">IFERROR(H427+I427,"")</f>
        <v>0</v>
      </c>
      <c r="K427" s="13" t="n">
        <v>0</v>
      </c>
    </row>
    <row r="428" customFormat="false" ht="15" hidden="false" customHeight="false" outlineLevel="0" collapsed="false">
      <c r="A428" s="10"/>
      <c r="B428" s="10"/>
      <c r="C428" s="10"/>
      <c r="D428" s="14" t="str">
        <f aca="false">IFERROR(IF(C428="","",INDEX(Products!$C$5:$C$504,MATCH(C428,Products!$A$5:$A$504,0))),"")</f>
        <v/>
      </c>
      <c r="E428" s="13" t="n">
        <v>1</v>
      </c>
      <c r="F428" s="11"/>
      <c r="G428" s="10" t="s">
        <v>114</v>
      </c>
      <c r="H428" s="9" t="n">
        <f aca="false">IFERROR(E428*F428,"")</f>
        <v>0</v>
      </c>
      <c r="I428" s="9" t="n">
        <f aca="false">IFERROR(H428*IFERROR(VLOOKUP(G428,VatRates,2,FALSE()),0),"")</f>
        <v>0</v>
      </c>
      <c r="J428" s="9" t="n">
        <f aca="false">IFERROR(H428+I428,"")</f>
        <v>0</v>
      </c>
      <c r="K428" s="13" t="n">
        <v>0</v>
      </c>
    </row>
    <row r="429" customFormat="false" ht="15" hidden="false" customHeight="false" outlineLevel="0" collapsed="false">
      <c r="A429" s="10"/>
      <c r="B429" s="10"/>
      <c r="C429" s="10"/>
      <c r="D429" s="14" t="str">
        <f aca="false">IFERROR(IF(C429="","",INDEX(Products!$C$5:$C$504,MATCH(C429,Products!$A$5:$A$504,0))),"")</f>
        <v/>
      </c>
      <c r="E429" s="13" t="n">
        <v>1</v>
      </c>
      <c r="F429" s="11"/>
      <c r="G429" s="10" t="s">
        <v>114</v>
      </c>
      <c r="H429" s="9" t="n">
        <f aca="false">IFERROR(E429*F429,"")</f>
        <v>0</v>
      </c>
      <c r="I429" s="9" t="n">
        <f aca="false">IFERROR(H429*IFERROR(VLOOKUP(G429,VatRates,2,FALSE()),0),"")</f>
        <v>0</v>
      </c>
      <c r="J429" s="9" t="n">
        <f aca="false">IFERROR(H429+I429,"")</f>
        <v>0</v>
      </c>
      <c r="K429" s="13" t="n">
        <v>0</v>
      </c>
    </row>
    <row r="430" customFormat="false" ht="15" hidden="false" customHeight="false" outlineLevel="0" collapsed="false">
      <c r="A430" s="10"/>
      <c r="B430" s="10"/>
      <c r="C430" s="10"/>
      <c r="D430" s="14" t="str">
        <f aca="false">IFERROR(IF(C430="","",INDEX(Products!$C$5:$C$504,MATCH(C430,Products!$A$5:$A$504,0))),"")</f>
        <v/>
      </c>
      <c r="E430" s="13" t="n">
        <v>1</v>
      </c>
      <c r="F430" s="11"/>
      <c r="G430" s="10" t="s">
        <v>114</v>
      </c>
      <c r="H430" s="9" t="n">
        <f aca="false">IFERROR(E430*F430,"")</f>
        <v>0</v>
      </c>
      <c r="I430" s="9" t="n">
        <f aca="false">IFERROR(H430*IFERROR(VLOOKUP(G430,VatRates,2,FALSE()),0),"")</f>
        <v>0</v>
      </c>
      <c r="J430" s="9" t="n">
        <f aca="false">IFERROR(H430+I430,"")</f>
        <v>0</v>
      </c>
      <c r="K430" s="13" t="n">
        <v>0</v>
      </c>
    </row>
    <row r="431" customFormat="false" ht="15" hidden="false" customHeight="false" outlineLevel="0" collapsed="false">
      <c r="A431" s="10"/>
      <c r="B431" s="10"/>
      <c r="C431" s="10"/>
      <c r="D431" s="14" t="str">
        <f aca="false">IFERROR(IF(C431="","",INDEX(Products!$C$5:$C$504,MATCH(C431,Products!$A$5:$A$504,0))),"")</f>
        <v/>
      </c>
      <c r="E431" s="13" t="n">
        <v>1</v>
      </c>
      <c r="F431" s="11"/>
      <c r="G431" s="10" t="s">
        <v>114</v>
      </c>
      <c r="H431" s="9" t="n">
        <f aca="false">IFERROR(E431*F431,"")</f>
        <v>0</v>
      </c>
      <c r="I431" s="9" t="n">
        <f aca="false">IFERROR(H431*IFERROR(VLOOKUP(G431,VatRates,2,FALSE()),0),"")</f>
        <v>0</v>
      </c>
      <c r="J431" s="9" t="n">
        <f aca="false">IFERROR(H431+I431,"")</f>
        <v>0</v>
      </c>
      <c r="K431" s="13" t="n">
        <v>0</v>
      </c>
    </row>
    <row r="432" customFormat="false" ht="15" hidden="false" customHeight="false" outlineLevel="0" collapsed="false">
      <c r="A432" s="10"/>
      <c r="B432" s="10"/>
      <c r="C432" s="10"/>
      <c r="D432" s="14" t="str">
        <f aca="false">IFERROR(IF(C432="","",INDEX(Products!$C$5:$C$504,MATCH(C432,Products!$A$5:$A$504,0))),"")</f>
        <v/>
      </c>
      <c r="E432" s="13" t="n">
        <v>1</v>
      </c>
      <c r="F432" s="11"/>
      <c r="G432" s="10" t="s">
        <v>114</v>
      </c>
      <c r="H432" s="9" t="n">
        <f aca="false">IFERROR(E432*F432,"")</f>
        <v>0</v>
      </c>
      <c r="I432" s="9" t="n">
        <f aca="false">IFERROR(H432*IFERROR(VLOOKUP(G432,VatRates,2,FALSE()),0),"")</f>
        <v>0</v>
      </c>
      <c r="J432" s="9" t="n">
        <f aca="false">IFERROR(H432+I432,"")</f>
        <v>0</v>
      </c>
      <c r="K432" s="13" t="n">
        <v>0</v>
      </c>
    </row>
    <row r="433" customFormat="false" ht="15" hidden="false" customHeight="false" outlineLevel="0" collapsed="false">
      <c r="A433" s="10"/>
      <c r="B433" s="10"/>
      <c r="C433" s="10"/>
      <c r="D433" s="14" t="str">
        <f aca="false">IFERROR(IF(C433="","",INDEX(Products!$C$5:$C$504,MATCH(C433,Products!$A$5:$A$504,0))),"")</f>
        <v/>
      </c>
      <c r="E433" s="13" t="n">
        <v>1</v>
      </c>
      <c r="F433" s="11"/>
      <c r="G433" s="10" t="s">
        <v>114</v>
      </c>
      <c r="H433" s="9" t="n">
        <f aca="false">IFERROR(E433*F433,"")</f>
        <v>0</v>
      </c>
      <c r="I433" s="9" t="n">
        <f aca="false">IFERROR(H433*IFERROR(VLOOKUP(G433,VatRates,2,FALSE()),0),"")</f>
        <v>0</v>
      </c>
      <c r="J433" s="9" t="n">
        <f aca="false">IFERROR(H433+I433,"")</f>
        <v>0</v>
      </c>
      <c r="K433" s="13" t="n">
        <v>0</v>
      </c>
    </row>
    <row r="434" customFormat="false" ht="15" hidden="false" customHeight="false" outlineLevel="0" collapsed="false">
      <c r="A434" s="10"/>
      <c r="B434" s="10"/>
      <c r="C434" s="10"/>
      <c r="D434" s="14" t="str">
        <f aca="false">IFERROR(IF(C434="","",INDEX(Products!$C$5:$C$504,MATCH(C434,Products!$A$5:$A$504,0))),"")</f>
        <v/>
      </c>
      <c r="E434" s="13" t="n">
        <v>1</v>
      </c>
      <c r="F434" s="11"/>
      <c r="G434" s="10" t="s">
        <v>114</v>
      </c>
      <c r="H434" s="9" t="n">
        <f aca="false">IFERROR(E434*F434,"")</f>
        <v>0</v>
      </c>
      <c r="I434" s="9" t="n">
        <f aca="false">IFERROR(H434*IFERROR(VLOOKUP(G434,VatRates,2,FALSE()),0),"")</f>
        <v>0</v>
      </c>
      <c r="J434" s="9" t="n">
        <f aca="false">IFERROR(H434+I434,"")</f>
        <v>0</v>
      </c>
      <c r="K434" s="13" t="n">
        <v>0</v>
      </c>
    </row>
    <row r="435" customFormat="false" ht="15" hidden="false" customHeight="false" outlineLevel="0" collapsed="false">
      <c r="A435" s="10"/>
      <c r="B435" s="10"/>
      <c r="C435" s="10"/>
      <c r="D435" s="14" t="str">
        <f aca="false">IFERROR(IF(C435="","",INDEX(Products!$C$5:$C$504,MATCH(C435,Products!$A$5:$A$504,0))),"")</f>
        <v/>
      </c>
      <c r="E435" s="13" t="n">
        <v>1</v>
      </c>
      <c r="F435" s="11"/>
      <c r="G435" s="10" t="s">
        <v>114</v>
      </c>
      <c r="H435" s="9" t="n">
        <f aca="false">IFERROR(E435*F435,"")</f>
        <v>0</v>
      </c>
      <c r="I435" s="9" t="n">
        <f aca="false">IFERROR(H435*IFERROR(VLOOKUP(G435,VatRates,2,FALSE()),0),"")</f>
        <v>0</v>
      </c>
      <c r="J435" s="9" t="n">
        <f aca="false">IFERROR(H435+I435,"")</f>
        <v>0</v>
      </c>
      <c r="K435" s="13" t="n">
        <v>0</v>
      </c>
    </row>
    <row r="436" customFormat="false" ht="15" hidden="false" customHeight="false" outlineLevel="0" collapsed="false">
      <c r="A436" s="10"/>
      <c r="B436" s="10"/>
      <c r="C436" s="10"/>
      <c r="D436" s="14" t="str">
        <f aca="false">IFERROR(IF(C436="","",INDEX(Products!$C$5:$C$504,MATCH(C436,Products!$A$5:$A$504,0))),"")</f>
        <v/>
      </c>
      <c r="E436" s="13" t="n">
        <v>1</v>
      </c>
      <c r="F436" s="11"/>
      <c r="G436" s="10" t="s">
        <v>114</v>
      </c>
      <c r="H436" s="9" t="n">
        <f aca="false">IFERROR(E436*F436,"")</f>
        <v>0</v>
      </c>
      <c r="I436" s="9" t="n">
        <f aca="false">IFERROR(H436*IFERROR(VLOOKUP(G436,VatRates,2,FALSE()),0),"")</f>
        <v>0</v>
      </c>
      <c r="J436" s="9" t="n">
        <f aca="false">IFERROR(H436+I436,"")</f>
        <v>0</v>
      </c>
      <c r="K436" s="13" t="n">
        <v>0</v>
      </c>
    </row>
    <row r="437" customFormat="false" ht="15" hidden="false" customHeight="false" outlineLevel="0" collapsed="false">
      <c r="A437" s="10"/>
      <c r="B437" s="10"/>
      <c r="C437" s="10"/>
      <c r="D437" s="14" t="str">
        <f aca="false">IFERROR(IF(C437="","",INDEX(Products!$C$5:$C$504,MATCH(C437,Products!$A$5:$A$504,0))),"")</f>
        <v/>
      </c>
      <c r="E437" s="13" t="n">
        <v>1</v>
      </c>
      <c r="F437" s="11"/>
      <c r="G437" s="10" t="s">
        <v>114</v>
      </c>
      <c r="H437" s="9" t="n">
        <f aca="false">IFERROR(E437*F437,"")</f>
        <v>0</v>
      </c>
      <c r="I437" s="9" t="n">
        <f aca="false">IFERROR(H437*IFERROR(VLOOKUP(G437,VatRates,2,FALSE()),0),"")</f>
        <v>0</v>
      </c>
      <c r="J437" s="9" t="n">
        <f aca="false">IFERROR(H437+I437,"")</f>
        <v>0</v>
      </c>
      <c r="K437" s="13" t="n">
        <v>0</v>
      </c>
    </row>
    <row r="438" customFormat="false" ht="15" hidden="false" customHeight="false" outlineLevel="0" collapsed="false">
      <c r="A438" s="10"/>
      <c r="B438" s="10"/>
      <c r="C438" s="10"/>
      <c r="D438" s="14" t="str">
        <f aca="false">IFERROR(IF(C438="","",INDEX(Products!$C$5:$C$504,MATCH(C438,Products!$A$5:$A$504,0))),"")</f>
        <v/>
      </c>
      <c r="E438" s="13" t="n">
        <v>1</v>
      </c>
      <c r="F438" s="11"/>
      <c r="G438" s="10" t="s">
        <v>114</v>
      </c>
      <c r="H438" s="9" t="n">
        <f aca="false">IFERROR(E438*F438,"")</f>
        <v>0</v>
      </c>
      <c r="I438" s="9" t="n">
        <f aca="false">IFERROR(H438*IFERROR(VLOOKUP(G438,VatRates,2,FALSE()),0),"")</f>
        <v>0</v>
      </c>
      <c r="J438" s="9" t="n">
        <f aca="false">IFERROR(H438+I438,"")</f>
        <v>0</v>
      </c>
      <c r="K438" s="13" t="n">
        <v>0</v>
      </c>
    </row>
    <row r="439" customFormat="false" ht="15" hidden="false" customHeight="false" outlineLevel="0" collapsed="false">
      <c r="A439" s="10"/>
      <c r="B439" s="10"/>
      <c r="C439" s="10"/>
      <c r="D439" s="14" t="str">
        <f aca="false">IFERROR(IF(C439="","",INDEX(Products!$C$5:$C$504,MATCH(C439,Products!$A$5:$A$504,0))),"")</f>
        <v/>
      </c>
      <c r="E439" s="13" t="n">
        <v>1</v>
      </c>
      <c r="F439" s="11"/>
      <c r="G439" s="10" t="s">
        <v>114</v>
      </c>
      <c r="H439" s="9" t="n">
        <f aca="false">IFERROR(E439*F439,"")</f>
        <v>0</v>
      </c>
      <c r="I439" s="9" t="n">
        <f aca="false">IFERROR(H439*IFERROR(VLOOKUP(G439,VatRates,2,FALSE()),0),"")</f>
        <v>0</v>
      </c>
      <c r="J439" s="9" t="n">
        <f aca="false">IFERROR(H439+I439,"")</f>
        <v>0</v>
      </c>
      <c r="K439" s="13" t="n">
        <v>0</v>
      </c>
    </row>
    <row r="440" customFormat="false" ht="15" hidden="false" customHeight="false" outlineLevel="0" collapsed="false">
      <c r="A440" s="10"/>
      <c r="B440" s="10"/>
      <c r="C440" s="10"/>
      <c r="D440" s="14" t="str">
        <f aca="false">IFERROR(IF(C440="","",INDEX(Products!$C$5:$C$504,MATCH(C440,Products!$A$5:$A$504,0))),"")</f>
        <v/>
      </c>
      <c r="E440" s="13" t="n">
        <v>1</v>
      </c>
      <c r="F440" s="11"/>
      <c r="G440" s="10" t="s">
        <v>114</v>
      </c>
      <c r="H440" s="9" t="n">
        <f aca="false">IFERROR(E440*F440,"")</f>
        <v>0</v>
      </c>
      <c r="I440" s="9" t="n">
        <f aca="false">IFERROR(H440*IFERROR(VLOOKUP(G440,VatRates,2,FALSE()),0),"")</f>
        <v>0</v>
      </c>
      <c r="J440" s="9" t="n">
        <f aca="false">IFERROR(H440+I440,"")</f>
        <v>0</v>
      </c>
      <c r="K440" s="13" t="n">
        <v>0</v>
      </c>
    </row>
    <row r="441" customFormat="false" ht="15" hidden="false" customHeight="false" outlineLevel="0" collapsed="false">
      <c r="A441" s="10"/>
      <c r="B441" s="10"/>
      <c r="C441" s="10"/>
      <c r="D441" s="14" t="str">
        <f aca="false">IFERROR(IF(C441="","",INDEX(Products!$C$5:$C$504,MATCH(C441,Products!$A$5:$A$504,0))),"")</f>
        <v/>
      </c>
      <c r="E441" s="13" t="n">
        <v>1</v>
      </c>
      <c r="F441" s="11"/>
      <c r="G441" s="10" t="s">
        <v>114</v>
      </c>
      <c r="H441" s="9" t="n">
        <f aca="false">IFERROR(E441*F441,"")</f>
        <v>0</v>
      </c>
      <c r="I441" s="9" t="n">
        <f aca="false">IFERROR(H441*IFERROR(VLOOKUP(G441,VatRates,2,FALSE()),0),"")</f>
        <v>0</v>
      </c>
      <c r="J441" s="9" t="n">
        <f aca="false">IFERROR(H441+I441,"")</f>
        <v>0</v>
      </c>
      <c r="K441" s="13" t="n">
        <v>0</v>
      </c>
    </row>
    <row r="442" customFormat="false" ht="15" hidden="false" customHeight="false" outlineLevel="0" collapsed="false">
      <c r="A442" s="10"/>
      <c r="B442" s="10"/>
      <c r="C442" s="10"/>
      <c r="D442" s="14" t="str">
        <f aca="false">IFERROR(IF(C442="","",INDEX(Products!$C$5:$C$504,MATCH(C442,Products!$A$5:$A$504,0))),"")</f>
        <v/>
      </c>
      <c r="E442" s="13" t="n">
        <v>1</v>
      </c>
      <c r="F442" s="11"/>
      <c r="G442" s="10" t="s">
        <v>114</v>
      </c>
      <c r="H442" s="9" t="n">
        <f aca="false">IFERROR(E442*F442,"")</f>
        <v>0</v>
      </c>
      <c r="I442" s="9" t="n">
        <f aca="false">IFERROR(H442*IFERROR(VLOOKUP(G442,VatRates,2,FALSE()),0),"")</f>
        <v>0</v>
      </c>
      <c r="J442" s="9" t="n">
        <f aca="false">IFERROR(H442+I442,"")</f>
        <v>0</v>
      </c>
      <c r="K442" s="13" t="n">
        <v>0</v>
      </c>
    </row>
    <row r="443" customFormat="false" ht="15" hidden="false" customHeight="false" outlineLevel="0" collapsed="false">
      <c r="A443" s="10"/>
      <c r="B443" s="10"/>
      <c r="C443" s="10"/>
      <c r="D443" s="14" t="str">
        <f aca="false">IFERROR(IF(C443="","",INDEX(Products!$C$5:$C$504,MATCH(C443,Products!$A$5:$A$504,0))),"")</f>
        <v/>
      </c>
      <c r="E443" s="13" t="n">
        <v>1</v>
      </c>
      <c r="F443" s="11"/>
      <c r="G443" s="10" t="s">
        <v>114</v>
      </c>
      <c r="H443" s="9" t="n">
        <f aca="false">IFERROR(E443*F443,"")</f>
        <v>0</v>
      </c>
      <c r="I443" s="9" t="n">
        <f aca="false">IFERROR(H443*IFERROR(VLOOKUP(G443,VatRates,2,FALSE()),0),"")</f>
        <v>0</v>
      </c>
      <c r="J443" s="9" t="n">
        <f aca="false">IFERROR(H443+I443,"")</f>
        <v>0</v>
      </c>
      <c r="K443" s="13" t="n">
        <v>0</v>
      </c>
    </row>
    <row r="444" customFormat="false" ht="15" hidden="false" customHeight="false" outlineLevel="0" collapsed="false">
      <c r="A444" s="10"/>
      <c r="B444" s="10"/>
      <c r="C444" s="10"/>
      <c r="D444" s="14" t="str">
        <f aca="false">IFERROR(IF(C444="","",INDEX(Products!$C$5:$C$504,MATCH(C444,Products!$A$5:$A$504,0))),"")</f>
        <v/>
      </c>
      <c r="E444" s="13" t="n">
        <v>1</v>
      </c>
      <c r="F444" s="11"/>
      <c r="G444" s="10" t="s">
        <v>114</v>
      </c>
      <c r="H444" s="9" t="n">
        <f aca="false">IFERROR(E444*F444,"")</f>
        <v>0</v>
      </c>
      <c r="I444" s="9" t="n">
        <f aca="false">IFERROR(H444*IFERROR(VLOOKUP(G444,VatRates,2,FALSE()),0),"")</f>
        <v>0</v>
      </c>
      <c r="J444" s="9" t="n">
        <f aca="false">IFERROR(H444+I444,"")</f>
        <v>0</v>
      </c>
      <c r="K444" s="13" t="n">
        <v>0</v>
      </c>
    </row>
    <row r="445" customFormat="false" ht="15" hidden="false" customHeight="false" outlineLevel="0" collapsed="false">
      <c r="A445" s="10"/>
      <c r="B445" s="10"/>
      <c r="C445" s="10"/>
      <c r="D445" s="14" t="str">
        <f aca="false">IFERROR(IF(C445="","",INDEX(Products!$C$5:$C$504,MATCH(C445,Products!$A$5:$A$504,0))),"")</f>
        <v/>
      </c>
      <c r="E445" s="13" t="n">
        <v>1</v>
      </c>
      <c r="F445" s="11"/>
      <c r="G445" s="10" t="s">
        <v>114</v>
      </c>
      <c r="H445" s="9" t="n">
        <f aca="false">IFERROR(E445*F445,"")</f>
        <v>0</v>
      </c>
      <c r="I445" s="9" t="n">
        <f aca="false">IFERROR(H445*IFERROR(VLOOKUP(G445,VatRates,2,FALSE()),0),"")</f>
        <v>0</v>
      </c>
      <c r="J445" s="9" t="n">
        <f aca="false">IFERROR(H445+I445,"")</f>
        <v>0</v>
      </c>
      <c r="K445" s="13" t="n">
        <v>0</v>
      </c>
    </row>
    <row r="446" customFormat="false" ht="15" hidden="false" customHeight="false" outlineLevel="0" collapsed="false">
      <c r="A446" s="10"/>
      <c r="B446" s="10"/>
      <c r="C446" s="10"/>
      <c r="D446" s="14" t="str">
        <f aca="false">IFERROR(IF(C446="","",INDEX(Products!$C$5:$C$504,MATCH(C446,Products!$A$5:$A$504,0))),"")</f>
        <v/>
      </c>
      <c r="E446" s="13" t="n">
        <v>1</v>
      </c>
      <c r="F446" s="11"/>
      <c r="G446" s="10" t="s">
        <v>114</v>
      </c>
      <c r="H446" s="9" t="n">
        <f aca="false">IFERROR(E446*F446,"")</f>
        <v>0</v>
      </c>
      <c r="I446" s="9" t="n">
        <f aca="false">IFERROR(H446*IFERROR(VLOOKUP(G446,VatRates,2,FALSE()),0),"")</f>
        <v>0</v>
      </c>
      <c r="J446" s="9" t="n">
        <f aca="false">IFERROR(H446+I446,"")</f>
        <v>0</v>
      </c>
      <c r="K446" s="13" t="n">
        <v>0</v>
      </c>
    </row>
    <row r="447" customFormat="false" ht="15" hidden="false" customHeight="false" outlineLevel="0" collapsed="false">
      <c r="A447" s="10"/>
      <c r="B447" s="10"/>
      <c r="C447" s="10"/>
      <c r="D447" s="14" t="str">
        <f aca="false">IFERROR(IF(C447="","",INDEX(Products!$C$5:$C$504,MATCH(C447,Products!$A$5:$A$504,0))),"")</f>
        <v/>
      </c>
      <c r="E447" s="13" t="n">
        <v>1</v>
      </c>
      <c r="F447" s="11"/>
      <c r="G447" s="10" t="s">
        <v>114</v>
      </c>
      <c r="H447" s="9" t="n">
        <f aca="false">IFERROR(E447*F447,"")</f>
        <v>0</v>
      </c>
      <c r="I447" s="9" t="n">
        <f aca="false">IFERROR(H447*IFERROR(VLOOKUP(G447,VatRates,2,FALSE()),0),"")</f>
        <v>0</v>
      </c>
      <c r="J447" s="9" t="n">
        <f aca="false">IFERROR(H447+I447,"")</f>
        <v>0</v>
      </c>
      <c r="K447" s="13" t="n">
        <v>0</v>
      </c>
    </row>
    <row r="448" customFormat="false" ht="15" hidden="false" customHeight="false" outlineLevel="0" collapsed="false">
      <c r="A448" s="10"/>
      <c r="B448" s="10"/>
      <c r="C448" s="10"/>
      <c r="D448" s="14" t="str">
        <f aca="false">IFERROR(IF(C448="","",INDEX(Products!$C$5:$C$504,MATCH(C448,Products!$A$5:$A$504,0))),"")</f>
        <v/>
      </c>
      <c r="E448" s="13" t="n">
        <v>1</v>
      </c>
      <c r="F448" s="11"/>
      <c r="G448" s="10" t="s">
        <v>114</v>
      </c>
      <c r="H448" s="9" t="n">
        <f aca="false">IFERROR(E448*F448,"")</f>
        <v>0</v>
      </c>
      <c r="I448" s="9" t="n">
        <f aca="false">IFERROR(H448*IFERROR(VLOOKUP(G448,VatRates,2,FALSE()),0),"")</f>
        <v>0</v>
      </c>
      <c r="J448" s="9" t="n">
        <f aca="false">IFERROR(H448+I448,"")</f>
        <v>0</v>
      </c>
      <c r="K448" s="13" t="n">
        <v>0</v>
      </c>
    </row>
    <row r="449" customFormat="false" ht="15" hidden="false" customHeight="false" outlineLevel="0" collapsed="false">
      <c r="A449" s="10"/>
      <c r="B449" s="10"/>
      <c r="C449" s="10"/>
      <c r="D449" s="14" t="str">
        <f aca="false">IFERROR(IF(C449="","",INDEX(Products!$C$5:$C$504,MATCH(C449,Products!$A$5:$A$504,0))),"")</f>
        <v/>
      </c>
      <c r="E449" s="13" t="n">
        <v>1</v>
      </c>
      <c r="F449" s="11"/>
      <c r="G449" s="10" t="s">
        <v>114</v>
      </c>
      <c r="H449" s="9" t="n">
        <f aca="false">IFERROR(E449*F449,"")</f>
        <v>0</v>
      </c>
      <c r="I449" s="9" t="n">
        <f aca="false">IFERROR(H449*IFERROR(VLOOKUP(G449,VatRates,2,FALSE()),0),"")</f>
        <v>0</v>
      </c>
      <c r="J449" s="9" t="n">
        <f aca="false">IFERROR(H449+I449,"")</f>
        <v>0</v>
      </c>
      <c r="K449" s="13" t="n">
        <v>0</v>
      </c>
    </row>
    <row r="450" customFormat="false" ht="15" hidden="false" customHeight="false" outlineLevel="0" collapsed="false">
      <c r="A450" s="10"/>
      <c r="B450" s="10"/>
      <c r="C450" s="10"/>
      <c r="D450" s="14" t="str">
        <f aca="false">IFERROR(IF(C450="","",INDEX(Products!$C$5:$C$504,MATCH(C450,Products!$A$5:$A$504,0))),"")</f>
        <v/>
      </c>
      <c r="E450" s="13" t="n">
        <v>1</v>
      </c>
      <c r="F450" s="11"/>
      <c r="G450" s="10" t="s">
        <v>114</v>
      </c>
      <c r="H450" s="9" t="n">
        <f aca="false">IFERROR(E450*F450,"")</f>
        <v>0</v>
      </c>
      <c r="I450" s="9" t="n">
        <f aca="false">IFERROR(H450*IFERROR(VLOOKUP(G450,VatRates,2,FALSE()),0),"")</f>
        <v>0</v>
      </c>
      <c r="J450" s="9" t="n">
        <f aca="false">IFERROR(H450+I450,"")</f>
        <v>0</v>
      </c>
      <c r="K450" s="13" t="n">
        <v>0</v>
      </c>
    </row>
    <row r="451" customFormat="false" ht="15" hidden="false" customHeight="false" outlineLevel="0" collapsed="false">
      <c r="A451" s="10"/>
      <c r="B451" s="10"/>
      <c r="C451" s="10"/>
      <c r="D451" s="14" t="str">
        <f aca="false">IFERROR(IF(C451="","",INDEX(Products!$C$5:$C$504,MATCH(C451,Products!$A$5:$A$504,0))),"")</f>
        <v/>
      </c>
      <c r="E451" s="13" t="n">
        <v>1</v>
      </c>
      <c r="F451" s="11"/>
      <c r="G451" s="10" t="s">
        <v>114</v>
      </c>
      <c r="H451" s="9" t="n">
        <f aca="false">IFERROR(E451*F451,"")</f>
        <v>0</v>
      </c>
      <c r="I451" s="9" t="n">
        <f aca="false">IFERROR(H451*IFERROR(VLOOKUP(G451,VatRates,2,FALSE()),0),"")</f>
        <v>0</v>
      </c>
      <c r="J451" s="9" t="n">
        <f aca="false">IFERROR(H451+I451,"")</f>
        <v>0</v>
      </c>
      <c r="K451" s="13" t="n">
        <v>0</v>
      </c>
    </row>
    <row r="452" customFormat="false" ht="15" hidden="false" customHeight="false" outlineLevel="0" collapsed="false">
      <c r="A452" s="10"/>
      <c r="B452" s="10"/>
      <c r="C452" s="10"/>
      <c r="D452" s="14" t="str">
        <f aca="false">IFERROR(IF(C452="","",INDEX(Products!$C$5:$C$504,MATCH(C452,Products!$A$5:$A$504,0))),"")</f>
        <v/>
      </c>
      <c r="E452" s="13" t="n">
        <v>1</v>
      </c>
      <c r="F452" s="11"/>
      <c r="G452" s="10" t="s">
        <v>114</v>
      </c>
      <c r="H452" s="9" t="n">
        <f aca="false">IFERROR(E452*F452,"")</f>
        <v>0</v>
      </c>
      <c r="I452" s="9" t="n">
        <f aca="false">IFERROR(H452*IFERROR(VLOOKUP(G452,VatRates,2,FALSE()),0),"")</f>
        <v>0</v>
      </c>
      <c r="J452" s="9" t="n">
        <f aca="false">IFERROR(H452+I452,"")</f>
        <v>0</v>
      </c>
      <c r="K452" s="13" t="n">
        <v>0</v>
      </c>
    </row>
    <row r="453" customFormat="false" ht="15" hidden="false" customHeight="false" outlineLevel="0" collapsed="false">
      <c r="A453" s="10"/>
      <c r="B453" s="10"/>
      <c r="C453" s="10"/>
      <c r="D453" s="14" t="str">
        <f aca="false">IFERROR(IF(C453="","",INDEX(Products!$C$5:$C$504,MATCH(C453,Products!$A$5:$A$504,0))),"")</f>
        <v/>
      </c>
      <c r="E453" s="13" t="n">
        <v>1</v>
      </c>
      <c r="F453" s="11"/>
      <c r="G453" s="10" t="s">
        <v>114</v>
      </c>
      <c r="H453" s="9" t="n">
        <f aca="false">IFERROR(E453*F453,"")</f>
        <v>0</v>
      </c>
      <c r="I453" s="9" t="n">
        <f aca="false">IFERROR(H453*IFERROR(VLOOKUP(G453,VatRates,2,FALSE()),0),"")</f>
        <v>0</v>
      </c>
      <c r="J453" s="9" t="n">
        <f aca="false">IFERROR(H453+I453,"")</f>
        <v>0</v>
      </c>
      <c r="K453" s="13" t="n">
        <v>0</v>
      </c>
    </row>
    <row r="454" customFormat="false" ht="15" hidden="false" customHeight="false" outlineLevel="0" collapsed="false">
      <c r="A454" s="10"/>
      <c r="B454" s="10"/>
      <c r="C454" s="10"/>
      <c r="D454" s="14" t="str">
        <f aca="false">IFERROR(IF(C454="","",INDEX(Products!$C$5:$C$504,MATCH(C454,Products!$A$5:$A$504,0))),"")</f>
        <v/>
      </c>
      <c r="E454" s="13" t="n">
        <v>1</v>
      </c>
      <c r="F454" s="11"/>
      <c r="G454" s="10" t="s">
        <v>114</v>
      </c>
      <c r="H454" s="9" t="n">
        <f aca="false">IFERROR(E454*F454,"")</f>
        <v>0</v>
      </c>
      <c r="I454" s="9" t="n">
        <f aca="false">IFERROR(H454*IFERROR(VLOOKUP(G454,VatRates,2,FALSE()),0),"")</f>
        <v>0</v>
      </c>
      <c r="J454" s="9" t="n">
        <f aca="false">IFERROR(H454+I454,"")</f>
        <v>0</v>
      </c>
      <c r="K454" s="13" t="n">
        <v>0</v>
      </c>
    </row>
    <row r="455" customFormat="false" ht="15" hidden="false" customHeight="false" outlineLevel="0" collapsed="false">
      <c r="A455" s="10"/>
      <c r="B455" s="10"/>
      <c r="C455" s="10"/>
      <c r="D455" s="14" t="str">
        <f aca="false">IFERROR(IF(C455="","",INDEX(Products!$C$5:$C$504,MATCH(C455,Products!$A$5:$A$504,0))),"")</f>
        <v/>
      </c>
      <c r="E455" s="13" t="n">
        <v>1</v>
      </c>
      <c r="F455" s="11"/>
      <c r="G455" s="10" t="s">
        <v>114</v>
      </c>
      <c r="H455" s="9" t="n">
        <f aca="false">IFERROR(E455*F455,"")</f>
        <v>0</v>
      </c>
      <c r="I455" s="9" t="n">
        <f aca="false">IFERROR(H455*IFERROR(VLOOKUP(G455,VatRates,2,FALSE()),0),"")</f>
        <v>0</v>
      </c>
      <c r="J455" s="9" t="n">
        <f aca="false">IFERROR(H455+I455,"")</f>
        <v>0</v>
      </c>
      <c r="K455" s="13" t="n">
        <v>0</v>
      </c>
    </row>
    <row r="456" customFormat="false" ht="15" hidden="false" customHeight="false" outlineLevel="0" collapsed="false">
      <c r="A456" s="10"/>
      <c r="B456" s="10"/>
      <c r="C456" s="10"/>
      <c r="D456" s="14" t="str">
        <f aca="false">IFERROR(IF(C456="","",INDEX(Products!$C$5:$C$504,MATCH(C456,Products!$A$5:$A$504,0))),"")</f>
        <v/>
      </c>
      <c r="E456" s="13" t="n">
        <v>1</v>
      </c>
      <c r="F456" s="11"/>
      <c r="G456" s="10" t="s">
        <v>114</v>
      </c>
      <c r="H456" s="9" t="n">
        <f aca="false">IFERROR(E456*F456,"")</f>
        <v>0</v>
      </c>
      <c r="I456" s="9" t="n">
        <f aca="false">IFERROR(H456*IFERROR(VLOOKUP(G456,VatRates,2,FALSE()),0),"")</f>
        <v>0</v>
      </c>
      <c r="J456" s="9" t="n">
        <f aca="false">IFERROR(H456+I456,"")</f>
        <v>0</v>
      </c>
      <c r="K456" s="13" t="n">
        <v>0</v>
      </c>
    </row>
    <row r="457" customFormat="false" ht="15" hidden="false" customHeight="false" outlineLevel="0" collapsed="false">
      <c r="A457" s="10"/>
      <c r="B457" s="10"/>
      <c r="C457" s="10"/>
      <c r="D457" s="14" t="str">
        <f aca="false">IFERROR(IF(C457="","",INDEX(Products!$C$5:$C$504,MATCH(C457,Products!$A$5:$A$504,0))),"")</f>
        <v/>
      </c>
      <c r="E457" s="13" t="n">
        <v>1</v>
      </c>
      <c r="F457" s="11"/>
      <c r="G457" s="10" t="s">
        <v>114</v>
      </c>
      <c r="H457" s="9" t="n">
        <f aca="false">IFERROR(E457*F457,"")</f>
        <v>0</v>
      </c>
      <c r="I457" s="9" t="n">
        <f aca="false">IFERROR(H457*IFERROR(VLOOKUP(G457,VatRates,2,FALSE()),0),"")</f>
        <v>0</v>
      </c>
      <c r="J457" s="9" t="n">
        <f aca="false">IFERROR(H457+I457,"")</f>
        <v>0</v>
      </c>
      <c r="K457" s="13" t="n">
        <v>0</v>
      </c>
    </row>
    <row r="458" customFormat="false" ht="15" hidden="false" customHeight="false" outlineLevel="0" collapsed="false">
      <c r="A458" s="10"/>
      <c r="B458" s="10"/>
      <c r="C458" s="10"/>
      <c r="D458" s="14" t="str">
        <f aca="false">IFERROR(IF(C458="","",INDEX(Products!$C$5:$C$504,MATCH(C458,Products!$A$5:$A$504,0))),"")</f>
        <v/>
      </c>
      <c r="E458" s="13" t="n">
        <v>1</v>
      </c>
      <c r="F458" s="11"/>
      <c r="G458" s="10" t="s">
        <v>114</v>
      </c>
      <c r="H458" s="9" t="n">
        <f aca="false">IFERROR(E458*F458,"")</f>
        <v>0</v>
      </c>
      <c r="I458" s="9" t="n">
        <f aca="false">IFERROR(H458*IFERROR(VLOOKUP(G458,VatRates,2,FALSE()),0),"")</f>
        <v>0</v>
      </c>
      <c r="J458" s="9" t="n">
        <f aca="false">IFERROR(H458+I458,"")</f>
        <v>0</v>
      </c>
      <c r="K458" s="13" t="n">
        <v>0</v>
      </c>
    </row>
    <row r="459" customFormat="false" ht="15" hidden="false" customHeight="false" outlineLevel="0" collapsed="false">
      <c r="A459" s="10"/>
      <c r="B459" s="10"/>
      <c r="C459" s="10"/>
      <c r="D459" s="14" t="str">
        <f aca="false">IFERROR(IF(C459="","",INDEX(Products!$C$5:$C$504,MATCH(C459,Products!$A$5:$A$504,0))),"")</f>
        <v/>
      </c>
      <c r="E459" s="13" t="n">
        <v>1</v>
      </c>
      <c r="F459" s="11"/>
      <c r="G459" s="10" t="s">
        <v>114</v>
      </c>
      <c r="H459" s="9" t="n">
        <f aca="false">IFERROR(E459*F459,"")</f>
        <v>0</v>
      </c>
      <c r="I459" s="9" t="n">
        <f aca="false">IFERROR(H459*IFERROR(VLOOKUP(G459,VatRates,2,FALSE()),0),"")</f>
        <v>0</v>
      </c>
      <c r="J459" s="9" t="n">
        <f aca="false">IFERROR(H459+I459,"")</f>
        <v>0</v>
      </c>
      <c r="K459" s="13" t="n">
        <v>0</v>
      </c>
    </row>
    <row r="460" customFormat="false" ht="15" hidden="false" customHeight="false" outlineLevel="0" collapsed="false">
      <c r="A460" s="10"/>
      <c r="B460" s="10"/>
      <c r="C460" s="10"/>
      <c r="D460" s="14" t="str">
        <f aca="false">IFERROR(IF(C460="","",INDEX(Products!$C$5:$C$504,MATCH(C460,Products!$A$5:$A$504,0))),"")</f>
        <v/>
      </c>
      <c r="E460" s="13" t="n">
        <v>1</v>
      </c>
      <c r="F460" s="11"/>
      <c r="G460" s="10" t="s">
        <v>114</v>
      </c>
      <c r="H460" s="9" t="n">
        <f aca="false">IFERROR(E460*F460,"")</f>
        <v>0</v>
      </c>
      <c r="I460" s="9" t="n">
        <f aca="false">IFERROR(H460*IFERROR(VLOOKUP(G460,VatRates,2,FALSE()),0),"")</f>
        <v>0</v>
      </c>
      <c r="J460" s="9" t="n">
        <f aca="false">IFERROR(H460+I460,"")</f>
        <v>0</v>
      </c>
      <c r="K460" s="13" t="n">
        <v>0</v>
      </c>
    </row>
    <row r="461" customFormat="false" ht="15" hidden="false" customHeight="false" outlineLevel="0" collapsed="false">
      <c r="A461" s="10"/>
      <c r="B461" s="10"/>
      <c r="C461" s="10"/>
      <c r="D461" s="14" t="str">
        <f aca="false">IFERROR(IF(C461="","",INDEX(Products!$C$5:$C$504,MATCH(C461,Products!$A$5:$A$504,0))),"")</f>
        <v/>
      </c>
      <c r="E461" s="13" t="n">
        <v>1</v>
      </c>
      <c r="F461" s="11"/>
      <c r="G461" s="10" t="s">
        <v>114</v>
      </c>
      <c r="H461" s="9" t="n">
        <f aca="false">IFERROR(E461*F461,"")</f>
        <v>0</v>
      </c>
      <c r="I461" s="9" t="n">
        <f aca="false">IFERROR(H461*IFERROR(VLOOKUP(G461,VatRates,2,FALSE()),0),"")</f>
        <v>0</v>
      </c>
      <c r="J461" s="9" t="n">
        <f aca="false">IFERROR(H461+I461,"")</f>
        <v>0</v>
      </c>
      <c r="K461" s="13" t="n">
        <v>0</v>
      </c>
    </row>
    <row r="462" customFormat="false" ht="15" hidden="false" customHeight="false" outlineLevel="0" collapsed="false">
      <c r="A462" s="10"/>
      <c r="B462" s="10"/>
      <c r="C462" s="10"/>
      <c r="D462" s="14" t="str">
        <f aca="false">IFERROR(IF(C462="","",INDEX(Products!$C$5:$C$504,MATCH(C462,Products!$A$5:$A$504,0))),"")</f>
        <v/>
      </c>
      <c r="E462" s="13" t="n">
        <v>1</v>
      </c>
      <c r="F462" s="11"/>
      <c r="G462" s="10" t="s">
        <v>114</v>
      </c>
      <c r="H462" s="9" t="n">
        <f aca="false">IFERROR(E462*F462,"")</f>
        <v>0</v>
      </c>
      <c r="I462" s="9" t="n">
        <f aca="false">IFERROR(H462*IFERROR(VLOOKUP(G462,VatRates,2,FALSE()),0),"")</f>
        <v>0</v>
      </c>
      <c r="J462" s="9" t="n">
        <f aca="false">IFERROR(H462+I462,"")</f>
        <v>0</v>
      </c>
      <c r="K462" s="13" t="n">
        <v>0</v>
      </c>
    </row>
    <row r="463" customFormat="false" ht="15" hidden="false" customHeight="false" outlineLevel="0" collapsed="false">
      <c r="A463" s="10"/>
      <c r="B463" s="10"/>
      <c r="C463" s="10"/>
      <c r="D463" s="14" t="str">
        <f aca="false">IFERROR(IF(C463="","",INDEX(Products!$C$5:$C$504,MATCH(C463,Products!$A$5:$A$504,0))),"")</f>
        <v/>
      </c>
      <c r="E463" s="13" t="n">
        <v>1</v>
      </c>
      <c r="F463" s="11"/>
      <c r="G463" s="10" t="s">
        <v>114</v>
      </c>
      <c r="H463" s="9" t="n">
        <f aca="false">IFERROR(E463*F463,"")</f>
        <v>0</v>
      </c>
      <c r="I463" s="9" t="n">
        <f aca="false">IFERROR(H463*IFERROR(VLOOKUP(G463,VatRates,2,FALSE()),0),"")</f>
        <v>0</v>
      </c>
      <c r="J463" s="9" t="n">
        <f aca="false">IFERROR(H463+I463,"")</f>
        <v>0</v>
      </c>
      <c r="K463" s="13" t="n">
        <v>0</v>
      </c>
    </row>
    <row r="464" customFormat="false" ht="15" hidden="false" customHeight="false" outlineLevel="0" collapsed="false">
      <c r="A464" s="10"/>
      <c r="B464" s="10"/>
      <c r="C464" s="10"/>
      <c r="D464" s="14" t="str">
        <f aca="false">IFERROR(IF(C464="","",INDEX(Products!$C$5:$C$504,MATCH(C464,Products!$A$5:$A$504,0))),"")</f>
        <v/>
      </c>
      <c r="E464" s="13" t="n">
        <v>1</v>
      </c>
      <c r="F464" s="11"/>
      <c r="G464" s="10" t="s">
        <v>114</v>
      </c>
      <c r="H464" s="9" t="n">
        <f aca="false">IFERROR(E464*F464,"")</f>
        <v>0</v>
      </c>
      <c r="I464" s="9" t="n">
        <f aca="false">IFERROR(H464*IFERROR(VLOOKUP(G464,VatRates,2,FALSE()),0),"")</f>
        <v>0</v>
      </c>
      <c r="J464" s="9" t="n">
        <f aca="false">IFERROR(H464+I464,"")</f>
        <v>0</v>
      </c>
      <c r="K464" s="13" t="n">
        <v>0</v>
      </c>
    </row>
    <row r="465" customFormat="false" ht="15" hidden="false" customHeight="false" outlineLevel="0" collapsed="false">
      <c r="A465" s="10"/>
      <c r="B465" s="10"/>
      <c r="C465" s="10"/>
      <c r="D465" s="14" t="str">
        <f aca="false">IFERROR(IF(C465="","",INDEX(Products!$C$5:$C$504,MATCH(C465,Products!$A$5:$A$504,0))),"")</f>
        <v/>
      </c>
      <c r="E465" s="13" t="n">
        <v>1</v>
      </c>
      <c r="F465" s="11"/>
      <c r="G465" s="10" t="s">
        <v>114</v>
      </c>
      <c r="H465" s="9" t="n">
        <f aca="false">IFERROR(E465*F465,"")</f>
        <v>0</v>
      </c>
      <c r="I465" s="9" t="n">
        <f aca="false">IFERROR(H465*IFERROR(VLOOKUP(G465,VatRates,2,FALSE()),0),"")</f>
        <v>0</v>
      </c>
      <c r="J465" s="9" t="n">
        <f aca="false">IFERROR(H465+I465,"")</f>
        <v>0</v>
      </c>
      <c r="K465" s="13" t="n">
        <v>0</v>
      </c>
    </row>
    <row r="466" customFormat="false" ht="15" hidden="false" customHeight="false" outlineLevel="0" collapsed="false">
      <c r="A466" s="10"/>
      <c r="B466" s="10"/>
      <c r="C466" s="10"/>
      <c r="D466" s="14" t="str">
        <f aca="false">IFERROR(IF(C466="","",INDEX(Products!$C$5:$C$504,MATCH(C466,Products!$A$5:$A$504,0))),"")</f>
        <v/>
      </c>
      <c r="E466" s="13" t="n">
        <v>1</v>
      </c>
      <c r="F466" s="11"/>
      <c r="G466" s="10" t="s">
        <v>114</v>
      </c>
      <c r="H466" s="9" t="n">
        <f aca="false">IFERROR(E466*F466,"")</f>
        <v>0</v>
      </c>
      <c r="I466" s="9" t="n">
        <f aca="false">IFERROR(H466*IFERROR(VLOOKUP(G466,VatRates,2,FALSE()),0),"")</f>
        <v>0</v>
      </c>
      <c r="J466" s="9" t="n">
        <f aca="false">IFERROR(H466+I466,"")</f>
        <v>0</v>
      </c>
      <c r="K466" s="13" t="n">
        <v>0</v>
      </c>
    </row>
    <row r="467" customFormat="false" ht="15" hidden="false" customHeight="false" outlineLevel="0" collapsed="false">
      <c r="A467" s="10"/>
      <c r="B467" s="10"/>
      <c r="C467" s="10"/>
      <c r="D467" s="14" t="str">
        <f aca="false">IFERROR(IF(C467="","",INDEX(Products!$C$5:$C$504,MATCH(C467,Products!$A$5:$A$504,0))),"")</f>
        <v/>
      </c>
      <c r="E467" s="13" t="n">
        <v>1</v>
      </c>
      <c r="F467" s="11"/>
      <c r="G467" s="10" t="s">
        <v>114</v>
      </c>
      <c r="H467" s="9" t="n">
        <f aca="false">IFERROR(E467*F467,"")</f>
        <v>0</v>
      </c>
      <c r="I467" s="9" t="n">
        <f aca="false">IFERROR(H467*IFERROR(VLOOKUP(G467,VatRates,2,FALSE()),0),"")</f>
        <v>0</v>
      </c>
      <c r="J467" s="9" t="n">
        <f aca="false">IFERROR(H467+I467,"")</f>
        <v>0</v>
      </c>
      <c r="K467" s="13" t="n">
        <v>0</v>
      </c>
    </row>
    <row r="468" customFormat="false" ht="15" hidden="false" customHeight="false" outlineLevel="0" collapsed="false">
      <c r="A468" s="10"/>
      <c r="B468" s="10"/>
      <c r="C468" s="10"/>
      <c r="D468" s="14" t="str">
        <f aca="false">IFERROR(IF(C468="","",INDEX(Products!$C$5:$C$504,MATCH(C468,Products!$A$5:$A$504,0))),"")</f>
        <v/>
      </c>
      <c r="E468" s="13" t="n">
        <v>1</v>
      </c>
      <c r="F468" s="11"/>
      <c r="G468" s="10" t="s">
        <v>114</v>
      </c>
      <c r="H468" s="9" t="n">
        <f aca="false">IFERROR(E468*F468,"")</f>
        <v>0</v>
      </c>
      <c r="I468" s="9" t="n">
        <f aca="false">IFERROR(H468*IFERROR(VLOOKUP(G468,VatRates,2,FALSE()),0),"")</f>
        <v>0</v>
      </c>
      <c r="J468" s="9" t="n">
        <f aca="false">IFERROR(H468+I468,"")</f>
        <v>0</v>
      </c>
      <c r="K468" s="13" t="n">
        <v>0</v>
      </c>
    </row>
    <row r="469" customFormat="false" ht="15" hidden="false" customHeight="false" outlineLevel="0" collapsed="false">
      <c r="A469" s="10"/>
      <c r="B469" s="10"/>
      <c r="C469" s="10"/>
      <c r="D469" s="14" t="str">
        <f aca="false">IFERROR(IF(C469="","",INDEX(Products!$C$5:$C$504,MATCH(C469,Products!$A$5:$A$504,0))),"")</f>
        <v/>
      </c>
      <c r="E469" s="13" t="n">
        <v>1</v>
      </c>
      <c r="F469" s="11"/>
      <c r="G469" s="10" t="s">
        <v>114</v>
      </c>
      <c r="H469" s="9" t="n">
        <f aca="false">IFERROR(E469*F469,"")</f>
        <v>0</v>
      </c>
      <c r="I469" s="9" t="n">
        <f aca="false">IFERROR(H469*IFERROR(VLOOKUP(G469,VatRates,2,FALSE()),0),"")</f>
        <v>0</v>
      </c>
      <c r="J469" s="9" t="n">
        <f aca="false">IFERROR(H469+I469,"")</f>
        <v>0</v>
      </c>
      <c r="K469" s="13" t="n">
        <v>0</v>
      </c>
    </row>
    <row r="470" customFormat="false" ht="15" hidden="false" customHeight="false" outlineLevel="0" collapsed="false">
      <c r="A470" s="10"/>
      <c r="B470" s="10"/>
      <c r="C470" s="10"/>
      <c r="D470" s="14" t="str">
        <f aca="false">IFERROR(IF(C470="","",INDEX(Products!$C$5:$C$504,MATCH(C470,Products!$A$5:$A$504,0))),"")</f>
        <v/>
      </c>
      <c r="E470" s="13" t="n">
        <v>1</v>
      </c>
      <c r="F470" s="11"/>
      <c r="G470" s="10" t="s">
        <v>114</v>
      </c>
      <c r="H470" s="9" t="n">
        <f aca="false">IFERROR(E470*F470,"")</f>
        <v>0</v>
      </c>
      <c r="I470" s="9" t="n">
        <f aca="false">IFERROR(H470*IFERROR(VLOOKUP(G470,VatRates,2,FALSE()),0),"")</f>
        <v>0</v>
      </c>
      <c r="J470" s="9" t="n">
        <f aca="false">IFERROR(H470+I470,"")</f>
        <v>0</v>
      </c>
      <c r="K470" s="13" t="n">
        <v>0</v>
      </c>
    </row>
    <row r="471" customFormat="false" ht="15" hidden="false" customHeight="false" outlineLevel="0" collapsed="false">
      <c r="A471" s="10"/>
      <c r="B471" s="10"/>
      <c r="C471" s="10"/>
      <c r="D471" s="14" t="str">
        <f aca="false">IFERROR(IF(C471="","",INDEX(Products!$C$5:$C$504,MATCH(C471,Products!$A$5:$A$504,0))),"")</f>
        <v/>
      </c>
      <c r="E471" s="13" t="n">
        <v>1</v>
      </c>
      <c r="F471" s="11"/>
      <c r="G471" s="10" t="s">
        <v>114</v>
      </c>
      <c r="H471" s="9" t="n">
        <f aca="false">IFERROR(E471*F471,"")</f>
        <v>0</v>
      </c>
      <c r="I471" s="9" t="n">
        <f aca="false">IFERROR(H471*IFERROR(VLOOKUP(G471,VatRates,2,FALSE()),0),"")</f>
        <v>0</v>
      </c>
      <c r="J471" s="9" t="n">
        <f aca="false">IFERROR(H471+I471,"")</f>
        <v>0</v>
      </c>
      <c r="K471" s="13" t="n">
        <v>0</v>
      </c>
    </row>
    <row r="472" customFormat="false" ht="15" hidden="false" customHeight="false" outlineLevel="0" collapsed="false">
      <c r="A472" s="10"/>
      <c r="B472" s="10"/>
      <c r="C472" s="10"/>
      <c r="D472" s="14" t="str">
        <f aca="false">IFERROR(IF(C472="","",INDEX(Products!$C$5:$C$504,MATCH(C472,Products!$A$5:$A$504,0))),"")</f>
        <v/>
      </c>
      <c r="E472" s="13" t="n">
        <v>1</v>
      </c>
      <c r="F472" s="11"/>
      <c r="G472" s="10" t="s">
        <v>114</v>
      </c>
      <c r="H472" s="9" t="n">
        <f aca="false">IFERROR(E472*F472,"")</f>
        <v>0</v>
      </c>
      <c r="I472" s="9" t="n">
        <f aca="false">IFERROR(H472*IFERROR(VLOOKUP(G472,VatRates,2,FALSE()),0),"")</f>
        <v>0</v>
      </c>
      <c r="J472" s="9" t="n">
        <f aca="false">IFERROR(H472+I472,"")</f>
        <v>0</v>
      </c>
      <c r="K472" s="13" t="n">
        <v>0</v>
      </c>
    </row>
    <row r="473" customFormat="false" ht="15" hidden="false" customHeight="false" outlineLevel="0" collapsed="false">
      <c r="A473" s="10"/>
      <c r="B473" s="10"/>
      <c r="C473" s="10"/>
      <c r="D473" s="14" t="str">
        <f aca="false">IFERROR(IF(C473="","",INDEX(Products!$C$5:$C$504,MATCH(C473,Products!$A$5:$A$504,0))),"")</f>
        <v/>
      </c>
      <c r="E473" s="13" t="n">
        <v>1</v>
      </c>
      <c r="F473" s="11"/>
      <c r="G473" s="10" t="s">
        <v>114</v>
      </c>
      <c r="H473" s="9" t="n">
        <f aca="false">IFERROR(E473*F473,"")</f>
        <v>0</v>
      </c>
      <c r="I473" s="9" t="n">
        <f aca="false">IFERROR(H473*IFERROR(VLOOKUP(G473,VatRates,2,FALSE()),0),"")</f>
        <v>0</v>
      </c>
      <c r="J473" s="9" t="n">
        <f aca="false">IFERROR(H473+I473,"")</f>
        <v>0</v>
      </c>
      <c r="K473" s="13" t="n">
        <v>0</v>
      </c>
    </row>
    <row r="474" customFormat="false" ht="15" hidden="false" customHeight="false" outlineLevel="0" collapsed="false">
      <c r="A474" s="10"/>
      <c r="B474" s="10"/>
      <c r="C474" s="10"/>
      <c r="D474" s="14" t="str">
        <f aca="false">IFERROR(IF(C474="","",INDEX(Products!$C$5:$C$504,MATCH(C474,Products!$A$5:$A$504,0))),"")</f>
        <v/>
      </c>
      <c r="E474" s="13" t="n">
        <v>1</v>
      </c>
      <c r="F474" s="11"/>
      <c r="G474" s="10" t="s">
        <v>114</v>
      </c>
      <c r="H474" s="9" t="n">
        <f aca="false">IFERROR(E474*F474,"")</f>
        <v>0</v>
      </c>
      <c r="I474" s="9" t="n">
        <f aca="false">IFERROR(H474*IFERROR(VLOOKUP(G474,VatRates,2,FALSE()),0),"")</f>
        <v>0</v>
      </c>
      <c r="J474" s="9" t="n">
        <f aca="false">IFERROR(H474+I474,"")</f>
        <v>0</v>
      </c>
      <c r="K474" s="13" t="n">
        <v>0</v>
      </c>
    </row>
    <row r="475" customFormat="false" ht="15" hidden="false" customHeight="false" outlineLevel="0" collapsed="false">
      <c r="A475" s="10"/>
      <c r="B475" s="10"/>
      <c r="C475" s="10"/>
      <c r="D475" s="14" t="str">
        <f aca="false">IFERROR(IF(C475="","",INDEX(Products!$C$5:$C$504,MATCH(C475,Products!$A$5:$A$504,0))),"")</f>
        <v/>
      </c>
      <c r="E475" s="13" t="n">
        <v>1</v>
      </c>
      <c r="F475" s="11"/>
      <c r="G475" s="10" t="s">
        <v>114</v>
      </c>
      <c r="H475" s="9" t="n">
        <f aca="false">IFERROR(E475*F475,"")</f>
        <v>0</v>
      </c>
      <c r="I475" s="9" t="n">
        <f aca="false">IFERROR(H475*IFERROR(VLOOKUP(G475,VatRates,2,FALSE()),0),"")</f>
        <v>0</v>
      </c>
      <c r="J475" s="9" t="n">
        <f aca="false">IFERROR(H475+I475,"")</f>
        <v>0</v>
      </c>
      <c r="K475" s="13" t="n">
        <v>0</v>
      </c>
    </row>
    <row r="476" customFormat="false" ht="15" hidden="false" customHeight="false" outlineLevel="0" collapsed="false">
      <c r="A476" s="10"/>
      <c r="B476" s="10"/>
      <c r="C476" s="10"/>
      <c r="D476" s="14" t="str">
        <f aca="false">IFERROR(IF(C476="","",INDEX(Products!$C$5:$C$504,MATCH(C476,Products!$A$5:$A$504,0))),"")</f>
        <v/>
      </c>
      <c r="E476" s="13" t="n">
        <v>1</v>
      </c>
      <c r="F476" s="11"/>
      <c r="G476" s="10" t="s">
        <v>114</v>
      </c>
      <c r="H476" s="9" t="n">
        <f aca="false">IFERROR(E476*F476,"")</f>
        <v>0</v>
      </c>
      <c r="I476" s="9" t="n">
        <f aca="false">IFERROR(H476*IFERROR(VLOOKUP(G476,VatRates,2,FALSE()),0),"")</f>
        <v>0</v>
      </c>
      <c r="J476" s="9" t="n">
        <f aca="false">IFERROR(H476+I476,"")</f>
        <v>0</v>
      </c>
      <c r="K476" s="13" t="n">
        <v>0</v>
      </c>
    </row>
    <row r="477" customFormat="false" ht="15" hidden="false" customHeight="false" outlineLevel="0" collapsed="false">
      <c r="A477" s="10"/>
      <c r="B477" s="10"/>
      <c r="C477" s="10"/>
      <c r="D477" s="14" t="str">
        <f aca="false">IFERROR(IF(C477="","",INDEX(Products!$C$5:$C$504,MATCH(C477,Products!$A$5:$A$504,0))),"")</f>
        <v/>
      </c>
      <c r="E477" s="13" t="n">
        <v>1</v>
      </c>
      <c r="F477" s="11"/>
      <c r="G477" s="10" t="s">
        <v>114</v>
      </c>
      <c r="H477" s="9" t="n">
        <f aca="false">IFERROR(E477*F477,"")</f>
        <v>0</v>
      </c>
      <c r="I477" s="9" t="n">
        <f aca="false">IFERROR(H477*IFERROR(VLOOKUP(G477,VatRates,2,FALSE()),0),"")</f>
        <v>0</v>
      </c>
      <c r="J477" s="9" t="n">
        <f aca="false">IFERROR(H477+I477,"")</f>
        <v>0</v>
      </c>
      <c r="K477" s="13" t="n">
        <v>0</v>
      </c>
    </row>
    <row r="478" customFormat="false" ht="15" hidden="false" customHeight="false" outlineLevel="0" collapsed="false">
      <c r="A478" s="10"/>
      <c r="B478" s="10"/>
      <c r="C478" s="10"/>
      <c r="D478" s="14" t="str">
        <f aca="false">IFERROR(IF(C478="","",INDEX(Products!$C$5:$C$504,MATCH(C478,Products!$A$5:$A$504,0))),"")</f>
        <v/>
      </c>
      <c r="E478" s="13" t="n">
        <v>1</v>
      </c>
      <c r="F478" s="11"/>
      <c r="G478" s="10" t="s">
        <v>114</v>
      </c>
      <c r="H478" s="9" t="n">
        <f aca="false">IFERROR(E478*F478,"")</f>
        <v>0</v>
      </c>
      <c r="I478" s="9" t="n">
        <f aca="false">IFERROR(H478*IFERROR(VLOOKUP(G478,VatRates,2,FALSE()),0),"")</f>
        <v>0</v>
      </c>
      <c r="J478" s="9" t="n">
        <f aca="false">IFERROR(H478+I478,"")</f>
        <v>0</v>
      </c>
      <c r="K478" s="13" t="n">
        <v>0</v>
      </c>
    </row>
    <row r="479" customFormat="false" ht="15" hidden="false" customHeight="false" outlineLevel="0" collapsed="false">
      <c r="A479" s="10"/>
      <c r="B479" s="10"/>
      <c r="C479" s="10"/>
      <c r="D479" s="14" t="str">
        <f aca="false">IFERROR(IF(C479="","",INDEX(Products!$C$5:$C$504,MATCH(C479,Products!$A$5:$A$504,0))),"")</f>
        <v/>
      </c>
      <c r="E479" s="13" t="n">
        <v>1</v>
      </c>
      <c r="F479" s="11"/>
      <c r="G479" s="10" t="s">
        <v>114</v>
      </c>
      <c r="H479" s="9" t="n">
        <f aca="false">IFERROR(E479*F479,"")</f>
        <v>0</v>
      </c>
      <c r="I479" s="9" t="n">
        <f aca="false">IFERROR(H479*IFERROR(VLOOKUP(G479,VatRates,2,FALSE()),0),"")</f>
        <v>0</v>
      </c>
      <c r="J479" s="9" t="n">
        <f aca="false">IFERROR(H479+I479,"")</f>
        <v>0</v>
      </c>
      <c r="K479" s="13" t="n">
        <v>0</v>
      </c>
    </row>
    <row r="480" customFormat="false" ht="15" hidden="false" customHeight="false" outlineLevel="0" collapsed="false">
      <c r="A480" s="10"/>
      <c r="B480" s="10"/>
      <c r="C480" s="10"/>
      <c r="D480" s="14" t="str">
        <f aca="false">IFERROR(IF(C480="","",INDEX(Products!$C$5:$C$504,MATCH(C480,Products!$A$5:$A$504,0))),"")</f>
        <v/>
      </c>
      <c r="E480" s="13" t="n">
        <v>1</v>
      </c>
      <c r="F480" s="11"/>
      <c r="G480" s="10" t="s">
        <v>114</v>
      </c>
      <c r="H480" s="9" t="n">
        <f aca="false">IFERROR(E480*F480,"")</f>
        <v>0</v>
      </c>
      <c r="I480" s="9" t="n">
        <f aca="false">IFERROR(H480*IFERROR(VLOOKUP(G480,VatRates,2,FALSE()),0),"")</f>
        <v>0</v>
      </c>
      <c r="J480" s="9" t="n">
        <f aca="false">IFERROR(H480+I480,"")</f>
        <v>0</v>
      </c>
      <c r="K480" s="13" t="n">
        <v>0</v>
      </c>
    </row>
    <row r="481" customFormat="false" ht="15" hidden="false" customHeight="false" outlineLevel="0" collapsed="false">
      <c r="A481" s="10"/>
      <c r="B481" s="10"/>
      <c r="C481" s="10"/>
      <c r="D481" s="14" t="str">
        <f aca="false">IFERROR(IF(C481="","",INDEX(Products!$C$5:$C$504,MATCH(C481,Products!$A$5:$A$504,0))),"")</f>
        <v/>
      </c>
      <c r="E481" s="13" t="n">
        <v>1</v>
      </c>
      <c r="F481" s="11"/>
      <c r="G481" s="10" t="s">
        <v>114</v>
      </c>
      <c r="H481" s="9" t="n">
        <f aca="false">IFERROR(E481*F481,"")</f>
        <v>0</v>
      </c>
      <c r="I481" s="9" t="n">
        <f aca="false">IFERROR(H481*IFERROR(VLOOKUP(G481,VatRates,2,FALSE()),0),"")</f>
        <v>0</v>
      </c>
      <c r="J481" s="9" t="n">
        <f aca="false">IFERROR(H481+I481,"")</f>
        <v>0</v>
      </c>
      <c r="K481" s="13" t="n">
        <v>0</v>
      </c>
    </row>
    <row r="482" customFormat="false" ht="15" hidden="false" customHeight="false" outlineLevel="0" collapsed="false">
      <c r="A482" s="10"/>
      <c r="B482" s="10"/>
      <c r="C482" s="10"/>
      <c r="D482" s="14" t="str">
        <f aca="false">IFERROR(IF(C482="","",INDEX(Products!$C$5:$C$504,MATCH(C482,Products!$A$5:$A$504,0))),"")</f>
        <v/>
      </c>
      <c r="E482" s="13" t="n">
        <v>1</v>
      </c>
      <c r="F482" s="11"/>
      <c r="G482" s="10" t="s">
        <v>114</v>
      </c>
      <c r="H482" s="9" t="n">
        <f aca="false">IFERROR(E482*F482,"")</f>
        <v>0</v>
      </c>
      <c r="I482" s="9" t="n">
        <f aca="false">IFERROR(H482*IFERROR(VLOOKUP(G482,VatRates,2,FALSE()),0),"")</f>
        <v>0</v>
      </c>
      <c r="J482" s="9" t="n">
        <f aca="false">IFERROR(H482+I482,"")</f>
        <v>0</v>
      </c>
      <c r="K482" s="13" t="n">
        <v>0</v>
      </c>
    </row>
    <row r="483" customFormat="false" ht="15" hidden="false" customHeight="false" outlineLevel="0" collapsed="false">
      <c r="A483" s="10"/>
      <c r="B483" s="10"/>
      <c r="C483" s="10"/>
      <c r="D483" s="14" t="str">
        <f aca="false">IFERROR(IF(C483="","",INDEX(Products!$C$5:$C$504,MATCH(C483,Products!$A$5:$A$504,0))),"")</f>
        <v/>
      </c>
      <c r="E483" s="13" t="n">
        <v>1</v>
      </c>
      <c r="F483" s="11"/>
      <c r="G483" s="10" t="s">
        <v>114</v>
      </c>
      <c r="H483" s="9" t="n">
        <f aca="false">IFERROR(E483*F483,"")</f>
        <v>0</v>
      </c>
      <c r="I483" s="9" t="n">
        <f aca="false">IFERROR(H483*IFERROR(VLOOKUP(G483,VatRates,2,FALSE()),0),"")</f>
        <v>0</v>
      </c>
      <c r="J483" s="9" t="n">
        <f aca="false">IFERROR(H483+I483,"")</f>
        <v>0</v>
      </c>
      <c r="K483" s="13" t="n">
        <v>0</v>
      </c>
    </row>
    <row r="484" customFormat="false" ht="15" hidden="false" customHeight="false" outlineLevel="0" collapsed="false">
      <c r="A484" s="10"/>
      <c r="B484" s="10"/>
      <c r="C484" s="10"/>
      <c r="D484" s="14" t="str">
        <f aca="false">IFERROR(IF(C484="","",INDEX(Products!$C$5:$C$504,MATCH(C484,Products!$A$5:$A$504,0))),"")</f>
        <v/>
      </c>
      <c r="E484" s="13" t="n">
        <v>1</v>
      </c>
      <c r="F484" s="11"/>
      <c r="G484" s="10" t="s">
        <v>114</v>
      </c>
      <c r="H484" s="9" t="n">
        <f aca="false">IFERROR(E484*F484,"")</f>
        <v>0</v>
      </c>
      <c r="I484" s="9" t="n">
        <f aca="false">IFERROR(H484*IFERROR(VLOOKUP(G484,VatRates,2,FALSE()),0),"")</f>
        <v>0</v>
      </c>
      <c r="J484" s="9" t="n">
        <f aca="false">IFERROR(H484+I484,"")</f>
        <v>0</v>
      </c>
      <c r="K484" s="13" t="n">
        <v>0</v>
      </c>
    </row>
    <row r="485" customFormat="false" ht="15" hidden="false" customHeight="false" outlineLevel="0" collapsed="false">
      <c r="A485" s="10"/>
      <c r="B485" s="10"/>
      <c r="C485" s="10"/>
      <c r="D485" s="14" t="str">
        <f aca="false">IFERROR(IF(C485="","",INDEX(Products!$C$5:$C$504,MATCH(C485,Products!$A$5:$A$504,0))),"")</f>
        <v/>
      </c>
      <c r="E485" s="13" t="n">
        <v>1</v>
      </c>
      <c r="F485" s="11"/>
      <c r="G485" s="10" t="s">
        <v>114</v>
      </c>
      <c r="H485" s="9" t="n">
        <f aca="false">IFERROR(E485*F485,"")</f>
        <v>0</v>
      </c>
      <c r="I485" s="9" t="n">
        <f aca="false">IFERROR(H485*IFERROR(VLOOKUP(G485,VatRates,2,FALSE()),0),"")</f>
        <v>0</v>
      </c>
      <c r="J485" s="9" t="n">
        <f aca="false">IFERROR(H485+I485,"")</f>
        <v>0</v>
      </c>
      <c r="K485" s="13" t="n">
        <v>0</v>
      </c>
    </row>
    <row r="486" customFormat="false" ht="15" hidden="false" customHeight="false" outlineLevel="0" collapsed="false">
      <c r="A486" s="10"/>
      <c r="B486" s="10"/>
      <c r="C486" s="10"/>
      <c r="D486" s="14" t="str">
        <f aca="false">IFERROR(IF(C486="","",INDEX(Products!$C$5:$C$504,MATCH(C486,Products!$A$5:$A$504,0))),"")</f>
        <v/>
      </c>
      <c r="E486" s="13" t="n">
        <v>1</v>
      </c>
      <c r="F486" s="11"/>
      <c r="G486" s="10" t="s">
        <v>114</v>
      </c>
      <c r="H486" s="9" t="n">
        <f aca="false">IFERROR(E486*F486,"")</f>
        <v>0</v>
      </c>
      <c r="I486" s="9" t="n">
        <f aca="false">IFERROR(H486*IFERROR(VLOOKUP(G486,VatRates,2,FALSE()),0),"")</f>
        <v>0</v>
      </c>
      <c r="J486" s="9" t="n">
        <f aca="false">IFERROR(H486+I486,"")</f>
        <v>0</v>
      </c>
      <c r="K486" s="13" t="n">
        <v>0</v>
      </c>
    </row>
    <row r="487" customFormat="false" ht="15" hidden="false" customHeight="false" outlineLevel="0" collapsed="false">
      <c r="A487" s="10"/>
      <c r="B487" s="10"/>
      <c r="C487" s="10"/>
      <c r="D487" s="14" t="str">
        <f aca="false">IFERROR(IF(C487="","",INDEX(Products!$C$5:$C$504,MATCH(C487,Products!$A$5:$A$504,0))),"")</f>
        <v/>
      </c>
      <c r="E487" s="13" t="n">
        <v>1</v>
      </c>
      <c r="F487" s="11"/>
      <c r="G487" s="10" t="s">
        <v>114</v>
      </c>
      <c r="H487" s="9" t="n">
        <f aca="false">IFERROR(E487*F487,"")</f>
        <v>0</v>
      </c>
      <c r="I487" s="9" t="n">
        <f aca="false">IFERROR(H487*IFERROR(VLOOKUP(G487,VatRates,2,FALSE()),0),"")</f>
        <v>0</v>
      </c>
      <c r="J487" s="9" t="n">
        <f aca="false">IFERROR(H487+I487,"")</f>
        <v>0</v>
      </c>
      <c r="K487" s="13" t="n">
        <v>0</v>
      </c>
    </row>
    <row r="488" customFormat="false" ht="15" hidden="false" customHeight="false" outlineLevel="0" collapsed="false">
      <c r="A488" s="10"/>
      <c r="B488" s="10"/>
      <c r="C488" s="10"/>
      <c r="D488" s="14" t="str">
        <f aca="false">IFERROR(IF(C488="","",INDEX(Products!$C$5:$C$504,MATCH(C488,Products!$A$5:$A$504,0))),"")</f>
        <v/>
      </c>
      <c r="E488" s="13" t="n">
        <v>1</v>
      </c>
      <c r="F488" s="11"/>
      <c r="G488" s="10" t="s">
        <v>114</v>
      </c>
      <c r="H488" s="9" t="n">
        <f aca="false">IFERROR(E488*F488,"")</f>
        <v>0</v>
      </c>
      <c r="I488" s="9" t="n">
        <f aca="false">IFERROR(H488*IFERROR(VLOOKUP(G488,VatRates,2,FALSE()),0),"")</f>
        <v>0</v>
      </c>
      <c r="J488" s="9" t="n">
        <f aca="false">IFERROR(H488+I488,"")</f>
        <v>0</v>
      </c>
      <c r="K488" s="13" t="n">
        <v>0</v>
      </c>
    </row>
    <row r="489" customFormat="false" ht="15" hidden="false" customHeight="false" outlineLevel="0" collapsed="false">
      <c r="A489" s="10"/>
      <c r="B489" s="10"/>
      <c r="C489" s="10"/>
      <c r="D489" s="14" t="str">
        <f aca="false">IFERROR(IF(C489="","",INDEX(Products!$C$5:$C$504,MATCH(C489,Products!$A$5:$A$504,0))),"")</f>
        <v/>
      </c>
      <c r="E489" s="13" t="n">
        <v>1</v>
      </c>
      <c r="F489" s="11"/>
      <c r="G489" s="10" t="s">
        <v>114</v>
      </c>
      <c r="H489" s="9" t="n">
        <f aca="false">IFERROR(E489*F489,"")</f>
        <v>0</v>
      </c>
      <c r="I489" s="9" t="n">
        <f aca="false">IFERROR(H489*IFERROR(VLOOKUP(G489,VatRates,2,FALSE()),0),"")</f>
        <v>0</v>
      </c>
      <c r="J489" s="9" t="n">
        <f aca="false">IFERROR(H489+I489,"")</f>
        <v>0</v>
      </c>
      <c r="K489" s="13" t="n">
        <v>0</v>
      </c>
    </row>
    <row r="490" customFormat="false" ht="15" hidden="false" customHeight="false" outlineLevel="0" collapsed="false">
      <c r="A490" s="10"/>
      <c r="B490" s="10"/>
      <c r="C490" s="10"/>
      <c r="D490" s="14" t="str">
        <f aca="false">IFERROR(IF(C490="","",INDEX(Products!$C$5:$C$504,MATCH(C490,Products!$A$5:$A$504,0))),"")</f>
        <v/>
      </c>
      <c r="E490" s="13" t="n">
        <v>1</v>
      </c>
      <c r="F490" s="11"/>
      <c r="G490" s="10" t="s">
        <v>114</v>
      </c>
      <c r="H490" s="9" t="n">
        <f aca="false">IFERROR(E490*F490,"")</f>
        <v>0</v>
      </c>
      <c r="I490" s="9" t="n">
        <f aca="false">IFERROR(H490*IFERROR(VLOOKUP(G490,VatRates,2,FALSE()),0),"")</f>
        <v>0</v>
      </c>
      <c r="J490" s="9" t="n">
        <f aca="false">IFERROR(H490+I490,"")</f>
        <v>0</v>
      </c>
      <c r="K490" s="13" t="n">
        <v>0</v>
      </c>
    </row>
    <row r="491" customFormat="false" ht="15" hidden="false" customHeight="false" outlineLevel="0" collapsed="false">
      <c r="A491" s="10"/>
      <c r="B491" s="10"/>
      <c r="C491" s="10"/>
      <c r="D491" s="14" t="str">
        <f aca="false">IFERROR(IF(C491="","",INDEX(Products!$C$5:$C$504,MATCH(C491,Products!$A$5:$A$504,0))),"")</f>
        <v/>
      </c>
      <c r="E491" s="13" t="n">
        <v>1</v>
      </c>
      <c r="F491" s="11"/>
      <c r="G491" s="10" t="s">
        <v>114</v>
      </c>
      <c r="H491" s="9" t="n">
        <f aca="false">IFERROR(E491*F491,"")</f>
        <v>0</v>
      </c>
      <c r="I491" s="9" t="n">
        <f aca="false">IFERROR(H491*IFERROR(VLOOKUP(G491,VatRates,2,FALSE()),0),"")</f>
        <v>0</v>
      </c>
      <c r="J491" s="9" t="n">
        <f aca="false">IFERROR(H491+I491,"")</f>
        <v>0</v>
      </c>
      <c r="K491" s="13" t="n">
        <v>0</v>
      </c>
    </row>
    <row r="492" customFormat="false" ht="15" hidden="false" customHeight="false" outlineLevel="0" collapsed="false">
      <c r="A492" s="10"/>
      <c r="B492" s="10"/>
      <c r="C492" s="10"/>
      <c r="D492" s="14" t="str">
        <f aca="false">IFERROR(IF(C492="","",INDEX(Products!$C$5:$C$504,MATCH(C492,Products!$A$5:$A$504,0))),"")</f>
        <v/>
      </c>
      <c r="E492" s="13" t="n">
        <v>1</v>
      </c>
      <c r="F492" s="11"/>
      <c r="G492" s="10" t="s">
        <v>114</v>
      </c>
      <c r="H492" s="9" t="n">
        <f aca="false">IFERROR(E492*F492,"")</f>
        <v>0</v>
      </c>
      <c r="I492" s="9" t="n">
        <f aca="false">IFERROR(H492*IFERROR(VLOOKUP(G492,VatRates,2,FALSE()),0),"")</f>
        <v>0</v>
      </c>
      <c r="J492" s="9" t="n">
        <f aca="false">IFERROR(H492+I492,"")</f>
        <v>0</v>
      </c>
      <c r="K492" s="13" t="n">
        <v>0</v>
      </c>
    </row>
    <row r="493" customFormat="false" ht="15" hidden="false" customHeight="false" outlineLevel="0" collapsed="false">
      <c r="A493" s="10"/>
      <c r="B493" s="10"/>
      <c r="C493" s="10"/>
      <c r="D493" s="14" t="str">
        <f aca="false">IFERROR(IF(C493="","",INDEX(Products!$C$5:$C$504,MATCH(C493,Products!$A$5:$A$504,0))),"")</f>
        <v/>
      </c>
      <c r="E493" s="13" t="n">
        <v>1</v>
      </c>
      <c r="F493" s="11"/>
      <c r="G493" s="10" t="s">
        <v>114</v>
      </c>
      <c r="H493" s="9" t="n">
        <f aca="false">IFERROR(E493*F493,"")</f>
        <v>0</v>
      </c>
      <c r="I493" s="9" t="n">
        <f aca="false">IFERROR(H493*IFERROR(VLOOKUP(G493,VatRates,2,FALSE()),0),"")</f>
        <v>0</v>
      </c>
      <c r="J493" s="9" t="n">
        <f aca="false">IFERROR(H493+I493,"")</f>
        <v>0</v>
      </c>
      <c r="K493" s="13" t="n">
        <v>0</v>
      </c>
    </row>
    <row r="494" customFormat="false" ht="15" hidden="false" customHeight="false" outlineLevel="0" collapsed="false">
      <c r="A494" s="10"/>
      <c r="B494" s="10"/>
      <c r="C494" s="10"/>
      <c r="D494" s="14" t="str">
        <f aca="false">IFERROR(IF(C494="","",INDEX(Products!$C$5:$C$504,MATCH(C494,Products!$A$5:$A$504,0))),"")</f>
        <v/>
      </c>
      <c r="E494" s="13" t="n">
        <v>1</v>
      </c>
      <c r="F494" s="11"/>
      <c r="G494" s="10" t="s">
        <v>114</v>
      </c>
      <c r="H494" s="9" t="n">
        <f aca="false">IFERROR(E494*F494,"")</f>
        <v>0</v>
      </c>
      <c r="I494" s="9" t="n">
        <f aca="false">IFERROR(H494*IFERROR(VLOOKUP(G494,VatRates,2,FALSE()),0),"")</f>
        <v>0</v>
      </c>
      <c r="J494" s="9" t="n">
        <f aca="false">IFERROR(H494+I494,"")</f>
        <v>0</v>
      </c>
      <c r="K494" s="13" t="n">
        <v>0</v>
      </c>
    </row>
    <row r="495" customFormat="false" ht="15" hidden="false" customHeight="false" outlineLevel="0" collapsed="false">
      <c r="A495" s="10"/>
      <c r="B495" s="10"/>
      <c r="C495" s="10"/>
      <c r="D495" s="14" t="str">
        <f aca="false">IFERROR(IF(C495="","",INDEX(Products!$C$5:$C$504,MATCH(C495,Products!$A$5:$A$504,0))),"")</f>
        <v/>
      </c>
      <c r="E495" s="13" t="n">
        <v>1</v>
      </c>
      <c r="F495" s="11"/>
      <c r="G495" s="10" t="s">
        <v>114</v>
      </c>
      <c r="H495" s="9" t="n">
        <f aca="false">IFERROR(E495*F495,"")</f>
        <v>0</v>
      </c>
      <c r="I495" s="9" t="n">
        <f aca="false">IFERROR(H495*IFERROR(VLOOKUP(G495,VatRates,2,FALSE()),0),"")</f>
        <v>0</v>
      </c>
      <c r="J495" s="9" t="n">
        <f aca="false">IFERROR(H495+I495,"")</f>
        <v>0</v>
      </c>
      <c r="K495" s="13" t="n">
        <v>0</v>
      </c>
    </row>
    <row r="496" customFormat="false" ht="15" hidden="false" customHeight="false" outlineLevel="0" collapsed="false">
      <c r="A496" s="10"/>
      <c r="B496" s="10"/>
      <c r="C496" s="10"/>
      <c r="D496" s="14" t="str">
        <f aca="false">IFERROR(IF(C496="","",INDEX(Products!$C$5:$C$504,MATCH(C496,Products!$A$5:$A$504,0))),"")</f>
        <v/>
      </c>
      <c r="E496" s="13" t="n">
        <v>1</v>
      </c>
      <c r="F496" s="11"/>
      <c r="G496" s="10" t="s">
        <v>114</v>
      </c>
      <c r="H496" s="9" t="n">
        <f aca="false">IFERROR(E496*F496,"")</f>
        <v>0</v>
      </c>
      <c r="I496" s="9" t="n">
        <f aca="false">IFERROR(H496*IFERROR(VLOOKUP(G496,VatRates,2,FALSE()),0),"")</f>
        <v>0</v>
      </c>
      <c r="J496" s="9" t="n">
        <f aca="false">IFERROR(H496+I496,"")</f>
        <v>0</v>
      </c>
      <c r="K496" s="13" t="n">
        <v>0</v>
      </c>
    </row>
    <row r="497" customFormat="false" ht="15" hidden="false" customHeight="false" outlineLevel="0" collapsed="false">
      <c r="A497" s="10"/>
      <c r="B497" s="10"/>
      <c r="C497" s="10"/>
      <c r="D497" s="14" t="str">
        <f aca="false">IFERROR(IF(C497="","",INDEX(Products!$C$5:$C$504,MATCH(C497,Products!$A$5:$A$504,0))),"")</f>
        <v/>
      </c>
      <c r="E497" s="13" t="n">
        <v>1</v>
      </c>
      <c r="F497" s="11"/>
      <c r="G497" s="10" t="s">
        <v>114</v>
      </c>
      <c r="H497" s="9" t="n">
        <f aca="false">IFERROR(E497*F497,"")</f>
        <v>0</v>
      </c>
      <c r="I497" s="9" t="n">
        <f aca="false">IFERROR(H497*IFERROR(VLOOKUP(G497,VatRates,2,FALSE()),0),"")</f>
        <v>0</v>
      </c>
      <c r="J497" s="9" t="n">
        <f aca="false">IFERROR(H497+I497,"")</f>
        <v>0</v>
      </c>
      <c r="K497" s="13" t="n">
        <v>0</v>
      </c>
    </row>
    <row r="498" customFormat="false" ht="15" hidden="false" customHeight="false" outlineLevel="0" collapsed="false">
      <c r="A498" s="10"/>
      <c r="B498" s="10"/>
      <c r="C498" s="10"/>
      <c r="D498" s="14" t="str">
        <f aca="false">IFERROR(IF(C498="","",INDEX(Products!$C$5:$C$504,MATCH(C498,Products!$A$5:$A$504,0))),"")</f>
        <v/>
      </c>
      <c r="E498" s="13" t="n">
        <v>1</v>
      </c>
      <c r="F498" s="11"/>
      <c r="G498" s="10" t="s">
        <v>114</v>
      </c>
      <c r="H498" s="9" t="n">
        <f aca="false">IFERROR(E498*F498,"")</f>
        <v>0</v>
      </c>
      <c r="I498" s="9" t="n">
        <f aca="false">IFERROR(H498*IFERROR(VLOOKUP(G498,VatRates,2,FALSE()),0),"")</f>
        <v>0</v>
      </c>
      <c r="J498" s="9" t="n">
        <f aca="false">IFERROR(H498+I498,"")</f>
        <v>0</v>
      </c>
      <c r="K498" s="13" t="n">
        <v>0</v>
      </c>
    </row>
    <row r="499" customFormat="false" ht="15" hidden="false" customHeight="false" outlineLevel="0" collapsed="false">
      <c r="A499" s="10"/>
      <c r="B499" s="10"/>
      <c r="C499" s="10"/>
      <c r="D499" s="14" t="str">
        <f aca="false">IFERROR(IF(C499="","",INDEX(Products!$C$5:$C$504,MATCH(C499,Products!$A$5:$A$504,0))),"")</f>
        <v/>
      </c>
      <c r="E499" s="13" t="n">
        <v>1</v>
      </c>
      <c r="F499" s="11"/>
      <c r="G499" s="10" t="s">
        <v>114</v>
      </c>
      <c r="H499" s="9" t="n">
        <f aca="false">IFERROR(E499*F499,"")</f>
        <v>0</v>
      </c>
      <c r="I499" s="9" t="n">
        <f aca="false">IFERROR(H499*IFERROR(VLOOKUP(G499,VatRates,2,FALSE()),0),"")</f>
        <v>0</v>
      </c>
      <c r="J499" s="9" t="n">
        <f aca="false">IFERROR(H499+I499,"")</f>
        <v>0</v>
      </c>
      <c r="K499" s="13" t="n">
        <v>0</v>
      </c>
    </row>
    <row r="500" customFormat="false" ht="15" hidden="false" customHeight="false" outlineLevel="0" collapsed="false">
      <c r="A500" s="10"/>
      <c r="B500" s="10"/>
      <c r="C500" s="10"/>
      <c r="D500" s="14" t="str">
        <f aca="false">IFERROR(IF(C500="","",INDEX(Products!$C$5:$C$504,MATCH(C500,Products!$A$5:$A$504,0))),"")</f>
        <v/>
      </c>
      <c r="E500" s="13" t="n">
        <v>1</v>
      </c>
      <c r="F500" s="11"/>
      <c r="G500" s="10" t="s">
        <v>114</v>
      </c>
      <c r="H500" s="9" t="n">
        <f aca="false">IFERROR(E500*F500,"")</f>
        <v>0</v>
      </c>
      <c r="I500" s="9" t="n">
        <f aca="false">IFERROR(H500*IFERROR(VLOOKUP(G500,VatRates,2,FALSE()),0),"")</f>
        <v>0</v>
      </c>
      <c r="J500" s="9" t="n">
        <f aca="false">IFERROR(H500+I500,"")</f>
        <v>0</v>
      </c>
      <c r="K500" s="13" t="n">
        <v>0</v>
      </c>
    </row>
    <row r="501" customFormat="false" ht="15" hidden="false" customHeight="false" outlineLevel="0" collapsed="false">
      <c r="A501" s="10"/>
      <c r="B501" s="10"/>
      <c r="C501" s="10"/>
      <c r="D501" s="14" t="str">
        <f aca="false">IFERROR(IF(C501="","",INDEX(Products!$C$5:$C$504,MATCH(C501,Products!$A$5:$A$504,0))),"")</f>
        <v/>
      </c>
      <c r="E501" s="13" t="n">
        <v>1</v>
      </c>
      <c r="F501" s="11"/>
      <c r="G501" s="10" t="s">
        <v>114</v>
      </c>
      <c r="H501" s="9" t="n">
        <f aca="false">IFERROR(E501*F501,"")</f>
        <v>0</v>
      </c>
      <c r="I501" s="9" t="n">
        <f aca="false">IFERROR(H501*IFERROR(VLOOKUP(G501,VatRates,2,FALSE()),0),"")</f>
        <v>0</v>
      </c>
      <c r="J501" s="9" t="n">
        <f aca="false">IFERROR(H501+I501,"")</f>
        <v>0</v>
      </c>
      <c r="K501" s="13" t="n">
        <v>0</v>
      </c>
    </row>
    <row r="502" customFormat="false" ht="15" hidden="false" customHeight="false" outlineLevel="0" collapsed="false">
      <c r="A502" s="10"/>
      <c r="B502" s="10"/>
      <c r="C502" s="10"/>
      <c r="D502" s="14" t="str">
        <f aca="false">IFERROR(IF(C502="","",INDEX(Products!$C$5:$C$504,MATCH(C502,Products!$A$5:$A$504,0))),"")</f>
        <v/>
      </c>
      <c r="E502" s="13" t="n">
        <v>1</v>
      </c>
      <c r="F502" s="11"/>
      <c r="G502" s="10" t="s">
        <v>114</v>
      </c>
      <c r="H502" s="9" t="n">
        <f aca="false">IFERROR(E502*F502,"")</f>
        <v>0</v>
      </c>
      <c r="I502" s="9" t="n">
        <f aca="false">IFERROR(H502*IFERROR(VLOOKUP(G502,VatRates,2,FALSE()),0),"")</f>
        <v>0</v>
      </c>
      <c r="J502" s="9" t="n">
        <f aca="false">IFERROR(H502+I502,"")</f>
        <v>0</v>
      </c>
      <c r="K502" s="13" t="n">
        <v>0</v>
      </c>
    </row>
    <row r="503" customFormat="false" ht="15" hidden="false" customHeight="false" outlineLevel="0" collapsed="false">
      <c r="A503" s="10"/>
      <c r="B503" s="10"/>
      <c r="C503" s="10"/>
      <c r="D503" s="14" t="str">
        <f aca="false">IFERROR(IF(C503="","",INDEX(Products!$C$5:$C$504,MATCH(C503,Products!$A$5:$A$504,0))),"")</f>
        <v/>
      </c>
      <c r="E503" s="13" t="n">
        <v>1</v>
      </c>
      <c r="F503" s="11"/>
      <c r="G503" s="10" t="s">
        <v>114</v>
      </c>
      <c r="H503" s="9" t="n">
        <f aca="false">IFERROR(E503*F503,"")</f>
        <v>0</v>
      </c>
      <c r="I503" s="9" t="n">
        <f aca="false">IFERROR(H503*IFERROR(VLOOKUP(G503,VatRates,2,FALSE()),0),"")</f>
        <v>0</v>
      </c>
      <c r="J503" s="9" t="n">
        <f aca="false">IFERROR(H503+I503,"")</f>
        <v>0</v>
      </c>
      <c r="K503" s="13" t="n">
        <v>0</v>
      </c>
    </row>
    <row r="504" customFormat="false" ht="15" hidden="false" customHeight="false" outlineLevel="0" collapsed="false">
      <c r="A504" s="10"/>
      <c r="B504" s="10"/>
      <c r="C504" s="10"/>
      <c r="D504" s="14" t="str">
        <f aca="false">IFERROR(IF(C504="","",INDEX(Products!$C$5:$C$504,MATCH(C504,Products!$A$5:$A$504,0))),"")</f>
        <v/>
      </c>
      <c r="E504" s="13" t="n">
        <v>1</v>
      </c>
      <c r="F504" s="11"/>
      <c r="G504" s="10" t="s">
        <v>114</v>
      </c>
      <c r="H504" s="9" t="n">
        <f aca="false">IFERROR(E504*F504,"")</f>
        <v>0</v>
      </c>
      <c r="I504" s="9" t="n">
        <f aca="false">IFERROR(H504*IFERROR(VLOOKUP(G504,VatRates,2,FALSE()),0),"")</f>
        <v>0</v>
      </c>
      <c r="J504" s="9" t="n">
        <f aca="false">IFERROR(H504+I504,"")</f>
        <v>0</v>
      </c>
      <c r="K504" s="13" t="n">
        <v>0</v>
      </c>
    </row>
  </sheetData>
  <dataValidations count="3">
    <dataValidation allowBlank="true" error="Must match an existing PurchaseOrders record" errorStyle="stop" errorTitle="Invalid foreign key" operator="between" showDropDown="false" showErrorMessage="false" showInputMessage="false" sqref="B5:B504" type="list">
      <formula1>PurchaseOrders!$A$5:$A$504</formula1>
      <formula2>0</formula2>
    </dataValidation>
    <dataValidation allowBlank="true" error="Must match an existing Products record" errorStyle="stop" errorTitle="Invalid foreign key" operator="between" showDropDown="false" showErrorMessage="false" showInputMessage="false" sqref="C5:C504" type="list">
      <formula1>Products!$A$5:$A$504</formula1>
      <formula2>0</formula2>
    </dataValidation>
    <dataValidation allowBlank="true" error="Choose from vat_code" errorStyle="stop" errorTitle="Invalid" operator="between" showDropDown="false" showErrorMessage="false" showInputMessage="false" sqref="G5:G504" type="list">
      <formula1>enum_vat_code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false"/>
  </sheetPr>
  <dimension ref="A1:H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209</v>
      </c>
    </row>
    <row r="2" customFormat="false" ht="15" hidden="false" customHeight="false" outlineLevel="0" collapsed="false">
      <c r="A2" s="2" t="s">
        <v>210</v>
      </c>
    </row>
    <row r="4" customFormat="false" ht="15" hidden="false" customHeight="false" outlineLevel="0" collapsed="false">
      <c r="A4" s="6" t="s">
        <v>211</v>
      </c>
      <c r="B4" s="6" t="s">
        <v>212</v>
      </c>
      <c r="C4" s="6" t="s">
        <v>213</v>
      </c>
      <c r="D4" s="6" t="s">
        <v>214</v>
      </c>
      <c r="E4" s="6" t="s">
        <v>215</v>
      </c>
      <c r="F4" s="6" t="s">
        <v>216</v>
      </c>
      <c r="G4" s="6" t="s">
        <v>217</v>
      </c>
      <c r="H4" s="6" t="s">
        <v>149</v>
      </c>
    </row>
    <row r="5" customFormat="false" ht="15" hidden="false" customHeight="false" outlineLevel="0" collapsed="false">
      <c r="A5" s="10" t="s">
        <v>218</v>
      </c>
      <c r="B5" s="12" t="n">
        <v>46098</v>
      </c>
      <c r="C5" s="10" t="s">
        <v>219</v>
      </c>
      <c r="D5" s="10" t="s">
        <v>155</v>
      </c>
      <c r="E5" s="11" t="n">
        <v>1264.8</v>
      </c>
      <c r="F5" s="10" t="s">
        <v>220</v>
      </c>
      <c r="G5" s="10" t="s">
        <v>221</v>
      </c>
      <c r="H5" s="10"/>
    </row>
    <row r="6" customFormat="false" ht="15" hidden="false" customHeight="false" outlineLevel="0" collapsed="false">
      <c r="A6" s="10" t="s">
        <v>222</v>
      </c>
      <c r="B6" s="12" t="n">
        <v>46107</v>
      </c>
      <c r="C6" s="10" t="s">
        <v>219</v>
      </c>
      <c r="D6" s="10" t="s">
        <v>157</v>
      </c>
      <c r="E6" s="11" t="n">
        <v>800</v>
      </c>
      <c r="F6" s="10" t="s">
        <v>220</v>
      </c>
      <c r="G6" s="10" t="s">
        <v>223</v>
      </c>
      <c r="H6" s="10" t="s">
        <v>224</v>
      </c>
    </row>
    <row r="7" customFormat="false" ht="15" hidden="false" customHeight="false" outlineLevel="0" collapsed="false">
      <c r="A7" s="10" t="s">
        <v>225</v>
      </c>
      <c r="B7" s="12" t="n">
        <v>46073</v>
      </c>
      <c r="C7" s="10" t="s">
        <v>226</v>
      </c>
      <c r="D7" s="10" t="s">
        <v>193</v>
      </c>
      <c r="E7" s="11" t="n">
        <v>5088</v>
      </c>
      <c r="F7" s="10" t="s">
        <v>220</v>
      </c>
      <c r="G7" s="10" t="s">
        <v>227</v>
      </c>
      <c r="H7" s="10"/>
    </row>
    <row r="8" customFormat="false" ht="15" hidden="false" customHeight="false" outlineLevel="0" collapsed="false">
      <c r="A8" s="10" t="s">
        <v>228</v>
      </c>
      <c r="B8" s="12" t="n">
        <v>46105</v>
      </c>
      <c r="C8" s="10" t="s">
        <v>226</v>
      </c>
      <c r="D8" s="10" t="s">
        <v>195</v>
      </c>
      <c r="E8" s="11" t="n">
        <v>1080</v>
      </c>
      <c r="F8" s="10" t="s">
        <v>220</v>
      </c>
      <c r="G8" s="10" t="s">
        <v>229</v>
      </c>
      <c r="H8" s="10"/>
    </row>
    <row r="9" customFormat="false" ht="15" hidden="false" customHeight="false" outlineLevel="0" collapsed="false">
      <c r="A9" s="10"/>
      <c r="B9" s="12"/>
      <c r="C9" s="10"/>
      <c r="D9" s="10"/>
      <c r="E9" s="11"/>
      <c r="F9" s="10" t="s">
        <v>220</v>
      </c>
      <c r="G9" s="10"/>
      <c r="H9" s="10"/>
    </row>
    <row r="10" customFormat="false" ht="15" hidden="false" customHeight="false" outlineLevel="0" collapsed="false">
      <c r="A10" s="10"/>
      <c r="B10" s="12"/>
      <c r="C10" s="10"/>
      <c r="D10" s="10"/>
      <c r="E10" s="11"/>
      <c r="F10" s="10" t="s">
        <v>220</v>
      </c>
      <c r="G10" s="10"/>
      <c r="H10" s="10"/>
    </row>
    <row r="11" customFormat="false" ht="15" hidden="false" customHeight="false" outlineLevel="0" collapsed="false">
      <c r="A11" s="10"/>
      <c r="B11" s="12"/>
      <c r="C11" s="10"/>
      <c r="D11" s="10"/>
      <c r="E11" s="11"/>
      <c r="F11" s="10" t="s">
        <v>220</v>
      </c>
      <c r="G11" s="10"/>
      <c r="H11" s="10"/>
    </row>
    <row r="12" customFormat="false" ht="15" hidden="false" customHeight="false" outlineLevel="0" collapsed="false">
      <c r="A12" s="10"/>
      <c r="B12" s="12"/>
      <c r="C12" s="10"/>
      <c r="D12" s="10"/>
      <c r="E12" s="11"/>
      <c r="F12" s="10" t="s">
        <v>220</v>
      </c>
      <c r="G12" s="10"/>
      <c r="H12" s="10"/>
    </row>
    <row r="13" customFormat="false" ht="15" hidden="false" customHeight="false" outlineLevel="0" collapsed="false">
      <c r="A13" s="10"/>
      <c r="B13" s="12"/>
      <c r="C13" s="10"/>
      <c r="D13" s="10"/>
      <c r="E13" s="11"/>
      <c r="F13" s="10" t="s">
        <v>220</v>
      </c>
      <c r="G13" s="10"/>
      <c r="H13" s="10"/>
    </row>
    <row r="14" customFormat="false" ht="15" hidden="false" customHeight="false" outlineLevel="0" collapsed="false">
      <c r="A14" s="10"/>
      <c r="B14" s="12"/>
      <c r="C14" s="10"/>
      <c r="D14" s="10"/>
      <c r="E14" s="11"/>
      <c r="F14" s="10" t="s">
        <v>220</v>
      </c>
      <c r="G14" s="10"/>
      <c r="H14" s="10"/>
    </row>
    <row r="15" customFormat="false" ht="15" hidden="false" customHeight="false" outlineLevel="0" collapsed="false">
      <c r="A15" s="10"/>
      <c r="B15" s="12"/>
      <c r="C15" s="10"/>
      <c r="D15" s="10"/>
      <c r="E15" s="11"/>
      <c r="F15" s="10" t="s">
        <v>220</v>
      </c>
      <c r="G15" s="10"/>
      <c r="H15" s="10"/>
    </row>
    <row r="16" customFormat="false" ht="15" hidden="false" customHeight="false" outlineLevel="0" collapsed="false">
      <c r="A16" s="10"/>
      <c r="B16" s="12"/>
      <c r="C16" s="10"/>
      <c r="D16" s="10"/>
      <c r="E16" s="11"/>
      <c r="F16" s="10" t="s">
        <v>220</v>
      </c>
      <c r="G16" s="10"/>
      <c r="H16" s="10"/>
    </row>
    <row r="17" customFormat="false" ht="15" hidden="false" customHeight="false" outlineLevel="0" collapsed="false">
      <c r="A17" s="10"/>
      <c r="B17" s="12"/>
      <c r="C17" s="10"/>
      <c r="D17" s="10"/>
      <c r="E17" s="11"/>
      <c r="F17" s="10" t="s">
        <v>220</v>
      </c>
      <c r="G17" s="10"/>
      <c r="H17" s="10"/>
    </row>
    <row r="18" customFormat="false" ht="15" hidden="false" customHeight="false" outlineLevel="0" collapsed="false">
      <c r="A18" s="10"/>
      <c r="B18" s="12"/>
      <c r="C18" s="10"/>
      <c r="D18" s="10"/>
      <c r="E18" s="11"/>
      <c r="F18" s="10" t="s">
        <v>220</v>
      </c>
      <c r="G18" s="10"/>
      <c r="H18" s="10"/>
    </row>
    <row r="19" customFormat="false" ht="15" hidden="false" customHeight="false" outlineLevel="0" collapsed="false">
      <c r="A19" s="10"/>
      <c r="B19" s="12"/>
      <c r="C19" s="10"/>
      <c r="D19" s="10"/>
      <c r="E19" s="11"/>
      <c r="F19" s="10" t="s">
        <v>220</v>
      </c>
      <c r="G19" s="10"/>
      <c r="H19" s="10"/>
    </row>
    <row r="20" customFormat="false" ht="15" hidden="false" customHeight="false" outlineLevel="0" collapsed="false">
      <c r="A20" s="10"/>
      <c r="B20" s="12"/>
      <c r="C20" s="10"/>
      <c r="D20" s="10"/>
      <c r="E20" s="11"/>
      <c r="F20" s="10" t="s">
        <v>220</v>
      </c>
      <c r="G20" s="10"/>
      <c r="H20" s="10"/>
    </row>
    <row r="21" customFormat="false" ht="15" hidden="false" customHeight="false" outlineLevel="0" collapsed="false">
      <c r="A21" s="10"/>
      <c r="B21" s="12"/>
      <c r="C21" s="10"/>
      <c r="D21" s="10"/>
      <c r="E21" s="11"/>
      <c r="F21" s="10" t="s">
        <v>220</v>
      </c>
      <c r="G21" s="10"/>
      <c r="H21" s="10"/>
    </row>
    <row r="22" customFormat="false" ht="15" hidden="false" customHeight="false" outlineLevel="0" collapsed="false">
      <c r="A22" s="10"/>
      <c r="B22" s="12"/>
      <c r="C22" s="10"/>
      <c r="D22" s="10"/>
      <c r="E22" s="11"/>
      <c r="F22" s="10" t="s">
        <v>220</v>
      </c>
      <c r="G22" s="10"/>
      <c r="H22" s="10"/>
    </row>
    <row r="23" customFormat="false" ht="15" hidden="false" customHeight="false" outlineLevel="0" collapsed="false">
      <c r="A23" s="10"/>
      <c r="B23" s="12"/>
      <c r="C23" s="10"/>
      <c r="D23" s="10"/>
      <c r="E23" s="11"/>
      <c r="F23" s="10" t="s">
        <v>220</v>
      </c>
      <c r="G23" s="10"/>
      <c r="H23" s="10"/>
    </row>
    <row r="24" customFormat="false" ht="15" hidden="false" customHeight="false" outlineLevel="0" collapsed="false">
      <c r="A24" s="10"/>
      <c r="B24" s="12"/>
      <c r="C24" s="10"/>
      <c r="D24" s="10"/>
      <c r="E24" s="11"/>
      <c r="F24" s="10" t="s">
        <v>220</v>
      </c>
      <c r="G24" s="10"/>
      <c r="H24" s="10"/>
    </row>
    <row r="25" customFormat="false" ht="15" hidden="false" customHeight="false" outlineLevel="0" collapsed="false">
      <c r="A25" s="10"/>
      <c r="B25" s="12"/>
      <c r="C25" s="10"/>
      <c r="D25" s="10"/>
      <c r="E25" s="11"/>
      <c r="F25" s="10" t="s">
        <v>220</v>
      </c>
      <c r="G25" s="10"/>
      <c r="H25" s="10"/>
    </row>
    <row r="26" customFormat="false" ht="15" hidden="false" customHeight="false" outlineLevel="0" collapsed="false">
      <c r="A26" s="10"/>
      <c r="B26" s="12"/>
      <c r="C26" s="10"/>
      <c r="D26" s="10"/>
      <c r="E26" s="11"/>
      <c r="F26" s="10" t="s">
        <v>220</v>
      </c>
      <c r="G26" s="10"/>
      <c r="H26" s="10"/>
    </row>
    <row r="27" customFormat="false" ht="15" hidden="false" customHeight="false" outlineLevel="0" collapsed="false">
      <c r="A27" s="10"/>
      <c r="B27" s="12"/>
      <c r="C27" s="10"/>
      <c r="D27" s="10"/>
      <c r="E27" s="11"/>
      <c r="F27" s="10" t="s">
        <v>220</v>
      </c>
      <c r="G27" s="10"/>
      <c r="H27" s="10"/>
    </row>
    <row r="28" customFormat="false" ht="15" hidden="false" customHeight="false" outlineLevel="0" collapsed="false">
      <c r="A28" s="10"/>
      <c r="B28" s="12"/>
      <c r="C28" s="10"/>
      <c r="D28" s="10"/>
      <c r="E28" s="11"/>
      <c r="F28" s="10" t="s">
        <v>220</v>
      </c>
      <c r="G28" s="10"/>
      <c r="H28" s="10"/>
    </row>
    <row r="29" customFormat="false" ht="15" hidden="false" customHeight="false" outlineLevel="0" collapsed="false">
      <c r="A29" s="10"/>
      <c r="B29" s="12"/>
      <c r="C29" s="10"/>
      <c r="D29" s="10"/>
      <c r="E29" s="11"/>
      <c r="F29" s="10" t="s">
        <v>220</v>
      </c>
      <c r="G29" s="10"/>
      <c r="H29" s="10"/>
    </row>
    <row r="30" customFormat="false" ht="15" hidden="false" customHeight="false" outlineLevel="0" collapsed="false">
      <c r="A30" s="10"/>
      <c r="B30" s="12"/>
      <c r="C30" s="10"/>
      <c r="D30" s="10"/>
      <c r="E30" s="11"/>
      <c r="F30" s="10" t="s">
        <v>220</v>
      </c>
      <c r="G30" s="10"/>
      <c r="H30" s="10"/>
    </row>
    <row r="31" customFormat="false" ht="15" hidden="false" customHeight="false" outlineLevel="0" collapsed="false">
      <c r="A31" s="10"/>
      <c r="B31" s="12"/>
      <c r="C31" s="10"/>
      <c r="D31" s="10"/>
      <c r="E31" s="11"/>
      <c r="F31" s="10" t="s">
        <v>220</v>
      </c>
      <c r="G31" s="10"/>
      <c r="H31" s="10"/>
    </row>
    <row r="32" customFormat="false" ht="15" hidden="false" customHeight="false" outlineLevel="0" collapsed="false">
      <c r="A32" s="10"/>
      <c r="B32" s="12"/>
      <c r="C32" s="10"/>
      <c r="D32" s="10"/>
      <c r="E32" s="11"/>
      <c r="F32" s="10" t="s">
        <v>220</v>
      </c>
      <c r="G32" s="10"/>
      <c r="H32" s="10"/>
    </row>
    <row r="33" customFormat="false" ht="15" hidden="false" customHeight="false" outlineLevel="0" collapsed="false">
      <c r="A33" s="10"/>
      <c r="B33" s="12"/>
      <c r="C33" s="10"/>
      <c r="D33" s="10"/>
      <c r="E33" s="11"/>
      <c r="F33" s="10" t="s">
        <v>220</v>
      </c>
      <c r="G33" s="10"/>
      <c r="H33" s="10"/>
    </row>
    <row r="34" customFormat="false" ht="15" hidden="false" customHeight="false" outlineLevel="0" collapsed="false">
      <c r="A34" s="10"/>
      <c r="B34" s="12"/>
      <c r="C34" s="10"/>
      <c r="D34" s="10"/>
      <c r="E34" s="11"/>
      <c r="F34" s="10" t="s">
        <v>220</v>
      </c>
      <c r="G34" s="10"/>
      <c r="H34" s="10"/>
    </row>
    <row r="35" customFormat="false" ht="15" hidden="false" customHeight="false" outlineLevel="0" collapsed="false">
      <c r="A35" s="10"/>
      <c r="B35" s="12"/>
      <c r="C35" s="10"/>
      <c r="D35" s="10"/>
      <c r="E35" s="11"/>
      <c r="F35" s="10" t="s">
        <v>220</v>
      </c>
      <c r="G35" s="10"/>
      <c r="H35" s="10"/>
    </row>
    <row r="36" customFormat="false" ht="15" hidden="false" customHeight="false" outlineLevel="0" collapsed="false">
      <c r="A36" s="10"/>
      <c r="B36" s="12"/>
      <c r="C36" s="10"/>
      <c r="D36" s="10"/>
      <c r="E36" s="11"/>
      <c r="F36" s="10" t="s">
        <v>220</v>
      </c>
      <c r="G36" s="10"/>
      <c r="H36" s="10"/>
    </row>
    <row r="37" customFormat="false" ht="15" hidden="false" customHeight="false" outlineLevel="0" collapsed="false">
      <c r="A37" s="10"/>
      <c r="B37" s="12"/>
      <c r="C37" s="10"/>
      <c r="D37" s="10"/>
      <c r="E37" s="11"/>
      <c r="F37" s="10" t="s">
        <v>220</v>
      </c>
      <c r="G37" s="10"/>
      <c r="H37" s="10"/>
    </row>
    <row r="38" customFormat="false" ht="15" hidden="false" customHeight="false" outlineLevel="0" collapsed="false">
      <c r="A38" s="10"/>
      <c r="B38" s="12"/>
      <c r="C38" s="10"/>
      <c r="D38" s="10"/>
      <c r="E38" s="11"/>
      <c r="F38" s="10" t="s">
        <v>220</v>
      </c>
      <c r="G38" s="10"/>
      <c r="H38" s="10"/>
    </row>
    <row r="39" customFormat="false" ht="15" hidden="false" customHeight="false" outlineLevel="0" collapsed="false">
      <c r="A39" s="10"/>
      <c r="B39" s="12"/>
      <c r="C39" s="10"/>
      <c r="D39" s="10"/>
      <c r="E39" s="11"/>
      <c r="F39" s="10" t="s">
        <v>220</v>
      </c>
      <c r="G39" s="10"/>
      <c r="H39" s="10"/>
    </row>
    <row r="40" customFormat="false" ht="15" hidden="false" customHeight="false" outlineLevel="0" collapsed="false">
      <c r="A40" s="10"/>
      <c r="B40" s="12"/>
      <c r="C40" s="10"/>
      <c r="D40" s="10"/>
      <c r="E40" s="11"/>
      <c r="F40" s="10" t="s">
        <v>220</v>
      </c>
      <c r="G40" s="10"/>
      <c r="H40" s="10"/>
    </row>
    <row r="41" customFormat="false" ht="15" hidden="false" customHeight="false" outlineLevel="0" collapsed="false">
      <c r="A41" s="10"/>
      <c r="B41" s="12"/>
      <c r="C41" s="10"/>
      <c r="D41" s="10"/>
      <c r="E41" s="11"/>
      <c r="F41" s="10" t="s">
        <v>220</v>
      </c>
      <c r="G41" s="10"/>
      <c r="H41" s="10"/>
    </row>
    <row r="42" customFormat="false" ht="15" hidden="false" customHeight="false" outlineLevel="0" collapsed="false">
      <c r="A42" s="10"/>
      <c r="B42" s="12"/>
      <c r="C42" s="10"/>
      <c r="D42" s="10"/>
      <c r="E42" s="11"/>
      <c r="F42" s="10" t="s">
        <v>220</v>
      </c>
      <c r="G42" s="10"/>
      <c r="H42" s="10"/>
    </row>
    <row r="43" customFormat="false" ht="15" hidden="false" customHeight="false" outlineLevel="0" collapsed="false">
      <c r="A43" s="10"/>
      <c r="B43" s="12"/>
      <c r="C43" s="10"/>
      <c r="D43" s="10"/>
      <c r="E43" s="11"/>
      <c r="F43" s="10" t="s">
        <v>220</v>
      </c>
      <c r="G43" s="10"/>
      <c r="H43" s="10"/>
    </row>
    <row r="44" customFormat="false" ht="15" hidden="false" customHeight="false" outlineLevel="0" collapsed="false">
      <c r="A44" s="10"/>
      <c r="B44" s="12"/>
      <c r="C44" s="10"/>
      <c r="D44" s="10"/>
      <c r="E44" s="11"/>
      <c r="F44" s="10" t="s">
        <v>220</v>
      </c>
      <c r="G44" s="10"/>
      <c r="H44" s="10"/>
    </row>
    <row r="45" customFormat="false" ht="15" hidden="false" customHeight="false" outlineLevel="0" collapsed="false">
      <c r="A45" s="10"/>
      <c r="B45" s="12"/>
      <c r="C45" s="10"/>
      <c r="D45" s="10"/>
      <c r="E45" s="11"/>
      <c r="F45" s="10" t="s">
        <v>220</v>
      </c>
      <c r="G45" s="10"/>
      <c r="H45" s="10"/>
    </row>
    <row r="46" customFormat="false" ht="15" hidden="false" customHeight="false" outlineLevel="0" collapsed="false">
      <c r="A46" s="10"/>
      <c r="B46" s="12"/>
      <c r="C46" s="10"/>
      <c r="D46" s="10"/>
      <c r="E46" s="11"/>
      <c r="F46" s="10" t="s">
        <v>220</v>
      </c>
      <c r="G46" s="10"/>
      <c r="H46" s="10"/>
    </row>
    <row r="47" customFormat="false" ht="15" hidden="false" customHeight="false" outlineLevel="0" collapsed="false">
      <c r="A47" s="10"/>
      <c r="B47" s="12"/>
      <c r="C47" s="10"/>
      <c r="D47" s="10"/>
      <c r="E47" s="11"/>
      <c r="F47" s="10" t="s">
        <v>220</v>
      </c>
      <c r="G47" s="10"/>
      <c r="H47" s="10"/>
    </row>
    <row r="48" customFormat="false" ht="15" hidden="false" customHeight="false" outlineLevel="0" collapsed="false">
      <c r="A48" s="10"/>
      <c r="B48" s="12"/>
      <c r="C48" s="10"/>
      <c r="D48" s="10"/>
      <c r="E48" s="11"/>
      <c r="F48" s="10" t="s">
        <v>220</v>
      </c>
      <c r="G48" s="10"/>
      <c r="H48" s="10"/>
    </row>
    <row r="49" customFormat="false" ht="15" hidden="false" customHeight="false" outlineLevel="0" collapsed="false">
      <c r="A49" s="10"/>
      <c r="B49" s="12"/>
      <c r="C49" s="10"/>
      <c r="D49" s="10"/>
      <c r="E49" s="11"/>
      <c r="F49" s="10" t="s">
        <v>220</v>
      </c>
      <c r="G49" s="10"/>
      <c r="H49" s="10"/>
    </row>
    <row r="50" customFormat="false" ht="15" hidden="false" customHeight="false" outlineLevel="0" collapsed="false">
      <c r="A50" s="10"/>
      <c r="B50" s="12"/>
      <c r="C50" s="10"/>
      <c r="D50" s="10"/>
      <c r="E50" s="11"/>
      <c r="F50" s="10" t="s">
        <v>220</v>
      </c>
      <c r="G50" s="10"/>
      <c r="H50" s="10"/>
    </row>
    <row r="51" customFormat="false" ht="15" hidden="false" customHeight="false" outlineLevel="0" collapsed="false">
      <c r="A51" s="10"/>
      <c r="B51" s="12"/>
      <c r="C51" s="10"/>
      <c r="D51" s="10"/>
      <c r="E51" s="11"/>
      <c r="F51" s="10" t="s">
        <v>220</v>
      </c>
      <c r="G51" s="10"/>
      <c r="H51" s="10"/>
    </row>
    <row r="52" customFormat="false" ht="15" hidden="false" customHeight="false" outlineLevel="0" collapsed="false">
      <c r="A52" s="10"/>
      <c r="B52" s="12"/>
      <c r="C52" s="10"/>
      <c r="D52" s="10"/>
      <c r="E52" s="11"/>
      <c r="F52" s="10" t="s">
        <v>220</v>
      </c>
      <c r="G52" s="10"/>
      <c r="H52" s="10"/>
    </row>
    <row r="53" customFormat="false" ht="15" hidden="false" customHeight="false" outlineLevel="0" collapsed="false">
      <c r="A53" s="10"/>
      <c r="B53" s="12"/>
      <c r="C53" s="10"/>
      <c r="D53" s="10"/>
      <c r="E53" s="11"/>
      <c r="F53" s="10" t="s">
        <v>220</v>
      </c>
      <c r="G53" s="10"/>
      <c r="H53" s="10"/>
    </row>
    <row r="54" customFormat="false" ht="15" hidden="false" customHeight="false" outlineLevel="0" collapsed="false">
      <c r="A54" s="10"/>
      <c r="B54" s="12"/>
      <c r="C54" s="10"/>
      <c r="D54" s="10"/>
      <c r="E54" s="11"/>
      <c r="F54" s="10" t="s">
        <v>220</v>
      </c>
      <c r="G54" s="10"/>
      <c r="H54" s="10"/>
    </row>
    <row r="55" customFormat="false" ht="15" hidden="false" customHeight="false" outlineLevel="0" collapsed="false">
      <c r="A55" s="10"/>
      <c r="B55" s="12"/>
      <c r="C55" s="10"/>
      <c r="D55" s="10"/>
      <c r="E55" s="11"/>
      <c r="F55" s="10" t="s">
        <v>220</v>
      </c>
      <c r="G55" s="10"/>
      <c r="H55" s="10"/>
    </row>
    <row r="56" customFormat="false" ht="15" hidden="false" customHeight="false" outlineLevel="0" collapsed="false">
      <c r="A56" s="10"/>
      <c r="B56" s="12"/>
      <c r="C56" s="10"/>
      <c r="D56" s="10"/>
      <c r="E56" s="11"/>
      <c r="F56" s="10" t="s">
        <v>220</v>
      </c>
      <c r="G56" s="10"/>
      <c r="H56" s="10"/>
    </row>
    <row r="57" customFormat="false" ht="15" hidden="false" customHeight="false" outlineLevel="0" collapsed="false">
      <c r="A57" s="10"/>
      <c r="B57" s="12"/>
      <c r="C57" s="10"/>
      <c r="D57" s="10"/>
      <c r="E57" s="11"/>
      <c r="F57" s="10" t="s">
        <v>220</v>
      </c>
      <c r="G57" s="10"/>
      <c r="H57" s="10"/>
    </row>
    <row r="58" customFormat="false" ht="15" hidden="false" customHeight="false" outlineLevel="0" collapsed="false">
      <c r="A58" s="10"/>
      <c r="B58" s="12"/>
      <c r="C58" s="10"/>
      <c r="D58" s="10"/>
      <c r="E58" s="11"/>
      <c r="F58" s="10" t="s">
        <v>220</v>
      </c>
      <c r="G58" s="10"/>
      <c r="H58" s="10"/>
    </row>
    <row r="59" customFormat="false" ht="15" hidden="false" customHeight="false" outlineLevel="0" collapsed="false">
      <c r="A59" s="10"/>
      <c r="B59" s="12"/>
      <c r="C59" s="10"/>
      <c r="D59" s="10"/>
      <c r="E59" s="11"/>
      <c r="F59" s="10" t="s">
        <v>220</v>
      </c>
      <c r="G59" s="10"/>
      <c r="H59" s="10"/>
    </row>
    <row r="60" customFormat="false" ht="15" hidden="false" customHeight="false" outlineLevel="0" collapsed="false">
      <c r="A60" s="10"/>
      <c r="B60" s="12"/>
      <c r="C60" s="10"/>
      <c r="D60" s="10"/>
      <c r="E60" s="11"/>
      <c r="F60" s="10" t="s">
        <v>220</v>
      </c>
      <c r="G60" s="10"/>
      <c r="H60" s="10"/>
    </row>
    <row r="61" customFormat="false" ht="15" hidden="false" customHeight="false" outlineLevel="0" collapsed="false">
      <c r="A61" s="10"/>
      <c r="B61" s="12"/>
      <c r="C61" s="10"/>
      <c r="D61" s="10"/>
      <c r="E61" s="11"/>
      <c r="F61" s="10" t="s">
        <v>220</v>
      </c>
      <c r="G61" s="10"/>
      <c r="H61" s="10"/>
    </row>
    <row r="62" customFormat="false" ht="15" hidden="false" customHeight="false" outlineLevel="0" collapsed="false">
      <c r="A62" s="10"/>
      <c r="B62" s="12"/>
      <c r="C62" s="10"/>
      <c r="D62" s="10"/>
      <c r="E62" s="11"/>
      <c r="F62" s="10" t="s">
        <v>220</v>
      </c>
      <c r="G62" s="10"/>
      <c r="H62" s="10"/>
    </row>
    <row r="63" customFormat="false" ht="15" hidden="false" customHeight="false" outlineLevel="0" collapsed="false">
      <c r="A63" s="10"/>
      <c r="B63" s="12"/>
      <c r="C63" s="10"/>
      <c r="D63" s="10"/>
      <c r="E63" s="11"/>
      <c r="F63" s="10" t="s">
        <v>220</v>
      </c>
      <c r="G63" s="10"/>
      <c r="H63" s="10"/>
    </row>
    <row r="64" customFormat="false" ht="15" hidden="false" customHeight="false" outlineLevel="0" collapsed="false">
      <c r="A64" s="10"/>
      <c r="B64" s="12"/>
      <c r="C64" s="10"/>
      <c r="D64" s="10"/>
      <c r="E64" s="11"/>
      <c r="F64" s="10" t="s">
        <v>220</v>
      </c>
      <c r="G64" s="10"/>
      <c r="H64" s="10"/>
    </row>
    <row r="65" customFormat="false" ht="15" hidden="false" customHeight="false" outlineLevel="0" collapsed="false">
      <c r="A65" s="10"/>
      <c r="B65" s="12"/>
      <c r="C65" s="10"/>
      <c r="D65" s="10"/>
      <c r="E65" s="11"/>
      <c r="F65" s="10" t="s">
        <v>220</v>
      </c>
      <c r="G65" s="10"/>
      <c r="H65" s="10"/>
    </row>
    <row r="66" customFormat="false" ht="15" hidden="false" customHeight="false" outlineLevel="0" collapsed="false">
      <c r="A66" s="10"/>
      <c r="B66" s="12"/>
      <c r="C66" s="10"/>
      <c r="D66" s="10"/>
      <c r="E66" s="11"/>
      <c r="F66" s="10" t="s">
        <v>220</v>
      </c>
      <c r="G66" s="10"/>
      <c r="H66" s="10"/>
    </row>
    <row r="67" customFormat="false" ht="15" hidden="false" customHeight="false" outlineLevel="0" collapsed="false">
      <c r="A67" s="10"/>
      <c r="B67" s="12"/>
      <c r="C67" s="10"/>
      <c r="D67" s="10"/>
      <c r="E67" s="11"/>
      <c r="F67" s="10" t="s">
        <v>220</v>
      </c>
      <c r="G67" s="10"/>
      <c r="H67" s="10"/>
    </row>
    <row r="68" customFormat="false" ht="15" hidden="false" customHeight="false" outlineLevel="0" collapsed="false">
      <c r="A68" s="10"/>
      <c r="B68" s="12"/>
      <c r="C68" s="10"/>
      <c r="D68" s="10"/>
      <c r="E68" s="11"/>
      <c r="F68" s="10" t="s">
        <v>220</v>
      </c>
      <c r="G68" s="10"/>
      <c r="H68" s="10"/>
    </row>
    <row r="69" customFormat="false" ht="15" hidden="false" customHeight="false" outlineLevel="0" collapsed="false">
      <c r="A69" s="10"/>
      <c r="B69" s="12"/>
      <c r="C69" s="10"/>
      <c r="D69" s="10"/>
      <c r="E69" s="11"/>
      <c r="F69" s="10" t="s">
        <v>220</v>
      </c>
      <c r="G69" s="10"/>
      <c r="H69" s="10"/>
    </row>
    <row r="70" customFormat="false" ht="15" hidden="false" customHeight="false" outlineLevel="0" collapsed="false">
      <c r="A70" s="10"/>
      <c r="B70" s="12"/>
      <c r="C70" s="10"/>
      <c r="D70" s="10"/>
      <c r="E70" s="11"/>
      <c r="F70" s="10" t="s">
        <v>220</v>
      </c>
      <c r="G70" s="10"/>
      <c r="H70" s="10"/>
    </row>
    <row r="71" customFormat="false" ht="15" hidden="false" customHeight="false" outlineLevel="0" collapsed="false">
      <c r="A71" s="10"/>
      <c r="B71" s="12"/>
      <c r="C71" s="10"/>
      <c r="D71" s="10"/>
      <c r="E71" s="11"/>
      <c r="F71" s="10" t="s">
        <v>220</v>
      </c>
      <c r="G71" s="10"/>
      <c r="H71" s="10"/>
    </row>
    <row r="72" customFormat="false" ht="15" hidden="false" customHeight="false" outlineLevel="0" collapsed="false">
      <c r="A72" s="10"/>
      <c r="B72" s="12"/>
      <c r="C72" s="10"/>
      <c r="D72" s="10"/>
      <c r="E72" s="11"/>
      <c r="F72" s="10" t="s">
        <v>220</v>
      </c>
      <c r="G72" s="10"/>
      <c r="H72" s="10"/>
    </row>
    <row r="73" customFormat="false" ht="15" hidden="false" customHeight="false" outlineLevel="0" collapsed="false">
      <c r="A73" s="10"/>
      <c r="B73" s="12"/>
      <c r="C73" s="10"/>
      <c r="D73" s="10"/>
      <c r="E73" s="11"/>
      <c r="F73" s="10" t="s">
        <v>220</v>
      </c>
      <c r="G73" s="10"/>
      <c r="H73" s="10"/>
    </row>
    <row r="74" customFormat="false" ht="15" hidden="false" customHeight="false" outlineLevel="0" collapsed="false">
      <c r="A74" s="10"/>
      <c r="B74" s="12"/>
      <c r="C74" s="10"/>
      <c r="D74" s="10"/>
      <c r="E74" s="11"/>
      <c r="F74" s="10" t="s">
        <v>220</v>
      </c>
      <c r="G74" s="10"/>
      <c r="H74" s="10"/>
    </row>
    <row r="75" customFormat="false" ht="15" hidden="false" customHeight="false" outlineLevel="0" collapsed="false">
      <c r="A75" s="10"/>
      <c r="B75" s="12"/>
      <c r="C75" s="10"/>
      <c r="D75" s="10"/>
      <c r="E75" s="11"/>
      <c r="F75" s="10" t="s">
        <v>220</v>
      </c>
      <c r="G75" s="10"/>
      <c r="H75" s="10"/>
    </row>
    <row r="76" customFormat="false" ht="15" hidden="false" customHeight="false" outlineLevel="0" collapsed="false">
      <c r="A76" s="10"/>
      <c r="B76" s="12"/>
      <c r="C76" s="10"/>
      <c r="D76" s="10"/>
      <c r="E76" s="11"/>
      <c r="F76" s="10" t="s">
        <v>220</v>
      </c>
      <c r="G76" s="10"/>
      <c r="H76" s="10"/>
    </row>
    <row r="77" customFormat="false" ht="15" hidden="false" customHeight="false" outlineLevel="0" collapsed="false">
      <c r="A77" s="10"/>
      <c r="B77" s="12"/>
      <c r="C77" s="10"/>
      <c r="D77" s="10"/>
      <c r="E77" s="11"/>
      <c r="F77" s="10" t="s">
        <v>220</v>
      </c>
      <c r="G77" s="10"/>
      <c r="H77" s="10"/>
    </row>
    <row r="78" customFormat="false" ht="15" hidden="false" customHeight="false" outlineLevel="0" collapsed="false">
      <c r="A78" s="10"/>
      <c r="B78" s="12"/>
      <c r="C78" s="10"/>
      <c r="D78" s="10"/>
      <c r="E78" s="11"/>
      <c r="F78" s="10" t="s">
        <v>220</v>
      </c>
      <c r="G78" s="10"/>
      <c r="H78" s="10"/>
    </row>
    <row r="79" customFormat="false" ht="15" hidden="false" customHeight="false" outlineLevel="0" collapsed="false">
      <c r="A79" s="10"/>
      <c r="B79" s="12"/>
      <c r="C79" s="10"/>
      <c r="D79" s="10"/>
      <c r="E79" s="11"/>
      <c r="F79" s="10" t="s">
        <v>220</v>
      </c>
      <c r="G79" s="10"/>
      <c r="H79" s="10"/>
    </row>
    <row r="80" customFormat="false" ht="15" hidden="false" customHeight="false" outlineLevel="0" collapsed="false">
      <c r="A80" s="10"/>
      <c r="B80" s="12"/>
      <c r="C80" s="10"/>
      <c r="D80" s="10"/>
      <c r="E80" s="11"/>
      <c r="F80" s="10" t="s">
        <v>220</v>
      </c>
      <c r="G80" s="10"/>
      <c r="H80" s="10"/>
    </row>
    <row r="81" customFormat="false" ht="15" hidden="false" customHeight="false" outlineLevel="0" collapsed="false">
      <c r="A81" s="10"/>
      <c r="B81" s="12"/>
      <c r="C81" s="10"/>
      <c r="D81" s="10"/>
      <c r="E81" s="11"/>
      <c r="F81" s="10" t="s">
        <v>220</v>
      </c>
      <c r="G81" s="10"/>
      <c r="H81" s="10"/>
    </row>
    <row r="82" customFormat="false" ht="15" hidden="false" customHeight="false" outlineLevel="0" collapsed="false">
      <c r="A82" s="10"/>
      <c r="B82" s="12"/>
      <c r="C82" s="10"/>
      <c r="D82" s="10"/>
      <c r="E82" s="11"/>
      <c r="F82" s="10" t="s">
        <v>220</v>
      </c>
      <c r="G82" s="10"/>
      <c r="H82" s="10"/>
    </row>
    <row r="83" customFormat="false" ht="15" hidden="false" customHeight="false" outlineLevel="0" collapsed="false">
      <c r="A83" s="10"/>
      <c r="B83" s="12"/>
      <c r="C83" s="10"/>
      <c r="D83" s="10"/>
      <c r="E83" s="11"/>
      <c r="F83" s="10" t="s">
        <v>220</v>
      </c>
      <c r="G83" s="10"/>
      <c r="H83" s="10"/>
    </row>
    <row r="84" customFormat="false" ht="15" hidden="false" customHeight="false" outlineLevel="0" collapsed="false">
      <c r="A84" s="10"/>
      <c r="B84" s="12"/>
      <c r="C84" s="10"/>
      <c r="D84" s="10"/>
      <c r="E84" s="11"/>
      <c r="F84" s="10" t="s">
        <v>220</v>
      </c>
      <c r="G84" s="10"/>
      <c r="H84" s="10"/>
    </row>
    <row r="85" customFormat="false" ht="15" hidden="false" customHeight="false" outlineLevel="0" collapsed="false">
      <c r="A85" s="10"/>
      <c r="B85" s="12"/>
      <c r="C85" s="10"/>
      <c r="D85" s="10"/>
      <c r="E85" s="11"/>
      <c r="F85" s="10" t="s">
        <v>220</v>
      </c>
      <c r="G85" s="10"/>
      <c r="H85" s="10"/>
    </row>
    <row r="86" customFormat="false" ht="15" hidden="false" customHeight="false" outlineLevel="0" collapsed="false">
      <c r="A86" s="10"/>
      <c r="B86" s="12"/>
      <c r="C86" s="10"/>
      <c r="D86" s="10"/>
      <c r="E86" s="11"/>
      <c r="F86" s="10" t="s">
        <v>220</v>
      </c>
      <c r="G86" s="10"/>
      <c r="H86" s="10"/>
    </row>
    <row r="87" customFormat="false" ht="15" hidden="false" customHeight="false" outlineLevel="0" collapsed="false">
      <c r="A87" s="10"/>
      <c r="B87" s="12"/>
      <c r="C87" s="10"/>
      <c r="D87" s="10"/>
      <c r="E87" s="11"/>
      <c r="F87" s="10" t="s">
        <v>220</v>
      </c>
      <c r="G87" s="10"/>
      <c r="H87" s="10"/>
    </row>
    <row r="88" customFormat="false" ht="15" hidden="false" customHeight="false" outlineLevel="0" collapsed="false">
      <c r="A88" s="10"/>
      <c r="B88" s="12"/>
      <c r="C88" s="10"/>
      <c r="D88" s="10"/>
      <c r="E88" s="11"/>
      <c r="F88" s="10" t="s">
        <v>220</v>
      </c>
      <c r="G88" s="10"/>
      <c r="H88" s="10"/>
    </row>
    <row r="89" customFormat="false" ht="15" hidden="false" customHeight="false" outlineLevel="0" collapsed="false">
      <c r="A89" s="10"/>
      <c r="B89" s="12"/>
      <c r="C89" s="10"/>
      <c r="D89" s="10"/>
      <c r="E89" s="11"/>
      <c r="F89" s="10" t="s">
        <v>220</v>
      </c>
      <c r="G89" s="10"/>
      <c r="H89" s="10"/>
    </row>
    <row r="90" customFormat="false" ht="15" hidden="false" customHeight="false" outlineLevel="0" collapsed="false">
      <c r="A90" s="10"/>
      <c r="B90" s="12"/>
      <c r="C90" s="10"/>
      <c r="D90" s="10"/>
      <c r="E90" s="11"/>
      <c r="F90" s="10" t="s">
        <v>220</v>
      </c>
      <c r="G90" s="10"/>
      <c r="H90" s="10"/>
    </row>
    <row r="91" customFormat="false" ht="15" hidden="false" customHeight="false" outlineLevel="0" collapsed="false">
      <c r="A91" s="10"/>
      <c r="B91" s="12"/>
      <c r="C91" s="10"/>
      <c r="D91" s="10"/>
      <c r="E91" s="11"/>
      <c r="F91" s="10" t="s">
        <v>220</v>
      </c>
      <c r="G91" s="10"/>
      <c r="H91" s="10"/>
    </row>
    <row r="92" customFormat="false" ht="15" hidden="false" customHeight="false" outlineLevel="0" collapsed="false">
      <c r="A92" s="10"/>
      <c r="B92" s="12"/>
      <c r="C92" s="10"/>
      <c r="D92" s="10"/>
      <c r="E92" s="11"/>
      <c r="F92" s="10" t="s">
        <v>220</v>
      </c>
      <c r="G92" s="10"/>
      <c r="H92" s="10"/>
    </row>
    <row r="93" customFormat="false" ht="15" hidden="false" customHeight="false" outlineLevel="0" collapsed="false">
      <c r="A93" s="10"/>
      <c r="B93" s="12"/>
      <c r="C93" s="10"/>
      <c r="D93" s="10"/>
      <c r="E93" s="11"/>
      <c r="F93" s="10" t="s">
        <v>220</v>
      </c>
      <c r="G93" s="10"/>
      <c r="H93" s="10"/>
    </row>
    <row r="94" customFormat="false" ht="15" hidden="false" customHeight="false" outlineLevel="0" collapsed="false">
      <c r="A94" s="10"/>
      <c r="B94" s="12"/>
      <c r="C94" s="10"/>
      <c r="D94" s="10"/>
      <c r="E94" s="11"/>
      <c r="F94" s="10" t="s">
        <v>220</v>
      </c>
      <c r="G94" s="10"/>
      <c r="H94" s="10"/>
    </row>
    <row r="95" customFormat="false" ht="15" hidden="false" customHeight="false" outlineLevel="0" collapsed="false">
      <c r="A95" s="10"/>
      <c r="B95" s="12"/>
      <c r="C95" s="10"/>
      <c r="D95" s="10"/>
      <c r="E95" s="11"/>
      <c r="F95" s="10" t="s">
        <v>220</v>
      </c>
      <c r="G95" s="10"/>
      <c r="H95" s="10"/>
    </row>
    <row r="96" customFormat="false" ht="15" hidden="false" customHeight="false" outlineLevel="0" collapsed="false">
      <c r="A96" s="10"/>
      <c r="B96" s="12"/>
      <c r="C96" s="10"/>
      <c r="D96" s="10"/>
      <c r="E96" s="11"/>
      <c r="F96" s="10" t="s">
        <v>220</v>
      </c>
      <c r="G96" s="10"/>
      <c r="H96" s="10"/>
    </row>
    <row r="97" customFormat="false" ht="15" hidden="false" customHeight="false" outlineLevel="0" collapsed="false">
      <c r="A97" s="10"/>
      <c r="B97" s="12"/>
      <c r="C97" s="10"/>
      <c r="D97" s="10"/>
      <c r="E97" s="11"/>
      <c r="F97" s="10" t="s">
        <v>220</v>
      </c>
      <c r="G97" s="10"/>
      <c r="H97" s="10"/>
    </row>
    <row r="98" customFormat="false" ht="15" hidden="false" customHeight="false" outlineLevel="0" collapsed="false">
      <c r="A98" s="10"/>
      <c r="B98" s="12"/>
      <c r="C98" s="10"/>
      <c r="D98" s="10"/>
      <c r="E98" s="11"/>
      <c r="F98" s="10" t="s">
        <v>220</v>
      </c>
      <c r="G98" s="10"/>
      <c r="H98" s="10"/>
    </row>
    <row r="99" customFormat="false" ht="15" hidden="false" customHeight="false" outlineLevel="0" collapsed="false">
      <c r="A99" s="10"/>
      <c r="B99" s="12"/>
      <c r="C99" s="10"/>
      <c r="D99" s="10"/>
      <c r="E99" s="11"/>
      <c r="F99" s="10" t="s">
        <v>220</v>
      </c>
      <c r="G99" s="10"/>
      <c r="H99" s="10"/>
    </row>
    <row r="100" customFormat="false" ht="15" hidden="false" customHeight="false" outlineLevel="0" collapsed="false">
      <c r="A100" s="10"/>
      <c r="B100" s="12"/>
      <c r="C100" s="10"/>
      <c r="D100" s="10"/>
      <c r="E100" s="11"/>
      <c r="F100" s="10" t="s">
        <v>220</v>
      </c>
      <c r="G100" s="10"/>
      <c r="H100" s="10"/>
    </row>
    <row r="101" customFormat="false" ht="15" hidden="false" customHeight="false" outlineLevel="0" collapsed="false">
      <c r="A101" s="10"/>
      <c r="B101" s="12"/>
      <c r="C101" s="10"/>
      <c r="D101" s="10"/>
      <c r="E101" s="11"/>
      <c r="F101" s="10" t="s">
        <v>220</v>
      </c>
      <c r="G101" s="10"/>
      <c r="H101" s="10"/>
    </row>
    <row r="102" customFormat="false" ht="15" hidden="false" customHeight="false" outlineLevel="0" collapsed="false">
      <c r="A102" s="10"/>
      <c r="B102" s="12"/>
      <c r="C102" s="10"/>
      <c r="D102" s="10"/>
      <c r="E102" s="11"/>
      <c r="F102" s="10" t="s">
        <v>220</v>
      </c>
      <c r="G102" s="10"/>
      <c r="H102" s="10"/>
    </row>
    <row r="103" customFormat="false" ht="15" hidden="false" customHeight="false" outlineLevel="0" collapsed="false">
      <c r="A103" s="10"/>
      <c r="B103" s="12"/>
      <c r="C103" s="10"/>
      <c r="D103" s="10"/>
      <c r="E103" s="11"/>
      <c r="F103" s="10" t="s">
        <v>220</v>
      </c>
      <c r="G103" s="10"/>
      <c r="H103" s="10"/>
    </row>
    <row r="104" customFormat="false" ht="15" hidden="false" customHeight="false" outlineLevel="0" collapsed="false">
      <c r="A104" s="10"/>
      <c r="B104" s="12"/>
      <c r="C104" s="10"/>
      <c r="D104" s="10"/>
      <c r="E104" s="11"/>
      <c r="F104" s="10" t="s">
        <v>220</v>
      </c>
      <c r="G104" s="10"/>
      <c r="H104" s="10"/>
    </row>
    <row r="105" customFormat="false" ht="15" hidden="false" customHeight="false" outlineLevel="0" collapsed="false">
      <c r="A105" s="10"/>
      <c r="B105" s="12"/>
      <c r="C105" s="10"/>
      <c r="D105" s="10"/>
      <c r="E105" s="11"/>
      <c r="F105" s="10" t="s">
        <v>220</v>
      </c>
      <c r="G105" s="10"/>
      <c r="H105" s="10"/>
    </row>
    <row r="106" customFormat="false" ht="15" hidden="false" customHeight="false" outlineLevel="0" collapsed="false">
      <c r="A106" s="10"/>
      <c r="B106" s="12"/>
      <c r="C106" s="10"/>
      <c r="D106" s="10"/>
      <c r="E106" s="11"/>
      <c r="F106" s="10" t="s">
        <v>220</v>
      </c>
      <c r="G106" s="10"/>
      <c r="H106" s="10"/>
    </row>
    <row r="107" customFormat="false" ht="15" hidden="false" customHeight="false" outlineLevel="0" collapsed="false">
      <c r="A107" s="10"/>
      <c r="B107" s="12"/>
      <c r="C107" s="10"/>
      <c r="D107" s="10"/>
      <c r="E107" s="11"/>
      <c r="F107" s="10" t="s">
        <v>220</v>
      </c>
      <c r="G107" s="10"/>
      <c r="H107" s="10"/>
    </row>
    <row r="108" customFormat="false" ht="15" hidden="false" customHeight="false" outlineLevel="0" collapsed="false">
      <c r="A108" s="10"/>
      <c r="B108" s="12"/>
      <c r="C108" s="10"/>
      <c r="D108" s="10"/>
      <c r="E108" s="11"/>
      <c r="F108" s="10" t="s">
        <v>220</v>
      </c>
      <c r="G108" s="10"/>
      <c r="H108" s="10"/>
    </row>
    <row r="109" customFormat="false" ht="15" hidden="false" customHeight="false" outlineLevel="0" collapsed="false">
      <c r="A109" s="10"/>
      <c r="B109" s="12"/>
      <c r="C109" s="10"/>
      <c r="D109" s="10"/>
      <c r="E109" s="11"/>
      <c r="F109" s="10" t="s">
        <v>220</v>
      </c>
      <c r="G109" s="10"/>
      <c r="H109" s="10"/>
    </row>
    <row r="110" customFormat="false" ht="15" hidden="false" customHeight="false" outlineLevel="0" collapsed="false">
      <c r="A110" s="10"/>
      <c r="B110" s="12"/>
      <c r="C110" s="10"/>
      <c r="D110" s="10"/>
      <c r="E110" s="11"/>
      <c r="F110" s="10" t="s">
        <v>220</v>
      </c>
      <c r="G110" s="10"/>
      <c r="H110" s="10"/>
    </row>
    <row r="111" customFormat="false" ht="15" hidden="false" customHeight="false" outlineLevel="0" collapsed="false">
      <c r="A111" s="10"/>
      <c r="B111" s="12"/>
      <c r="C111" s="10"/>
      <c r="D111" s="10"/>
      <c r="E111" s="11"/>
      <c r="F111" s="10" t="s">
        <v>220</v>
      </c>
      <c r="G111" s="10"/>
      <c r="H111" s="10"/>
    </row>
    <row r="112" customFormat="false" ht="15" hidden="false" customHeight="false" outlineLevel="0" collapsed="false">
      <c r="A112" s="10"/>
      <c r="B112" s="12"/>
      <c r="C112" s="10"/>
      <c r="D112" s="10"/>
      <c r="E112" s="11"/>
      <c r="F112" s="10" t="s">
        <v>220</v>
      </c>
      <c r="G112" s="10"/>
      <c r="H112" s="10"/>
    </row>
    <row r="113" customFormat="false" ht="15" hidden="false" customHeight="false" outlineLevel="0" collapsed="false">
      <c r="A113" s="10"/>
      <c r="B113" s="12"/>
      <c r="C113" s="10"/>
      <c r="D113" s="10"/>
      <c r="E113" s="11"/>
      <c r="F113" s="10" t="s">
        <v>220</v>
      </c>
      <c r="G113" s="10"/>
      <c r="H113" s="10"/>
    </row>
    <row r="114" customFormat="false" ht="15" hidden="false" customHeight="false" outlineLevel="0" collapsed="false">
      <c r="A114" s="10"/>
      <c r="B114" s="12"/>
      <c r="C114" s="10"/>
      <c r="D114" s="10"/>
      <c r="E114" s="11"/>
      <c r="F114" s="10" t="s">
        <v>220</v>
      </c>
      <c r="G114" s="10"/>
      <c r="H114" s="10"/>
    </row>
    <row r="115" customFormat="false" ht="15" hidden="false" customHeight="false" outlineLevel="0" collapsed="false">
      <c r="A115" s="10"/>
      <c r="B115" s="12"/>
      <c r="C115" s="10"/>
      <c r="D115" s="10"/>
      <c r="E115" s="11"/>
      <c r="F115" s="10" t="s">
        <v>220</v>
      </c>
      <c r="G115" s="10"/>
      <c r="H115" s="10"/>
    </row>
    <row r="116" customFormat="false" ht="15" hidden="false" customHeight="false" outlineLevel="0" collapsed="false">
      <c r="A116" s="10"/>
      <c r="B116" s="12"/>
      <c r="C116" s="10"/>
      <c r="D116" s="10"/>
      <c r="E116" s="11"/>
      <c r="F116" s="10" t="s">
        <v>220</v>
      </c>
      <c r="G116" s="10"/>
      <c r="H116" s="10"/>
    </row>
    <row r="117" customFormat="false" ht="15" hidden="false" customHeight="false" outlineLevel="0" collapsed="false">
      <c r="A117" s="10"/>
      <c r="B117" s="12"/>
      <c r="C117" s="10"/>
      <c r="D117" s="10"/>
      <c r="E117" s="11"/>
      <c r="F117" s="10" t="s">
        <v>220</v>
      </c>
      <c r="G117" s="10"/>
      <c r="H117" s="10"/>
    </row>
    <row r="118" customFormat="false" ht="15" hidden="false" customHeight="false" outlineLevel="0" collapsed="false">
      <c r="A118" s="10"/>
      <c r="B118" s="12"/>
      <c r="C118" s="10"/>
      <c r="D118" s="10"/>
      <c r="E118" s="11"/>
      <c r="F118" s="10" t="s">
        <v>220</v>
      </c>
      <c r="G118" s="10"/>
      <c r="H118" s="10"/>
    </row>
    <row r="119" customFormat="false" ht="15" hidden="false" customHeight="false" outlineLevel="0" collapsed="false">
      <c r="A119" s="10"/>
      <c r="B119" s="12"/>
      <c r="C119" s="10"/>
      <c r="D119" s="10"/>
      <c r="E119" s="11"/>
      <c r="F119" s="10" t="s">
        <v>220</v>
      </c>
      <c r="G119" s="10"/>
      <c r="H119" s="10"/>
    </row>
    <row r="120" customFormat="false" ht="15" hidden="false" customHeight="false" outlineLevel="0" collapsed="false">
      <c r="A120" s="10"/>
      <c r="B120" s="12"/>
      <c r="C120" s="10"/>
      <c r="D120" s="10"/>
      <c r="E120" s="11"/>
      <c r="F120" s="10" t="s">
        <v>220</v>
      </c>
      <c r="G120" s="10"/>
      <c r="H120" s="10"/>
    </row>
    <row r="121" customFormat="false" ht="15" hidden="false" customHeight="false" outlineLevel="0" collapsed="false">
      <c r="A121" s="10"/>
      <c r="B121" s="12"/>
      <c r="C121" s="10"/>
      <c r="D121" s="10"/>
      <c r="E121" s="11"/>
      <c r="F121" s="10" t="s">
        <v>220</v>
      </c>
      <c r="G121" s="10"/>
      <c r="H121" s="10"/>
    </row>
    <row r="122" customFormat="false" ht="15" hidden="false" customHeight="false" outlineLevel="0" collapsed="false">
      <c r="A122" s="10"/>
      <c r="B122" s="12"/>
      <c r="C122" s="10"/>
      <c r="D122" s="10"/>
      <c r="E122" s="11"/>
      <c r="F122" s="10" t="s">
        <v>220</v>
      </c>
      <c r="G122" s="10"/>
      <c r="H122" s="10"/>
    </row>
    <row r="123" customFormat="false" ht="15" hidden="false" customHeight="false" outlineLevel="0" collapsed="false">
      <c r="A123" s="10"/>
      <c r="B123" s="12"/>
      <c r="C123" s="10"/>
      <c r="D123" s="10"/>
      <c r="E123" s="11"/>
      <c r="F123" s="10" t="s">
        <v>220</v>
      </c>
      <c r="G123" s="10"/>
      <c r="H123" s="10"/>
    </row>
    <row r="124" customFormat="false" ht="15" hidden="false" customHeight="false" outlineLevel="0" collapsed="false">
      <c r="A124" s="10"/>
      <c r="B124" s="12"/>
      <c r="C124" s="10"/>
      <c r="D124" s="10"/>
      <c r="E124" s="11"/>
      <c r="F124" s="10" t="s">
        <v>220</v>
      </c>
      <c r="G124" s="10"/>
      <c r="H124" s="10"/>
    </row>
    <row r="125" customFormat="false" ht="15" hidden="false" customHeight="false" outlineLevel="0" collapsed="false">
      <c r="A125" s="10"/>
      <c r="B125" s="12"/>
      <c r="C125" s="10"/>
      <c r="D125" s="10"/>
      <c r="E125" s="11"/>
      <c r="F125" s="10" t="s">
        <v>220</v>
      </c>
      <c r="G125" s="10"/>
      <c r="H125" s="10"/>
    </row>
    <row r="126" customFormat="false" ht="15" hidden="false" customHeight="false" outlineLevel="0" collapsed="false">
      <c r="A126" s="10"/>
      <c r="B126" s="12"/>
      <c r="C126" s="10"/>
      <c r="D126" s="10"/>
      <c r="E126" s="11"/>
      <c r="F126" s="10" t="s">
        <v>220</v>
      </c>
      <c r="G126" s="10"/>
      <c r="H126" s="10"/>
    </row>
    <row r="127" customFormat="false" ht="15" hidden="false" customHeight="false" outlineLevel="0" collapsed="false">
      <c r="A127" s="10"/>
      <c r="B127" s="12"/>
      <c r="C127" s="10"/>
      <c r="D127" s="10"/>
      <c r="E127" s="11"/>
      <c r="F127" s="10" t="s">
        <v>220</v>
      </c>
      <c r="G127" s="10"/>
      <c r="H127" s="10"/>
    </row>
    <row r="128" customFormat="false" ht="15" hidden="false" customHeight="false" outlineLevel="0" collapsed="false">
      <c r="A128" s="10"/>
      <c r="B128" s="12"/>
      <c r="C128" s="10"/>
      <c r="D128" s="10"/>
      <c r="E128" s="11"/>
      <c r="F128" s="10" t="s">
        <v>220</v>
      </c>
      <c r="G128" s="10"/>
      <c r="H128" s="10"/>
    </row>
    <row r="129" customFormat="false" ht="15" hidden="false" customHeight="false" outlineLevel="0" collapsed="false">
      <c r="A129" s="10"/>
      <c r="B129" s="12"/>
      <c r="C129" s="10"/>
      <c r="D129" s="10"/>
      <c r="E129" s="11"/>
      <c r="F129" s="10" t="s">
        <v>220</v>
      </c>
      <c r="G129" s="10"/>
      <c r="H129" s="10"/>
    </row>
    <row r="130" customFormat="false" ht="15" hidden="false" customHeight="false" outlineLevel="0" collapsed="false">
      <c r="A130" s="10"/>
      <c r="B130" s="12"/>
      <c r="C130" s="10"/>
      <c r="D130" s="10"/>
      <c r="E130" s="11"/>
      <c r="F130" s="10" t="s">
        <v>220</v>
      </c>
      <c r="G130" s="10"/>
      <c r="H130" s="10"/>
    </row>
    <row r="131" customFormat="false" ht="15" hidden="false" customHeight="false" outlineLevel="0" collapsed="false">
      <c r="A131" s="10"/>
      <c r="B131" s="12"/>
      <c r="C131" s="10"/>
      <c r="D131" s="10"/>
      <c r="E131" s="11"/>
      <c r="F131" s="10" t="s">
        <v>220</v>
      </c>
      <c r="G131" s="10"/>
      <c r="H131" s="10"/>
    </row>
    <row r="132" customFormat="false" ht="15" hidden="false" customHeight="false" outlineLevel="0" collapsed="false">
      <c r="A132" s="10"/>
      <c r="B132" s="12"/>
      <c r="C132" s="10"/>
      <c r="D132" s="10"/>
      <c r="E132" s="11"/>
      <c r="F132" s="10" t="s">
        <v>220</v>
      </c>
      <c r="G132" s="10"/>
      <c r="H132" s="10"/>
    </row>
    <row r="133" customFormat="false" ht="15" hidden="false" customHeight="false" outlineLevel="0" collapsed="false">
      <c r="A133" s="10"/>
      <c r="B133" s="12"/>
      <c r="C133" s="10"/>
      <c r="D133" s="10"/>
      <c r="E133" s="11"/>
      <c r="F133" s="10" t="s">
        <v>220</v>
      </c>
      <c r="G133" s="10"/>
      <c r="H133" s="10"/>
    </row>
    <row r="134" customFormat="false" ht="15" hidden="false" customHeight="false" outlineLevel="0" collapsed="false">
      <c r="A134" s="10"/>
      <c r="B134" s="12"/>
      <c r="C134" s="10"/>
      <c r="D134" s="10"/>
      <c r="E134" s="11"/>
      <c r="F134" s="10" t="s">
        <v>220</v>
      </c>
      <c r="G134" s="10"/>
      <c r="H134" s="10"/>
    </row>
    <row r="135" customFormat="false" ht="15" hidden="false" customHeight="false" outlineLevel="0" collapsed="false">
      <c r="A135" s="10"/>
      <c r="B135" s="12"/>
      <c r="C135" s="10"/>
      <c r="D135" s="10"/>
      <c r="E135" s="11"/>
      <c r="F135" s="10" t="s">
        <v>220</v>
      </c>
      <c r="G135" s="10"/>
      <c r="H135" s="10"/>
    </row>
    <row r="136" customFormat="false" ht="15" hidden="false" customHeight="false" outlineLevel="0" collapsed="false">
      <c r="A136" s="10"/>
      <c r="B136" s="12"/>
      <c r="C136" s="10"/>
      <c r="D136" s="10"/>
      <c r="E136" s="11"/>
      <c r="F136" s="10" t="s">
        <v>220</v>
      </c>
      <c r="G136" s="10"/>
      <c r="H136" s="10"/>
    </row>
    <row r="137" customFormat="false" ht="15" hidden="false" customHeight="false" outlineLevel="0" collapsed="false">
      <c r="A137" s="10"/>
      <c r="B137" s="12"/>
      <c r="C137" s="10"/>
      <c r="D137" s="10"/>
      <c r="E137" s="11"/>
      <c r="F137" s="10" t="s">
        <v>220</v>
      </c>
      <c r="G137" s="10"/>
      <c r="H137" s="10"/>
    </row>
    <row r="138" customFormat="false" ht="15" hidden="false" customHeight="false" outlineLevel="0" collapsed="false">
      <c r="A138" s="10"/>
      <c r="B138" s="12"/>
      <c r="C138" s="10"/>
      <c r="D138" s="10"/>
      <c r="E138" s="11"/>
      <c r="F138" s="10" t="s">
        <v>220</v>
      </c>
      <c r="G138" s="10"/>
      <c r="H138" s="10"/>
    </row>
    <row r="139" customFormat="false" ht="15" hidden="false" customHeight="false" outlineLevel="0" collapsed="false">
      <c r="A139" s="10"/>
      <c r="B139" s="12"/>
      <c r="C139" s="10"/>
      <c r="D139" s="10"/>
      <c r="E139" s="11"/>
      <c r="F139" s="10" t="s">
        <v>220</v>
      </c>
      <c r="G139" s="10"/>
      <c r="H139" s="10"/>
    </row>
    <row r="140" customFormat="false" ht="15" hidden="false" customHeight="false" outlineLevel="0" collapsed="false">
      <c r="A140" s="10"/>
      <c r="B140" s="12"/>
      <c r="C140" s="10"/>
      <c r="D140" s="10"/>
      <c r="E140" s="11"/>
      <c r="F140" s="10" t="s">
        <v>220</v>
      </c>
      <c r="G140" s="10"/>
      <c r="H140" s="10"/>
    </row>
    <row r="141" customFormat="false" ht="15" hidden="false" customHeight="false" outlineLevel="0" collapsed="false">
      <c r="A141" s="10"/>
      <c r="B141" s="12"/>
      <c r="C141" s="10"/>
      <c r="D141" s="10"/>
      <c r="E141" s="11"/>
      <c r="F141" s="10" t="s">
        <v>220</v>
      </c>
      <c r="G141" s="10"/>
      <c r="H141" s="10"/>
    </row>
    <row r="142" customFormat="false" ht="15" hidden="false" customHeight="false" outlineLevel="0" collapsed="false">
      <c r="A142" s="10"/>
      <c r="B142" s="12"/>
      <c r="C142" s="10"/>
      <c r="D142" s="10"/>
      <c r="E142" s="11"/>
      <c r="F142" s="10" t="s">
        <v>220</v>
      </c>
      <c r="G142" s="10"/>
      <c r="H142" s="10"/>
    </row>
    <row r="143" customFormat="false" ht="15" hidden="false" customHeight="false" outlineLevel="0" collapsed="false">
      <c r="A143" s="10"/>
      <c r="B143" s="12"/>
      <c r="C143" s="10"/>
      <c r="D143" s="10"/>
      <c r="E143" s="11"/>
      <c r="F143" s="10" t="s">
        <v>220</v>
      </c>
      <c r="G143" s="10"/>
      <c r="H143" s="10"/>
    </row>
    <row r="144" customFormat="false" ht="15" hidden="false" customHeight="false" outlineLevel="0" collapsed="false">
      <c r="A144" s="10"/>
      <c r="B144" s="12"/>
      <c r="C144" s="10"/>
      <c r="D144" s="10"/>
      <c r="E144" s="11"/>
      <c r="F144" s="10" t="s">
        <v>220</v>
      </c>
      <c r="G144" s="10"/>
      <c r="H144" s="10"/>
    </row>
    <row r="145" customFormat="false" ht="15" hidden="false" customHeight="false" outlineLevel="0" collapsed="false">
      <c r="A145" s="10"/>
      <c r="B145" s="12"/>
      <c r="C145" s="10"/>
      <c r="D145" s="10"/>
      <c r="E145" s="11"/>
      <c r="F145" s="10" t="s">
        <v>220</v>
      </c>
      <c r="G145" s="10"/>
      <c r="H145" s="10"/>
    </row>
    <row r="146" customFormat="false" ht="15" hidden="false" customHeight="false" outlineLevel="0" collapsed="false">
      <c r="A146" s="10"/>
      <c r="B146" s="12"/>
      <c r="C146" s="10"/>
      <c r="D146" s="10"/>
      <c r="E146" s="11"/>
      <c r="F146" s="10" t="s">
        <v>220</v>
      </c>
      <c r="G146" s="10"/>
      <c r="H146" s="10"/>
    </row>
    <row r="147" customFormat="false" ht="15" hidden="false" customHeight="false" outlineLevel="0" collapsed="false">
      <c r="A147" s="10"/>
      <c r="B147" s="12"/>
      <c r="C147" s="10"/>
      <c r="D147" s="10"/>
      <c r="E147" s="11"/>
      <c r="F147" s="10" t="s">
        <v>220</v>
      </c>
      <c r="G147" s="10"/>
      <c r="H147" s="10"/>
    </row>
    <row r="148" customFormat="false" ht="15" hidden="false" customHeight="false" outlineLevel="0" collapsed="false">
      <c r="A148" s="10"/>
      <c r="B148" s="12"/>
      <c r="C148" s="10"/>
      <c r="D148" s="10"/>
      <c r="E148" s="11"/>
      <c r="F148" s="10" t="s">
        <v>220</v>
      </c>
      <c r="G148" s="10"/>
      <c r="H148" s="10"/>
    </row>
    <row r="149" customFormat="false" ht="15" hidden="false" customHeight="false" outlineLevel="0" collapsed="false">
      <c r="A149" s="10"/>
      <c r="B149" s="12"/>
      <c r="C149" s="10"/>
      <c r="D149" s="10"/>
      <c r="E149" s="11"/>
      <c r="F149" s="10" t="s">
        <v>220</v>
      </c>
      <c r="G149" s="10"/>
      <c r="H149" s="10"/>
    </row>
    <row r="150" customFormat="false" ht="15" hidden="false" customHeight="false" outlineLevel="0" collapsed="false">
      <c r="A150" s="10"/>
      <c r="B150" s="12"/>
      <c r="C150" s="10"/>
      <c r="D150" s="10"/>
      <c r="E150" s="11"/>
      <c r="F150" s="10" t="s">
        <v>220</v>
      </c>
      <c r="G150" s="10"/>
      <c r="H150" s="10"/>
    </row>
    <row r="151" customFormat="false" ht="15" hidden="false" customHeight="false" outlineLevel="0" collapsed="false">
      <c r="A151" s="10"/>
      <c r="B151" s="12"/>
      <c r="C151" s="10"/>
      <c r="D151" s="10"/>
      <c r="E151" s="11"/>
      <c r="F151" s="10" t="s">
        <v>220</v>
      </c>
      <c r="G151" s="10"/>
      <c r="H151" s="10"/>
    </row>
    <row r="152" customFormat="false" ht="15" hidden="false" customHeight="false" outlineLevel="0" collapsed="false">
      <c r="A152" s="10"/>
      <c r="B152" s="12"/>
      <c r="C152" s="10"/>
      <c r="D152" s="10"/>
      <c r="E152" s="11"/>
      <c r="F152" s="10" t="s">
        <v>220</v>
      </c>
      <c r="G152" s="10"/>
      <c r="H152" s="10"/>
    </row>
    <row r="153" customFormat="false" ht="15" hidden="false" customHeight="false" outlineLevel="0" collapsed="false">
      <c r="A153" s="10"/>
      <c r="B153" s="12"/>
      <c r="C153" s="10"/>
      <c r="D153" s="10"/>
      <c r="E153" s="11"/>
      <c r="F153" s="10" t="s">
        <v>220</v>
      </c>
      <c r="G153" s="10"/>
      <c r="H153" s="10"/>
    </row>
    <row r="154" customFormat="false" ht="15" hidden="false" customHeight="false" outlineLevel="0" collapsed="false">
      <c r="A154" s="10"/>
      <c r="B154" s="12"/>
      <c r="C154" s="10"/>
      <c r="D154" s="10"/>
      <c r="E154" s="11"/>
      <c r="F154" s="10" t="s">
        <v>220</v>
      </c>
      <c r="G154" s="10"/>
      <c r="H154" s="10"/>
    </row>
    <row r="155" customFormat="false" ht="15" hidden="false" customHeight="false" outlineLevel="0" collapsed="false">
      <c r="A155" s="10"/>
      <c r="B155" s="12"/>
      <c r="C155" s="10"/>
      <c r="D155" s="10"/>
      <c r="E155" s="11"/>
      <c r="F155" s="10" t="s">
        <v>220</v>
      </c>
      <c r="G155" s="10"/>
      <c r="H155" s="10"/>
    </row>
    <row r="156" customFormat="false" ht="15" hidden="false" customHeight="false" outlineLevel="0" collapsed="false">
      <c r="A156" s="10"/>
      <c r="B156" s="12"/>
      <c r="C156" s="10"/>
      <c r="D156" s="10"/>
      <c r="E156" s="11"/>
      <c r="F156" s="10" t="s">
        <v>220</v>
      </c>
      <c r="G156" s="10"/>
      <c r="H156" s="10"/>
    </row>
    <row r="157" customFormat="false" ht="15" hidden="false" customHeight="false" outlineLevel="0" collapsed="false">
      <c r="A157" s="10"/>
      <c r="B157" s="12"/>
      <c r="C157" s="10"/>
      <c r="D157" s="10"/>
      <c r="E157" s="11"/>
      <c r="F157" s="10" t="s">
        <v>220</v>
      </c>
      <c r="G157" s="10"/>
      <c r="H157" s="10"/>
    </row>
    <row r="158" customFormat="false" ht="15" hidden="false" customHeight="false" outlineLevel="0" collapsed="false">
      <c r="A158" s="10"/>
      <c r="B158" s="12"/>
      <c r="C158" s="10"/>
      <c r="D158" s="10"/>
      <c r="E158" s="11"/>
      <c r="F158" s="10" t="s">
        <v>220</v>
      </c>
      <c r="G158" s="10"/>
      <c r="H158" s="10"/>
    </row>
    <row r="159" customFormat="false" ht="15" hidden="false" customHeight="false" outlineLevel="0" collapsed="false">
      <c r="A159" s="10"/>
      <c r="B159" s="12"/>
      <c r="C159" s="10"/>
      <c r="D159" s="10"/>
      <c r="E159" s="11"/>
      <c r="F159" s="10" t="s">
        <v>220</v>
      </c>
      <c r="G159" s="10"/>
      <c r="H159" s="10"/>
    </row>
    <row r="160" customFormat="false" ht="15" hidden="false" customHeight="false" outlineLevel="0" collapsed="false">
      <c r="A160" s="10"/>
      <c r="B160" s="12"/>
      <c r="C160" s="10"/>
      <c r="D160" s="10"/>
      <c r="E160" s="11"/>
      <c r="F160" s="10" t="s">
        <v>220</v>
      </c>
      <c r="G160" s="10"/>
      <c r="H160" s="10"/>
    </row>
    <row r="161" customFormat="false" ht="15" hidden="false" customHeight="false" outlineLevel="0" collapsed="false">
      <c r="A161" s="10"/>
      <c r="B161" s="12"/>
      <c r="C161" s="10"/>
      <c r="D161" s="10"/>
      <c r="E161" s="11"/>
      <c r="F161" s="10" t="s">
        <v>220</v>
      </c>
      <c r="G161" s="10"/>
      <c r="H161" s="10"/>
    </row>
    <row r="162" customFormat="false" ht="15" hidden="false" customHeight="false" outlineLevel="0" collapsed="false">
      <c r="A162" s="10"/>
      <c r="B162" s="12"/>
      <c r="C162" s="10"/>
      <c r="D162" s="10"/>
      <c r="E162" s="11"/>
      <c r="F162" s="10" t="s">
        <v>220</v>
      </c>
      <c r="G162" s="10"/>
      <c r="H162" s="10"/>
    </row>
    <row r="163" customFormat="false" ht="15" hidden="false" customHeight="false" outlineLevel="0" collapsed="false">
      <c r="A163" s="10"/>
      <c r="B163" s="12"/>
      <c r="C163" s="10"/>
      <c r="D163" s="10"/>
      <c r="E163" s="11"/>
      <c r="F163" s="10" t="s">
        <v>220</v>
      </c>
      <c r="G163" s="10"/>
      <c r="H163" s="10"/>
    </row>
    <row r="164" customFormat="false" ht="15" hidden="false" customHeight="false" outlineLevel="0" collapsed="false">
      <c r="A164" s="10"/>
      <c r="B164" s="12"/>
      <c r="C164" s="10"/>
      <c r="D164" s="10"/>
      <c r="E164" s="11"/>
      <c r="F164" s="10" t="s">
        <v>220</v>
      </c>
      <c r="G164" s="10"/>
      <c r="H164" s="10"/>
    </row>
    <row r="165" customFormat="false" ht="15" hidden="false" customHeight="false" outlineLevel="0" collapsed="false">
      <c r="A165" s="10"/>
      <c r="B165" s="12"/>
      <c r="C165" s="10"/>
      <c r="D165" s="10"/>
      <c r="E165" s="11"/>
      <c r="F165" s="10" t="s">
        <v>220</v>
      </c>
      <c r="G165" s="10"/>
      <c r="H165" s="10"/>
    </row>
    <row r="166" customFormat="false" ht="15" hidden="false" customHeight="false" outlineLevel="0" collapsed="false">
      <c r="A166" s="10"/>
      <c r="B166" s="12"/>
      <c r="C166" s="10"/>
      <c r="D166" s="10"/>
      <c r="E166" s="11"/>
      <c r="F166" s="10" t="s">
        <v>220</v>
      </c>
      <c r="G166" s="10"/>
      <c r="H166" s="10"/>
    </row>
    <row r="167" customFormat="false" ht="15" hidden="false" customHeight="false" outlineLevel="0" collapsed="false">
      <c r="A167" s="10"/>
      <c r="B167" s="12"/>
      <c r="C167" s="10"/>
      <c r="D167" s="10"/>
      <c r="E167" s="11"/>
      <c r="F167" s="10" t="s">
        <v>220</v>
      </c>
      <c r="G167" s="10"/>
      <c r="H167" s="10"/>
    </row>
    <row r="168" customFormat="false" ht="15" hidden="false" customHeight="false" outlineLevel="0" collapsed="false">
      <c r="A168" s="10"/>
      <c r="B168" s="12"/>
      <c r="C168" s="10"/>
      <c r="D168" s="10"/>
      <c r="E168" s="11"/>
      <c r="F168" s="10" t="s">
        <v>220</v>
      </c>
      <c r="G168" s="10"/>
      <c r="H168" s="10"/>
    </row>
    <row r="169" customFormat="false" ht="15" hidden="false" customHeight="false" outlineLevel="0" collapsed="false">
      <c r="A169" s="10"/>
      <c r="B169" s="12"/>
      <c r="C169" s="10"/>
      <c r="D169" s="10"/>
      <c r="E169" s="11"/>
      <c r="F169" s="10" t="s">
        <v>220</v>
      </c>
      <c r="G169" s="10"/>
      <c r="H169" s="10"/>
    </row>
    <row r="170" customFormat="false" ht="15" hidden="false" customHeight="false" outlineLevel="0" collapsed="false">
      <c r="A170" s="10"/>
      <c r="B170" s="12"/>
      <c r="C170" s="10"/>
      <c r="D170" s="10"/>
      <c r="E170" s="11"/>
      <c r="F170" s="10" t="s">
        <v>220</v>
      </c>
      <c r="G170" s="10"/>
      <c r="H170" s="10"/>
    </row>
    <row r="171" customFormat="false" ht="15" hidden="false" customHeight="false" outlineLevel="0" collapsed="false">
      <c r="A171" s="10"/>
      <c r="B171" s="12"/>
      <c r="C171" s="10"/>
      <c r="D171" s="10"/>
      <c r="E171" s="11"/>
      <c r="F171" s="10" t="s">
        <v>220</v>
      </c>
      <c r="G171" s="10"/>
      <c r="H171" s="10"/>
    </row>
    <row r="172" customFormat="false" ht="15" hidden="false" customHeight="false" outlineLevel="0" collapsed="false">
      <c r="A172" s="10"/>
      <c r="B172" s="12"/>
      <c r="C172" s="10"/>
      <c r="D172" s="10"/>
      <c r="E172" s="11"/>
      <c r="F172" s="10" t="s">
        <v>220</v>
      </c>
      <c r="G172" s="10"/>
      <c r="H172" s="10"/>
    </row>
    <row r="173" customFormat="false" ht="15" hidden="false" customHeight="false" outlineLevel="0" collapsed="false">
      <c r="A173" s="10"/>
      <c r="B173" s="12"/>
      <c r="C173" s="10"/>
      <c r="D173" s="10"/>
      <c r="E173" s="11"/>
      <c r="F173" s="10" t="s">
        <v>220</v>
      </c>
      <c r="G173" s="10"/>
      <c r="H173" s="10"/>
    </row>
    <row r="174" customFormat="false" ht="15" hidden="false" customHeight="false" outlineLevel="0" collapsed="false">
      <c r="A174" s="10"/>
      <c r="B174" s="12"/>
      <c r="C174" s="10"/>
      <c r="D174" s="10"/>
      <c r="E174" s="11"/>
      <c r="F174" s="10" t="s">
        <v>220</v>
      </c>
      <c r="G174" s="10"/>
      <c r="H174" s="10"/>
    </row>
    <row r="175" customFormat="false" ht="15" hidden="false" customHeight="false" outlineLevel="0" collapsed="false">
      <c r="A175" s="10"/>
      <c r="B175" s="12"/>
      <c r="C175" s="10"/>
      <c r="D175" s="10"/>
      <c r="E175" s="11"/>
      <c r="F175" s="10" t="s">
        <v>220</v>
      </c>
      <c r="G175" s="10"/>
      <c r="H175" s="10"/>
    </row>
    <row r="176" customFormat="false" ht="15" hidden="false" customHeight="false" outlineLevel="0" collapsed="false">
      <c r="A176" s="10"/>
      <c r="B176" s="12"/>
      <c r="C176" s="10"/>
      <c r="D176" s="10"/>
      <c r="E176" s="11"/>
      <c r="F176" s="10" t="s">
        <v>220</v>
      </c>
      <c r="G176" s="10"/>
      <c r="H176" s="10"/>
    </row>
    <row r="177" customFormat="false" ht="15" hidden="false" customHeight="false" outlineLevel="0" collapsed="false">
      <c r="A177" s="10"/>
      <c r="B177" s="12"/>
      <c r="C177" s="10"/>
      <c r="D177" s="10"/>
      <c r="E177" s="11"/>
      <c r="F177" s="10" t="s">
        <v>220</v>
      </c>
      <c r="G177" s="10"/>
      <c r="H177" s="10"/>
    </row>
    <row r="178" customFormat="false" ht="15" hidden="false" customHeight="false" outlineLevel="0" collapsed="false">
      <c r="A178" s="10"/>
      <c r="B178" s="12"/>
      <c r="C178" s="10"/>
      <c r="D178" s="10"/>
      <c r="E178" s="11"/>
      <c r="F178" s="10" t="s">
        <v>220</v>
      </c>
      <c r="G178" s="10"/>
      <c r="H178" s="10"/>
    </row>
    <row r="179" customFormat="false" ht="15" hidden="false" customHeight="false" outlineLevel="0" collapsed="false">
      <c r="A179" s="10"/>
      <c r="B179" s="12"/>
      <c r="C179" s="10"/>
      <c r="D179" s="10"/>
      <c r="E179" s="11"/>
      <c r="F179" s="10" t="s">
        <v>220</v>
      </c>
      <c r="G179" s="10"/>
      <c r="H179" s="10"/>
    </row>
    <row r="180" customFormat="false" ht="15" hidden="false" customHeight="false" outlineLevel="0" collapsed="false">
      <c r="A180" s="10"/>
      <c r="B180" s="12"/>
      <c r="C180" s="10"/>
      <c r="D180" s="10"/>
      <c r="E180" s="11"/>
      <c r="F180" s="10" t="s">
        <v>220</v>
      </c>
      <c r="G180" s="10"/>
      <c r="H180" s="10"/>
    </row>
    <row r="181" customFormat="false" ht="15" hidden="false" customHeight="false" outlineLevel="0" collapsed="false">
      <c r="A181" s="10"/>
      <c r="B181" s="12"/>
      <c r="C181" s="10"/>
      <c r="D181" s="10"/>
      <c r="E181" s="11"/>
      <c r="F181" s="10" t="s">
        <v>220</v>
      </c>
      <c r="G181" s="10"/>
      <c r="H181" s="10"/>
    </row>
    <row r="182" customFormat="false" ht="15" hidden="false" customHeight="false" outlineLevel="0" collapsed="false">
      <c r="A182" s="10"/>
      <c r="B182" s="12"/>
      <c r="C182" s="10"/>
      <c r="D182" s="10"/>
      <c r="E182" s="11"/>
      <c r="F182" s="10" t="s">
        <v>220</v>
      </c>
      <c r="G182" s="10"/>
      <c r="H182" s="10"/>
    </row>
    <row r="183" customFormat="false" ht="15" hidden="false" customHeight="false" outlineLevel="0" collapsed="false">
      <c r="A183" s="10"/>
      <c r="B183" s="12"/>
      <c r="C183" s="10"/>
      <c r="D183" s="10"/>
      <c r="E183" s="11"/>
      <c r="F183" s="10" t="s">
        <v>220</v>
      </c>
      <c r="G183" s="10"/>
      <c r="H183" s="10"/>
    </row>
    <row r="184" customFormat="false" ht="15" hidden="false" customHeight="false" outlineLevel="0" collapsed="false">
      <c r="A184" s="10"/>
      <c r="B184" s="12"/>
      <c r="C184" s="10"/>
      <c r="D184" s="10"/>
      <c r="E184" s="11"/>
      <c r="F184" s="10" t="s">
        <v>220</v>
      </c>
      <c r="G184" s="10"/>
      <c r="H184" s="10"/>
    </row>
    <row r="185" customFormat="false" ht="15" hidden="false" customHeight="false" outlineLevel="0" collapsed="false">
      <c r="A185" s="10"/>
      <c r="B185" s="12"/>
      <c r="C185" s="10"/>
      <c r="D185" s="10"/>
      <c r="E185" s="11"/>
      <c r="F185" s="10" t="s">
        <v>220</v>
      </c>
      <c r="G185" s="10"/>
      <c r="H185" s="10"/>
    </row>
    <row r="186" customFormat="false" ht="15" hidden="false" customHeight="false" outlineLevel="0" collapsed="false">
      <c r="A186" s="10"/>
      <c r="B186" s="12"/>
      <c r="C186" s="10"/>
      <c r="D186" s="10"/>
      <c r="E186" s="11"/>
      <c r="F186" s="10" t="s">
        <v>220</v>
      </c>
      <c r="G186" s="10"/>
      <c r="H186" s="10"/>
    </row>
    <row r="187" customFormat="false" ht="15" hidden="false" customHeight="false" outlineLevel="0" collapsed="false">
      <c r="A187" s="10"/>
      <c r="B187" s="12"/>
      <c r="C187" s="10"/>
      <c r="D187" s="10"/>
      <c r="E187" s="11"/>
      <c r="F187" s="10" t="s">
        <v>220</v>
      </c>
      <c r="G187" s="10"/>
      <c r="H187" s="10"/>
    </row>
    <row r="188" customFormat="false" ht="15" hidden="false" customHeight="false" outlineLevel="0" collapsed="false">
      <c r="A188" s="10"/>
      <c r="B188" s="12"/>
      <c r="C188" s="10"/>
      <c r="D188" s="10"/>
      <c r="E188" s="11"/>
      <c r="F188" s="10" t="s">
        <v>220</v>
      </c>
      <c r="G188" s="10"/>
      <c r="H188" s="10"/>
    </row>
    <row r="189" customFormat="false" ht="15" hidden="false" customHeight="false" outlineLevel="0" collapsed="false">
      <c r="A189" s="10"/>
      <c r="B189" s="12"/>
      <c r="C189" s="10"/>
      <c r="D189" s="10"/>
      <c r="E189" s="11"/>
      <c r="F189" s="10" t="s">
        <v>220</v>
      </c>
      <c r="G189" s="10"/>
      <c r="H189" s="10"/>
    </row>
    <row r="190" customFormat="false" ht="15" hidden="false" customHeight="false" outlineLevel="0" collapsed="false">
      <c r="A190" s="10"/>
      <c r="B190" s="12"/>
      <c r="C190" s="10"/>
      <c r="D190" s="10"/>
      <c r="E190" s="11"/>
      <c r="F190" s="10" t="s">
        <v>220</v>
      </c>
      <c r="G190" s="10"/>
      <c r="H190" s="10"/>
    </row>
    <row r="191" customFormat="false" ht="15" hidden="false" customHeight="false" outlineLevel="0" collapsed="false">
      <c r="A191" s="10"/>
      <c r="B191" s="12"/>
      <c r="C191" s="10"/>
      <c r="D191" s="10"/>
      <c r="E191" s="11"/>
      <c r="F191" s="10" t="s">
        <v>220</v>
      </c>
      <c r="G191" s="10"/>
      <c r="H191" s="10"/>
    </row>
    <row r="192" customFormat="false" ht="15" hidden="false" customHeight="false" outlineLevel="0" collapsed="false">
      <c r="A192" s="10"/>
      <c r="B192" s="12"/>
      <c r="C192" s="10"/>
      <c r="D192" s="10"/>
      <c r="E192" s="11"/>
      <c r="F192" s="10" t="s">
        <v>220</v>
      </c>
      <c r="G192" s="10"/>
      <c r="H192" s="10"/>
    </row>
    <row r="193" customFormat="false" ht="15" hidden="false" customHeight="false" outlineLevel="0" collapsed="false">
      <c r="A193" s="10"/>
      <c r="B193" s="12"/>
      <c r="C193" s="10"/>
      <c r="D193" s="10"/>
      <c r="E193" s="11"/>
      <c r="F193" s="10" t="s">
        <v>220</v>
      </c>
      <c r="G193" s="10"/>
      <c r="H193" s="10"/>
    </row>
    <row r="194" customFormat="false" ht="15" hidden="false" customHeight="false" outlineLevel="0" collapsed="false">
      <c r="A194" s="10"/>
      <c r="B194" s="12"/>
      <c r="C194" s="10"/>
      <c r="D194" s="10"/>
      <c r="E194" s="11"/>
      <c r="F194" s="10" t="s">
        <v>220</v>
      </c>
      <c r="G194" s="10"/>
      <c r="H194" s="10"/>
    </row>
    <row r="195" customFormat="false" ht="15" hidden="false" customHeight="false" outlineLevel="0" collapsed="false">
      <c r="A195" s="10"/>
      <c r="B195" s="12"/>
      <c r="C195" s="10"/>
      <c r="D195" s="10"/>
      <c r="E195" s="11"/>
      <c r="F195" s="10" t="s">
        <v>220</v>
      </c>
      <c r="G195" s="10"/>
      <c r="H195" s="10"/>
    </row>
    <row r="196" customFormat="false" ht="15" hidden="false" customHeight="false" outlineLevel="0" collapsed="false">
      <c r="A196" s="10"/>
      <c r="B196" s="12"/>
      <c r="C196" s="10"/>
      <c r="D196" s="10"/>
      <c r="E196" s="11"/>
      <c r="F196" s="10" t="s">
        <v>220</v>
      </c>
      <c r="G196" s="10"/>
      <c r="H196" s="10"/>
    </row>
    <row r="197" customFormat="false" ht="15" hidden="false" customHeight="false" outlineLevel="0" collapsed="false">
      <c r="A197" s="10"/>
      <c r="B197" s="12"/>
      <c r="C197" s="10"/>
      <c r="D197" s="10"/>
      <c r="E197" s="11"/>
      <c r="F197" s="10" t="s">
        <v>220</v>
      </c>
      <c r="G197" s="10"/>
      <c r="H197" s="10"/>
    </row>
    <row r="198" customFormat="false" ht="15" hidden="false" customHeight="false" outlineLevel="0" collapsed="false">
      <c r="A198" s="10"/>
      <c r="B198" s="12"/>
      <c r="C198" s="10"/>
      <c r="D198" s="10"/>
      <c r="E198" s="11"/>
      <c r="F198" s="10" t="s">
        <v>220</v>
      </c>
      <c r="G198" s="10"/>
      <c r="H198" s="10"/>
    </row>
    <row r="199" customFormat="false" ht="15" hidden="false" customHeight="false" outlineLevel="0" collapsed="false">
      <c r="A199" s="10"/>
      <c r="B199" s="12"/>
      <c r="C199" s="10"/>
      <c r="D199" s="10"/>
      <c r="E199" s="11"/>
      <c r="F199" s="10" t="s">
        <v>220</v>
      </c>
      <c r="G199" s="10"/>
      <c r="H199" s="10"/>
    </row>
    <row r="200" customFormat="false" ht="15" hidden="false" customHeight="false" outlineLevel="0" collapsed="false">
      <c r="A200" s="10"/>
      <c r="B200" s="12"/>
      <c r="C200" s="10"/>
      <c r="D200" s="10"/>
      <c r="E200" s="11"/>
      <c r="F200" s="10" t="s">
        <v>220</v>
      </c>
      <c r="G200" s="10"/>
      <c r="H200" s="10"/>
    </row>
    <row r="201" customFormat="false" ht="15" hidden="false" customHeight="false" outlineLevel="0" collapsed="false">
      <c r="A201" s="10"/>
      <c r="B201" s="12"/>
      <c r="C201" s="10"/>
      <c r="D201" s="10"/>
      <c r="E201" s="11"/>
      <c r="F201" s="10" t="s">
        <v>220</v>
      </c>
      <c r="G201" s="10"/>
      <c r="H201" s="10"/>
    </row>
    <row r="202" customFormat="false" ht="15" hidden="false" customHeight="false" outlineLevel="0" collapsed="false">
      <c r="A202" s="10"/>
      <c r="B202" s="12"/>
      <c r="C202" s="10"/>
      <c r="D202" s="10"/>
      <c r="E202" s="11"/>
      <c r="F202" s="10" t="s">
        <v>220</v>
      </c>
      <c r="G202" s="10"/>
      <c r="H202" s="10"/>
    </row>
    <row r="203" customFormat="false" ht="15" hidden="false" customHeight="false" outlineLevel="0" collapsed="false">
      <c r="A203" s="10"/>
      <c r="B203" s="12"/>
      <c r="C203" s="10"/>
      <c r="D203" s="10"/>
      <c r="E203" s="11"/>
      <c r="F203" s="10" t="s">
        <v>220</v>
      </c>
      <c r="G203" s="10"/>
      <c r="H203" s="10"/>
    </row>
    <row r="204" customFormat="false" ht="15" hidden="false" customHeight="false" outlineLevel="0" collapsed="false">
      <c r="A204" s="10"/>
      <c r="B204" s="12"/>
      <c r="C204" s="10"/>
      <c r="D204" s="10"/>
      <c r="E204" s="11"/>
      <c r="F204" s="10" t="s">
        <v>220</v>
      </c>
      <c r="G204" s="10"/>
      <c r="H204" s="10"/>
    </row>
    <row r="205" customFormat="false" ht="15" hidden="false" customHeight="false" outlineLevel="0" collapsed="false">
      <c r="A205" s="10"/>
      <c r="B205" s="12"/>
      <c r="C205" s="10"/>
      <c r="D205" s="10"/>
      <c r="E205" s="11"/>
      <c r="F205" s="10" t="s">
        <v>220</v>
      </c>
      <c r="G205" s="10"/>
      <c r="H205" s="10"/>
    </row>
    <row r="206" customFormat="false" ht="15" hidden="false" customHeight="false" outlineLevel="0" collapsed="false">
      <c r="A206" s="10"/>
      <c r="B206" s="12"/>
      <c r="C206" s="10"/>
      <c r="D206" s="10"/>
      <c r="E206" s="11"/>
      <c r="F206" s="10" t="s">
        <v>220</v>
      </c>
      <c r="G206" s="10"/>
      <c r="H206" s="10"/>
    </row>
    <row r="207" customFormat="false" ht="15" hidden="false" customHeight="false" outlineLevel="0" collapsed="false">
      <c r="A207" s="10"/>
      <c r="B207" s="12"/>
      <c r="C207" s="10"/>
      <c r="D207" s="10"/>
      <c r="E207" s="11"/>
      <c r="F207" s="10" t="s">
        <v>220</v>
      </c>
      <c r="G207" s="10"/>
      <c r="H207" s="10"/>
    </row>
    <row r="208" customFormat="false" ht="15" hidden="false" customHeight="false" outlineLevel="0" collapsed="false">
      <c r="A208" s="10"/>
      <c r="B208" s="12"/>
      <c r="C208" s="10"/>
      <c r="D208" s="10"/>
      <c r="E208" s="11"/>
      <c r="F208" s="10" t="s">
        <v>220</v>
      </c>
      <c r="G208" s="10"/>
      <c r="H208" s="10"/>
    </row>
    <row r="209" customFormat="false" ht="15" hidden="false" customHeight="false" outlineLevel="0" collapsed="false">
      <c r="A209" s="10"/>
      <c r="B209" s="12"/>
      <c r="C209" s="10"/>
      <c r="D209" s="10"/>
      <c r="E209" s="11"/>
      <c r="F209" s="10" t="s">
        <v>220</v>
      </c>
      <c r="G209" s="10"/>
      <c r="H209" s="10"/>
    </row>
    <row r="210" customFormat="false" ht="15" hidden="false" customHeight="false" outlineLevel="0" collapsed="false">
      <c r="A210" s="10"/>
      <c r="B210" s="12"/>
      <c r="C210" s="10"/>
      <c r="D210" s="10"/>
      <c r="E210" s="11"/>
      <c r="F210" s="10" t="s">
        <v>220</v>
      </c>
      <c r="G210" s="10"/>
      <c r="H210" s="10"/>
    </row>
    <row r="211" customFormat="false" ht="15" hidden="false" customHeight="false" outlineLevel="0" collapsed="false">
      <c r="A211" s="10"/>
      <c r="B211" s="12"/>
      <c r="C211" s="10"/>
      <c r="D211" s="10"/>
      <c r="E211" s="11"/>
      <c r="F211" s="10" t="s">
        <v>220</v>
      </c>
      <c r="G211" s="10"/>
      <c r="H211" s="10"/>
    </row>
    <row r="212" customFormat="false" ht="15" hidden="false" customHeight="false" outlineLevel="0" collapsed="false">
      <c r="A212" s="10"/>
      <c r="B212" s="12"/>
      <c r="C212" s="10"/>
      <c r="D212" s="10"/>
      <c r="E212" s="11"/>
      <c r="F212" s="10" t="s">
        <v>220</v>
      </c>
      <c r="G212" s="10"/>
      <c r="H212" s="10"/>
    </row>
    <row r="213" customFormat="false" ht="15" hidden="false" customHeight="false" outlineLevel="0" collapsed="false">
      <c r="A213" s="10"/>
      <c r="B213" s="12"/>
      <c r="C213" s="10"/>
      <c r="D213" s="10"/>
      <c r="E213" s="11"/>
      <c r="F213" s="10" t="s">
        <v>220</v>
      </c>
      <c r="G213" s="10"/>
      <c r="H213" s="10"/>
    </row>
    <row r="214" customFormat="false" ht="15" hidden="false" customHeight="false" outlineLevel="0" collapsed="false">
      <c r="A214" s="10"/>
      <c r="B214" s="12"/>
      <c r="C214" s="10"/>
      <c r="D214" s="10"/>
      <c r="E214" s="11"/>
      <c r="F214" s="10" t="s">
        <v>220</v>
      </c>
      <c r="G214" s="10"/>
      <c r="H214" s="10"/>
    </row>
    <row r="215" customFormat="false" ht="15" hidden="false" customHeight="false" outlineLevel="0" collapsed="false">
      <c r="A215" s="10"/>
      <c r="B215" s="12"/>
      <c r="C215" s="10"/>
      <c r="D215" s="10"/>
      <c r="E215" s="11"/>
      <c r="F215" s="10" t="s">
        <v>220</v>
      </c>
      <c r="G215" s="10"/>
      <c r="H215" s="10"/>
    </row>
    <row r="216" customFormat="false" ht="15" hidden="false" customHeight="false" outlineLevel="0" collapsed="false">
      <c r="A216" s="10"/>
      <c r="B216" s="12"/>
      <c r="C216" s="10"/>
      <c r="D216" s="10"/>
      <c r="E216" s="11"/>
      <c r="F216" s="10" t="s">
        <v>220</v>
      </c>
      <c r="G216" s="10"/>
      <c r="H216" s="10"/>
    </row>
    <row r="217" customFormat="false" ht="15" hidden="false" customHeight="false" outlineLevel="0" collapsed="false">
      <c r="A217" s="10"/>
      <c r="B217" s="12"/>
      <c r="C217" s="10"/>
      <c r="D217" s="10"/>
      <c r="E217" s="11"/>
      <c r="F217" s="10" t="s">
        <v>220</v>
      </c>
      <c r="G217" s="10"/>
      <c r="H217" s="10"/>
    </row>
    <row r="218" customFormat="false" ht="15" hidden="false" customHeight="false" outlineLevel="0" collapsed="false">
      <c r="A218" s="10"/>
      <c r="B218" s="12"/>
      <c r="C218" s="10"/>
      <c r="D218" s="10"/>
      <c r="E218" s="11"/>
      <c r="F218" s="10" t="s">
        <v>220</v>
      </c>
      <c r="G218" s="10"/>
      <c r="H218" s="10"/>
    </row>
    <row r="219" customFormat="false" ht="15" hidden="false" customHeight="false" outlineLevel="0" collapsed="false">
      <c r="A219" s="10"/>
      <c r="B219" s="12"/>
      <c r="C219" s="10"/>
      <c r="D219" s="10"/>
      <c r="E219" s="11"/>
      <c r="F219" s="10" t="s">
        <v>220</v>
      </c>
      <c r="G219" s="10"/>
      <c r="H219" s="10"/>
    </row>
    <row r="220" customFormat="false" ht="15" hidden="false" customHeight="false" outlineLevel="0" collapsed="false">
      <c r="A220" s="10"/>
      <c r="B220" s="12"/>
      <c r="C220" s="10"/>
      <c r="D220" s="10"/>
      <c r="E220" s="11"/>
      <c r="F220" s="10" t="s">
        <v>220</v>
      </c>
      <c r="G220" s="10"/>
      <c r="H220" s="10"/>
    </row>
    <row r="221" customFormat="false" ht="15" hidden="false" customHeight="false" outlineLevel="0" collapsed="false">
      <c r="A221" s="10"/>
      <c r="B221" s="12"/>
      <c r="C221" s="10"/>
      <c r="D221" s="10"/>
      <c r="E221" s="11"/>
      <c r="F221" s="10" t="s">
        <v>220</v>
      </c>
      <c r="G221" s="10"/>
      <c r="H221" s="10"/>
    </row>
    <row r="222" customFormat="false" ht="15" hidden="false" customHeight="false" outlineLevel="0" collapsed="false">
      <c r="A222" s="10"/>
      <c r="B222" s="12"/>
      <c r="C222" s="10"/>
      <c r="D222" s="10"/>
      <c r="E222" s="11"/>
      <c r="F222" s="10" t="s">
        <v>220</v>
      </c>
      <c r="G222" s="10"/>
      <c r="H222" s="10"/>
    </row>
    <row r="223" customFormat="false" ht="15" hidden="false" customHeight="false" outlineLevel="0" collapsed="false">
      <c r="A223" s="10"/>
      <c r="B223" s="12"/>
      <c r="C223" s="10"/>
      <c r="D223" s="10"/>
      <c r="E223" s="11"/>
      <c r="F223" s="10" t="s">
        <v>220</v>
      </c>
      <c r="G223" s="10"/>
      <c r="H223" s="10"/>
    </row>
    <row r="224" customFormat="false" ht="15" hidden="false" customHeight="false" outlineLevel="0" collapsed="false">
      <c r="A224" s="10"/>
      <c r="B224" s="12"/>
      <c r="C224" s="10"/>
      <c r="D224" s="10"/>
      <c r="E224" s="11"/>
      <c r="F224" s="10" t="s">
        <v>220</v>
      </c>
      <c r="G224" s="10"/>
      <c r="H224" s="10"/>
    </row>
    <row r="225" customFormat="false" ht="15" hidden="false" customHeight="false" outlineLevel="0" collapsed="false">
      <c r="A225" s="10"/>
      <c r="B225" s="12"/>
      <c r="C225" s="10"/>
      <c r="D225" s="10"/>
      <c r="E225" s="11"/>
      <c r="F225" s="10" t="s">
        <v>220</v>
      </c>
      <c r="G225" s="10"/>
      <c r="H225" s="10"/>
    </row>
    <row r="226" customFormat="false" ht="15" hidden="false" customHeight="false" outlineLevel="0" collapsed="false">
      <c r="A226" s="10"/>
      <c r="B226" s="12"/>
      <c r="C226" s="10"/>
      <c r="D226" s="10"/>
      <c r="E226" s="11"/>
      <c r="F226" s="10" t="s">
        <v>220</v>
      </c>
      <c r="G226" s="10"/>
      <c r="H226" s="10"/>
    </row>
    <row r="227" customFormat="false" ht="15" hidden="false" customHeight="false" outlineLevel="0" collapsed="false">
      <c r="A227" s="10"/>
      <c r="B227" s="12"/>
      <c r="C227" s="10"/>
      <c r="D227" s="10"/>
      <c r="E227" s="11"/>
      <c r="F227" s="10" t="s">
        <v>220</v>
      </c>
      <c r="G227" s="10"/>
      <c r="H227" s="10"/>
    </row>
    <row r="228" customFormat="false" ht="15" hidden="false" customHeight="false" outlineLevel="0" collapsed="false">
      <c r="A228" s="10"/>
      <c r="B228" s="12"/>
      <c r="C228" s="10"/>
      <c r="D228" s="10"/>
      <c r="E228" s="11"/>
      <c r="F228" s="10" t="s">
        <v>220</v>
      </c>
      <c r="G228" s="10"/>
      <c r="H228" s="10"/>
    </row>
    <row r="229" customFormat="false" ht="15" hidden="false" customHeight="false" outlineLevel="0" collapsed="false">
      <c r="A229" s="10"/>
      <c r="B229" s="12"/>
      <c r="C229" s="10"/>
      <c r="D229" s="10"/>
      <c r="E229" s="11"/>
      <c r="F229" s="10" t="s">
        <v>220</v>
      </c>
      <c r="G229" s="10"/>
      <c r="H229" s="10"/>
    </row>
    <row r="230" customFormat="false" ht="15" hidden="false" customHeight="false" outlineLevel="0" collapsed="false">
      <c r="A230" s="10"/>
      <c r="B230" s="12"/>
      <c r="C230" s="10"/>
      <c r="D230" s="10"/>
      <c r="E230" s="11"/>
      <c r="F230" s="10" t="s">
        <v>220</v>
      </c>
      <c r="G230" s="10"/>
      <c r="H230" s="10"/>
    </row>
    <row r="231" customFormat="false" ht="15" hidden="false" customHeight="false" outlineLevel="0" collapsed="false">
      <c r="A231" s="10"/>
      <c r="B231" s="12"/>
      <c r="C231" s="10"/>
      <c r="D231" s="10"/>
      <c r="E231" s="11"/>
      <c r="F231" s="10" t="s">
        <v>220</v>
      </c>
      <c r="G231" s="10"/>
      <c r="H231" s="10"/>
    </row>
    <row r="232" customFormat="false" ht="15" hidden="false" customHeight="false" outlineLevel="0" collapsed="false">
      <c r="A232" s="10"/>
      <c r="B232" s="12"/>
      <c r="C232" s="10"/>
      <c r="D232" s="10"/>
      <c r="E232" s="11"/>
      <c r="F232" s="10" t="s">
        <v>220</v>
      </c>
      <c r="G232" s="10"/>
      <c r="H232" s="10"/>
    </row>
    <row r="233" customFormat="false" ht="15" hidden="false" customHeight="false" outlineLevel="0" collapsed="false">
      <c r="A233" s="10"/>
      <c r="B233" s="12"/>
      <c r="C233" s="10"/>
      <c r="D233" s="10"/>
      <c r="E233" s="11"/>
      <c r="F233" s="10" t="s">
        <v>220</v>
      </c>
      <c r="G233" s="10"/>
      <c r="H233" s="10"/>
    </row>
    <row r="234" customFormat="false" ht="15" hidden="false" customHeight="false" outlineLevel="0" collapsed="false">
      <c r="A234" s="10"/>
      <c r="B234" s="12"/>
      <c r="C234" s="10"/>
      <c r="D234" s="10"/>
      <c r="E234" s="11"/>
      <c r="F234" s="10" t="s">
        <v>220</v>
      </c>
      <c r="G234" s="10"/>
      <c r="H234" s="10"/>
    </row>
    <row r="235" customFormat="false" ht="15" hidden="false" customHeight="false" outlineLevel="0" collapsed="false">
      <c r="A235" s="10"/>
      <c r="B235" s="12"/>
      <c r="C235" s="10"/>
      <c r="D235" s="10"/>
      <c r="E235" s="11"/>
      <c r="F235" s="10" t="s">
        <v>220</v>
      </c>
      <c r="G235" s="10"/>
      <c r="H235" s="10"/>
    </row>
    <row r="236" customFormat="false" ht="15" hidden="false" customHeight="false" outlineLevel="0" collapsed="false">
      <c r="A236" s="10"/>
      <c r="B236" s="12"/>
      <c r="C236" s="10"/>
      <c r="D236" s="10"/>
      <c r="E236" s="11"/>
      <c r="F236" s="10" t="s">
        <v>220</v>
      </c>
      <c r="G236" s="10"/>
      <c r="H236" s="10"/>
    </row>
    <row r="237" customFormat="false" ht="15" hidden="false" customHeight="false" outlineLevel="0" collapsed="false">
      <c r="A237" s="10"/>
      <c r="B237" s="12"/>
      <c r="C237" s="10"/>
      <c r="D237" s="10"/>
      <c r="E237" s="11"/>
      <c r="F237" s="10" t="s">
        <v>220</v>
      </c>
      <c r="G237" s="10"/>
      <c r="H237" s="10"/>
    </row>
    <row r="238" customFormat="false" ht="15" hidden="false" customHeight="false" outlineLevel="0" collapsed="false">
      <c r="A238" s="10"/>
      <c r="B238" s="12"/>
      <c r="C238" s="10"/>
      <c r="D238" s="10"/>
      <c r="E238" s="11"/>
      <c r="F238" s="10" t="s">
        <v>220</v>
      </c>
      <c r="G238" s="10"/>
      <c r="H238" s="10"/>
    </row>
    <row r="239" customFormat="false" ht="15" hidden="false" customHeight="false" outlineLevel="0" collapsed="false">
      <c r="A239" s="10"/>
      <c r="B239" s="12"/>
      <c r="C239" s="10"/>
      <c r="D239" s="10"/>
      <c r="E239" s="11"/>
      <c r="F239" s="10" t="s">
        <v>220</v>
      </c>
      <c r="G239" s="10"/>
      <c r="H239" s="10"/>
    </row>
    <row r="240" customFormat="false" ht="15" hidden="false" customHeight="false" outlineLevel="0" collapsed="false">
      <c r="A240" s="10"/>
      <c r="B240" s="12"/>
      <c r="C240" s="10"/>
      <c r="D240" s="10"/>
      <c r="E240" s="11"/>
      <c r="F240" s="10" t="s">
        <v>220</v>
      </c>
      <c r="G240" s="10"/>
      <c r="H240" s="10"/>
    </row>
    <row r="241" customFormat="false" ht="15" hidden="false" customHeight="false" outlineLevel="0" collapsed="false">
      <c r="A241" s="10"/>
      <c r="B241" s="12"/>
      <c r="C241" s="10"/>
      <c r="D241" s="10"/>
      <c r="E241" s="11"/>
      <c r="F241" s="10" t="s">
        <v>220</v>
      </c>
      <c r="G241" s="10"/>
      <c r="H241" s="10"/>
    </row>
    <row r="242" customFormat="false" ht="15" hidden="false" customHeight="false" outlineLevel="0" collapsed="false">
      <c r="A242" s="10"/>
      <c r="B242" s="12"/>
      <c r="C242" s="10"/>
      <c r="D242" s="10"/>
      <c r="E242" s="11"/>
      <c r="F242" s="10" t="s">
        <v>220</v>
      </c>
      <c r="G242" s="10"/>
      <c r="H242" s="10"/>
    </row>
    <row r="243" customFormat="false" ht="15" hidden="false" customHeight="false" outlineLevel="0" collapsed="false">
      <c r="A243" s="10"/>
      <c r="B243" s="12"/>
      <c r="C243" s="10"/>
      <c r="D243" s="10"/>
      <c r="E243" s="11"/>
      <c r="F243" s="10" t="s">
        <v>220</v>
      </c>
      <c r="G243" s="10"/>
      <c r="H243" s="10"/>
    </row>
    <row r="244" customFormat="false" ht="15" hidden="false" customHeight="false" outlineLevel="0" collapsed="false">
      <c r="A244" s="10"/>
      <c r="B244" s="12"/>
      <c r="C244" s="10"/>
      <c r="D244" s="10"/>
      <c r="E244" s="11"/>
      <c r="F244" s="10" t="s">
        <v>220</v>
      </c>
      <c r="G244" s="10"/>
      <c r="H244" s="10"/>
    </row>
    <row r="245" customFormat="false" ht="15" hidden="false" customHeight="false" outlineLevel="0" collapsed="false">
      <c r="A245" s="10"/>
      <c r="B245" s="12"/>
      <c r="C245" s="10"/>
      <c r="D245" s="10"/>
      <c r="E245" s="11"/>
      <c r="F245" s="10" t="s">
        <v>220</v>
      </c>
      <c r="G245" s="10"/>
      <c r="H245" s="10"/>
    </row>
    <row r="246" customFormat="false" ht="15" hidden="false" customHeight="false" outlineLevel="0" collapsed="false">
      <c r="A246" s="10"/>
      <c r="B246" s="12"/>
      <c r="C246" s="10"/>
      <c r="D246" s="10"/>
      <c r="E246" s="11"/>
      <c r="F246" s="10" t="s">
        <v>220</v>
      </c>
      <c r="G246" s="10"/>
      <c r="H246" s="10"/>
    </row>
    <row r="247" customFormat="false" ht="15" hidden="false" customHeight="false" outlineLevel="0" collapsed="false">
      <c r="A247" s="10"/>
      <c r="B247" s="12"/>
      <c r="C247" s="10"/>
      <c r="D247" s="10"/>
      <c r="E247" s="11"/>
      <c r="F247" s="10" t="s">
        <v>220</v>
      </c>
      <c r="G247" s="10"/>
      <c r="H247" s="10"/>
    </row>
    <row r="248" customFormat="false" ht="15" hidden="false" customHeight="false" outlineLevel="0" collapsed="false">
      <c r="A248" s="10"/>
      <c r="B248" s="12"/>
      <c r="C248" s="10"/>
      <c r="D248" s="10"/>
      <c r="E248" s="11"/>
      <c r="F248" s="10" t="s">
        <v>220</v>
      </c>
      <c r="G248" s="10"/>
      <c r="H248" s="10"/>
    </row>
    <row r="249" customFormat="false" ht="15" hidden="false" customHeight="false" outlineLevel="0" collapsed="false">
      <c r="A249" s="10"/>
      <c r="B249" s="12"/>
      <c r="C249" s="10"/>
      <c r="D249" s="10"/>
      <c r="E249" s="11"/>
      <c r="F249" s="10" t="s">
        <v>220</v>
      </c>
      <c r="G249" s="10"/>
      <c r="H249" s="10"/>
    </row>
    <row r="250" customFormat="false" ht="15" hidden="false" customHeight="false" outlineLevel="0" collapsed="false">
      <c r="A250" s="10"/>
      <c r="B250" s="12"/>
      <c r="C250" s="10"/>
      <c r="D250" s="10"/>
      <c r="E250" s="11"/>
      <c r="F250" s="10" t="s">
        <v>220</v>
      </c>
      <c r="G250" s="10"/>
      <c r="H250" s="10"/>
    </row>
    <row r="251" customFormat="false" ht="15" hidden="false" customHeight="false" outlineLevel="0" collapsed="false">
      <c r="A251" s="10"/>
      <c r="B251" s="12"/>
      <c r="C251" s="10"/>
      <c r="D251" s="10"/>
      <c r="E251" s="11"/>
      <c r="F251" s="10" t="s">
        <v>220</v>
      </c>
      <c r="G251" s="10"/>
      <c r="H251" s="10"/>
    </row>
    <row r="252" customFormat="false" ht="15" hidden="false" customHeight="false" outlineLevel="0" collapsed="false">
      <c r="A252" s="10"/>
      <c r="B252" s="12"/>
      <c r="C252" s="10"/>
      <c r="D252" s="10"/>
      <c r="E252" s="11"/>
      <c r="F252" s="10" t="s">
        <v>220</v>
      </c>
      <c r="G252" s="10"/>
      <c r="H252" s="10"/>
    </row>
    <row r="253" customFormat="false" ht="15" hidden="false" customHeight="false" outlineLevel="0" collapsed="false">
      <c r="A253" s="10"/>
      <c r="B253" s="12"/>
      <c r="C253" s="10"/>
      <c r="D253" s="10"/>
      <c r="E253" s="11"/>
      <c r="F253" s="10" t="s">
        <v>220</v>
      </c>
      <c r="G253" s="10"/>
      <c r="H253" s="10"/>
    </row>
    <row r="254" customFormat="false" ht="15" hidden="false" customHeight="false" outlineLevel="0" collapsed="false">
      <c r="A254" s="10"/>
      <c r="B254" s="12"/>
      <c r="C254" s="10"/>
      <c r="D254" s="10"/>
      <c r="E254" s="11"/>
      <c r="F254" s="10" t="s">
        <v>220</v>
      </c>
      <c r="G254" s="10"/>
      <c r="H254" s="10"/>
    </row>
    <row r="255" customFormat="false" ht="15" hidden="false" customHeight="false" outlineLevel="0" collapsed="false">
      <c r="A255" s="10"/>
      <c r="B255" s="12"/>
      <c r="C255" s="10"/>
      <c r="D255" s="10"/>
      <c r="E255" s="11"/>
      <c r="F255" s="10" t="s">
        <v>220</v>
      </c>
      <c r="G255" s="10"/>
      <c r="H255" s="10"/>
    </row>
    <row r="256" customFormat="false" ht="15" hidden="false" customHeight="false" outlineLevel="0" collapsed="false">
      <c r="A256" s="10"/>
      <c r="B256" s="12"/>
      <c r="C256" s="10"/>
      <c r="D256" s="10"/>
      <c r="E256" s="11"/>
      <c r="F256" s="10" t="s">
        <v>220</v>
      </c>
      <c r="G256" s="10"/>
      <c r="H256" s="10"/>
    </row>
    <row r="257" customFormat="false" ht="15" hidden="false" customHeight="false" outlineLevel="0" collapsed="false">
      <c r="A257" s="10"/>
      <c r="B257" s="12"/>
      <c r="C257" s="10"/>
      <c r="D257" s="10"/>
      <c r="E257" s="11"/>
      <c r="F257" s="10" t="s">
        <v>220</v>
      </c>
      <c r="G257" s="10"/>
      <c r="H257" s="10"/>
    </row>
    <row r="258" customFormat="false" ht="15" hidden="false" customHeight="false" outlineLevel="0" collapsed="false">
      <c r="A258" s="10"/>
      <c r="B258" s="12"/>
      <c r="C258" s="10"/>
      <c r="D258" s="10"/>
      <c r="E258" s="11"/>
      <c r="F258" s="10" t="s">
        <v>220</v>
      </c>
      <c r="G258" s="10"/>
      <c r="H258" s="10"/>
    </row>
    <row r="259" customFormat="false" ht="15" hidden="false" customHeight="false" outlineLevel="0" collapsed="false">
      <c r="A259" s="10"/>
      <c r="B259" s="12"/>
      <c r="C259" s="10"/>
      <c r="D259" s="10"/>
      <c r="E259" s="11"/>
      <c r="F259" s="10" t="s">
        <v>220</v>
      </c>
      <c r="G259" s="10"/>
      <c r="H259" s="10"/>
    </row>
    <row r="260" customFormat="false" ht="15" hidden="false" customHeight="false" outlineLevel="0" collapsed="false">
      <c r="A260" s="10"/>
      <c r="B260" s="12"/>
      <c r="C260" s="10"/>
      <c r="D260" s="10"/>
      <c r="E260" s="11"/>
      <c r="F260" s="10" t="s">
        <v>220</v>
      </c>
      <c r="G260" s="10"/>
      <c r="H260" s="10"/>
    </row>
    <row r="261" customFormat="false" ht="15" hidden="false" customHeight="false" outlineLevel="0" collapsed="false">
      <c r="A261" s="10"/>
      <c r="B261" s="12"/>
      <c r="C261" s="10"/>
      <c r="D261" s="10"/>
      <c r="E261" s="11"/>
      <c r="F261" s="10" t="s">
        <v>220</v>
      </c>
      <c r="G261" s="10"/>
      <c r="H261" s="10"/>
    </row>
    <row r="262" customFormat="false" ht="15" hidden="false" customHeight="false" outlineLevel="0" collapsed="false">
      <c r="A262" s="10"/>
      <c r="B262" s="12"/>
      <c r="C262" s="10"/>
      <c r="D262" s="10"/>
      <c r="E262" s="11"/>
      <c r="F262" s="10" t="s">
        <v>220</v>
      </c>
      <c r="G262" s="10"/>
      <c r="H262" s="10"/>
    </row>
    <row r="263" customFormat="false" ht="15" hidden="false" customHeight="false" outlineLevel="0" collapsed="false">
      <c r="A263" s="10"/>
      <c r="B263" s="12"/>
      <c r="C263" s="10"/>
      <c r="D263" s="10"/>
      <c r="E263" s="11"/>
      <c r="F263" s="10" t="s">
        <v>220</v>
      </c>
      <c r="G263" s="10"/>
      <c r="H263" s="10"/>
    </row>
    <row r="264" customFormat="false" ht="15" hidden="false" customHeight="false" outlineLevel="0" collapsed="false">
      <c r="A264" s="10"/>
      <c r="B264" s="12"/>
      <c r="C264" s="10"/>
      <c r="D264" s="10"/>
      <c r="E264" s="11"/>
      <c r="F264" s="10" t="s">
        <v>220</v>
      </c>
      <c r="G264" s="10"/>
      <c r="H264" s="10"/>
    </row>
    <row r="265" customFormat="false" ht="15" hidden="false" customHeight="false" outlineLevel="0" collapsed="false">
      <c r="A265" s="10"/>
      <c r="B265" s="12"/>
      <c r="C265" s="10"/>
      <c r="D265" s="10"/>
      <c r="E265" s="11"/>
      <c r="F265" s="10" t="s">
        <v>220</v>
      </c>
      <c r="G265" s="10"/>
      <c r="H265" s="10"/>
    </row>
    <row r="266" customFormat="false" ht="15" hidden="false" customHeight="false" outlineLevel="0" collapsed="false">
      <c r="A266" s="10"/>
      <c r="B266" s="12"/>
      <c r="C266" s="10"/>
      <c r="D266" s="10"/>
      <c r="E266" s="11"/>
      <c r="F266" s="10" t="s">
        <v>220</v>
      </c>
      <c r="G266" s="10"/>
      <c r="H266" s="10"/>
    </row>
    <row r="267" customFormat="false" ht="15" hidden="false" customHeight="false" outlineLevel="0" collapsed="false">
      <c r="A267" s="10"/>
      <c r="B267" s="12"/>
      <c r="C267" s="10"/>
      <c r="D267" s="10"/>
      <c r="E267" s="11"/>
      <c r="F267" s="10" t="s">
        <v>220</v>
      </c>
      <c r="G267" s="10"/>
      <c r="H267" s="10"/>
    </row>
    <row r="268" customFormat="false" ht="15" hidden="false" customHeight="false" outlineLevel="0" collapsed="false">
      <c r="A268" s="10"/>
      <c r="B268" s="12"/>
      <c r="C268" s="10"/>
      <c r="D268" s="10"/>
      <c r="E268" s="11"/>
      <c r="F268" s="10" t="s">
        <v>220</v>
      </c>
      <c r="G268" s="10"/>
      <c r="H268" s="10"/>
    </row>
    <row r="269" customFormat="false" ht="15" hidden="false" customHeight="false" outlineLevel="0" collapsed="false">
      <c r="A269" s="10"/>
      <c r="B269" s="12"/>
      <c r="C269" s="10"/>
      <c r="D269" s="10"/>
      <c r="E269" s="11"/>
      <c r="F269" s="10" t="s">
        <v>220</v>
      </c>
      <c r="G269" s="10"/>
      <c r="H269" s="10"/>
    </row>
    <row r="270" customFormat="false" ht="15" hidden="false" customHeight="false" outlineLevel="0" collapsed="false">
      <c r="A270" s="10"/>
      <c r="B270" s="12"/>
      <c r="C270" s="10"/>
      <c r="D270" s="10"/>
      <c r="E270" s="11"/>
      <c r="F270" s="10" t="s">
        <v>220</v>
      </c>
      <c r="G270" s="10"/>
      <c r="H270" s="10"/>
    </row>
    <row r="271" customFormat="false" ht="15" hidden="false" customHeight="false" outlineLevel="0" collapsed="false">
      <c r="A271" s="10"/>
      <c r="B271" s="12"/>
      <c r="C271" s="10"/>
      <c r="D271" s="10"/>
      <c r="E271" s="11"/>
      <c r="F271" s="10" t="s">
        <v>220</v>
      </c>
      <c r="G271" s="10"/>
      <c r="H271" s="10"/>
    </row>
    <row r="272" customFormat="false" ht="15" hidden="false" customHeight="false" outlineLevel="0" collapsed="false">
      <c r="A272" s="10"/>
      <c r="B272" s="12"/>
      <c r="C272" s="10"/>
      <c r="D272" s="10"/>
      <c r="E272" s="11"/>
      <c r="F272" s="10" t="s">
        <v>220</v>
      </c>
      <c r="G272" s="10"/>
      <c r="H272" s="10"/>
    </row>
    <row r="273" customFormat="false" ht="15" hidden="false" customHeight="false" outlineLevel="0" collapsed="false">
      <c r="A273" s="10"/>
      <c r="B273" s="12"/>
      <c r="C273" s="10"/>
      <c r="D273" s="10"/>
      <c r="E273" s="11"/>
      <c r="F273" s="10" t="s">
        <v>220</v>
      </c>
      <c r="G273" s="10"/>
      <c r="H273" s="10"/>
    </row>
    <row r="274" customFormat="false" ht="15" hidden="false" customHeight="false" outlineLevel="0" collapsed="false">
      <c r="A274" s="10"/>
      <c r="B274" s="12"/>
      <c r="C274" s="10"/>
      <c r="D274" s="10"/>
      <c r="E274" s="11"/>
      <c r="F274" s="10" t="s">
        <v>220</v>
      </c>
      <c r="G274" s="10"/>
      <c r="H274" s="10"/>
    </row>
    <row r="275" customFormat="false" ht="15" hidden="false" customHeight="false" outlineLevel="0" collapsed="false">
      <c r="A275" s="10"/>
      <c r="B275" s="12"/>
      <c r="C275" s="10"/>
      <c r="D275" s="10"/>
      <c r="E275" s="11"/>
      <c r="F275" s="10" t="s">
        <v>220</v>
      </c>
      <c r="G275" s="10"/>
      <c r="H275" s="10"/>
    </row>
    <row r="276" customFormat="false" ht="15" hidden="false" customHeight="false" outlineLevel="0" collapsed="false">
      <c r="A276" s="10"/>
      <c r="B276" s="12"/>
      <c r="C276" s="10"/>
      <c r="D276" s="10"/>
      <c r="E276" s="11"/>
      <c r="F276" s="10" t="s">
        <v>220</v>
      </c>
      <c r="G276" s="10"/>
      <c r="H276" s="10"/>
    </row>
    <row r="277" customFormat="false" ht="15" hidden="false" customHeight="false" outlineLevel="0" collapsed="false">
      <c r="A277" s="10"/>
      <c r="B277" s="12"/>
      <c r="C277" s="10"/>
      <c r="D277" s="10"/>
      <c r="E277" s="11"/>
      <c r="F277" s="10" t="s">
        <v>220</v>
      </c>
      <c r="G277" s="10"/>
      <c r="H277" s="10"/>
    </row>
    <row r="278" customFormat="false" ht="15" hidden="false" customHeight="false" outlineLevel="0" collapsed="false">
      <c r="A278" s="10"/>
      <c r="B278" s="12"/>
      <c r="C278" s="10"/>
      <c r="D278" s="10"/>
      <c r="E278" s="11"/>
      <c r="F278" s="10" t="s">
        <v>220</v>
      </c>
      <c r="G278" s="10"/>
      <c r="H278" s="10"/>
    </row>
    <row r="279" customFormat="false" ht="15" hidden="false" customHeight="false" outlineLevel="0" collapsed="false">
      <c r="A279" s="10"/>
      <c r="B279" s="12"/>
      <c r="C279" s="10"/>
      <c r="D279" s="10"/>
      <c r="E279" s="11"/>
      <c r="F279" s="10" t="s">
        <v>220</v>
      </c>
      <c r="G279" s="10"/>
      <c r="H279" s="10"/>
    </row>
    <row r="280" customFormat="false" ht="15" hidden="false" customHeight="false" outlineLevel="0" collapsed="false">
      <c r="A280" s="10"/>
      <c r="B280" s="12"/>
      <c r="C280" s="10"/>
      <c r="D280" s="10"/>
      <c r="E280" s="11"/>
      <c r="F280" s="10" t="s">
        <v>220</v>
      </c>
      <c r="G280" s="10"/>
      <c r="H280" s="10"/>
    </row>
    <row r="281" customFormat="false" ht="15" hidden="false" customHeight="false" outlineLevel="0" collapsed="false">
      <c r="A281" s="10"/>
      <c r="B281" s="12"/>
      <c r="C281" s="10"/>
      <c r="D281" s="10"/>
      <c r="E281" s="11"/>
      <c r="F281" s="10" t="s">
        <v>220</v>
      </c>
      <c r="G281" s="10"/>
      <c r="H281" s="10"/>
    </row>
    <row r="282" customFormat="false" ht="15" hidden="false" customHeight="false" outlineLevel="0" collapsed="false">
      <c r="A282" s="10"/>
      <c r="B282" s="12"/>
      <c r="C282" s="10"/>
      <c r="D282" s="10"/>
      <c r="E282" s="11"/>
      <c r="F282" s="10" t="s">
        <v>220</v>
      </c>
      <c r="G282" s="10"/>
      <c r="H282" s="10"/>
    </row>
    <row r="283" customFormat="false" ht="15" hidden="false" customHeight="false" outlineLevel="0" collapsed="false">
      <c r="A283" s="10"/>
      <c r="B283" s="12"/>
      <c r="C283" s="10"/>
      <c r="D283" s="10"/>
      <c r="E283" s="11"/>
      <c r="F283" s="10" t="s">
        <v>220</v>
      </c>
      <c r="G283" s="10"/>
      <c r="H283" s="10"/>
    </row>
    <row r="284" customFormat="false" ht="15" hidden="false" customHeight="false" outlineLevel="0" collapsed="false">
      <c r="A284" s="10"/>
      <c r="B284" s="12"/>
      <c r="C284" s="10"/>
      <c r="D284" s="10"/>
      <c r="E284" s="11"/>
      <c r="F284" s="10" t="s">
        <v>220</v>
      </c>
      <c r="G284" s="10"/>
      <c r="H284" s="10"/>
    </row>
    <row r="285" customFormat="false" ht="15" hidden="false" customHeight="false" outlineLevel="0" collapsed="false">
      <c r="A285" s="10"/>
      <c r="B285" s="12"/>
      <c r="C285" s="10"/>
      <c r="D285" s="10"/>
      <c r="E285" s="11"/>
      <c r="F285" s="10" t="s">
        <v>220</v>
      </c>
      <c r="G285" s="10"/>
      <c r="H285" s="10"/>
    </row>
    <row r="286" customFormat="false" ht="15" hidden="false" customHeight="false" outlineLevel="0" collapsed="false">
      <c r="A286" s="10"/>
      <c r="B286" s="12"/>
      <c r="C286" s="10"/>
      <c r="D286" s="10"/>
      <c r="E286" s="11"/>
      <c r="F286" s="10" t="s">
        <v>220</v>
      </c>
      <c r="G286" s="10"/>
      <c r="H286" s="10"/>
    </row>
    <row r="287" customFormat="false" ht="15" hidden="false" customHeight="false" outlineLevel="0" collapsed="false">
      <c r="A287" s="10"/>
      <c r="B287" s="12"/>
      <c r="C287" s="10"/>
      <c r="D287" s="10"/>
      <c r="E287" s="11"/>
      <c r="F287" s="10" t="s">
        <v>220</v>
      </c>
      <c r="G287" s="10"/>
      <c r="H287" s="10"/>
    </row>
    <row r="288" customFormat="false" ht="15" hidden="false" customHeight="false" outlineLevel="0" collapsed="false">
      <c r="A288" s="10"/>
      <c r="B288" s="12"/>
      <c r="C288" s="10"/>
      <c r="D288" s="10"/>
      <c r="E288" s="11"/>
      <c r="F288" s="10" t="s">
        <v>220</v>
      </c>
      <c r="G288" s="10"/>
      <c r="H288" s="10"/>
    </row>
    <row r="289" customFormat="false" ht="15" hidden="false" customHeight="false" outlineLevel="0" collapsed="false">
      <c r="A289" s="10"/>
      <c r="B289" s="12"/>
      <c r="C289" s="10"/>
      <c r="D289" s="10"/>
      <c r="E289" s="11"/>
      <c r="F289" s="10" t="s">
        <v>220</v>
      </c>
      <c r="G289" s="10"/>
      <c r="H289" s="10"/>
    </row>
    <row r="290" customFormat="false" ht="15" hidden="false" customHeight="false" outlineLevel="0" collapsed="false">
      <c r="A290" s="10"/>
      <c r="B290" s="12"/>
      <c r="C290" s="10"/>
      <c r="D290" s="10"/>
      <c r="E290" s="11"/>
      <c r="F290" s="10" t="s">
        <v>220</v>
      </c>
      <c r="G290" s="10"/>
      <c r="H290" s="10"/>
    </row>
    <row r="291" customFormat="false" ht="15" hidden="false" customHeight="false" outlineLevel="0" collapsed="false">
      <c r="A291" s="10"/>
      <c r="B291" s="12"/>
      <c r="C291" s="10"/>
      <c r="D291" s="10"/>
      <c r="E291" s="11"/>
      <c r="F291" s="10" t="s">
        <v>220</v>
      </c>
      <c r="G291" s="10"/>
      <c r="H291" s="10"/>
    </row>
    <row r="292" customFormat="false" ht="15" hidden="false" customHeight="false" outlineLevel="0" collapsed="false">
      <c r="A292" s="10"/>
      <c r="B292" s="12"/>
      <c r="C292" s="10"/>
      <c r="D292" s="10"/>
      <c r="E292" s="11"/>
      <c r="F292" s="10" t="s">
        <v>220</v>
      </c>
      <c r="G292" s="10"/>
      <c r="H292" s="10"/>
    </row>
    <row r="293" customFormat="false" ht="15" hidden="false" customHeight="false" outlineLevel="0" collapsed="false">
      <c r="A293" s="10"/>
      <c r="B293" s="12"/>
      <c r="C293" s="10"/>
      <c r="D293" s="10"/>
      <c r="E293" s="11"/>
      <c r="F293" s="10" t="s">
        <v>220</v>
      </c>
      <c r="G293" s="10"/>
      <c r="H293" s="10"/>
    </row>
    <row r="294" customFormat="false" ht="15" hidden="false" customHeight="false" outlineLevel="0" collapsed="false">
      <c r="A294" s="10"/>
      <c r="B294" s="12"/>
      <c r="C294" s="10"/>
      <c r="D294" s="10"/>
      <c r="E294" s="11"/>
      <c r="F294" s="10" t="s">
        <v>220</v>
      </c>
      <c r="G294" s="10"/>
      <c r="H294" s="10"/>
    </row>
    <row r="295" customFormat="false" ht="15" hidden="false" customHeight="false" outlineLevel="0" collapsed="false">
      <c r="A295" s="10"/>
      <c r="B295" s="12"/>
      <c r="C295" s="10"/>
      <c r="D295" s="10"/>
      <c r="E295" s="11"/>
      <c r="F295" s="10" t="s">
        <v>220</v>
      </c>
      <c r="G295" s="10"/>
      <c r="H295" s="10"/>
    </row>
    <row r="296" customFormat="false" ht="15" hidden="false" customHeight="false" outlineLevel="0" collapsed="false">
      <c r="A296" s="10"/>
      <c r="B296" s="12"/>
      <c r="C296" s="10"/>
      <c r="D296" s="10"/>
      <c r="E296" s="11"/>
      <c r="F296" s="10" t="s">
        <v>220</v>
      </c>
      <c r="G296" s="10"/>
      <c r="H296" s="10"/>
    </row>
    <row r="297" customFormat="false" ht="15" hidden="false" customHeight="false" outlineLevel="0" collapsed="false">
      <c r="A297" s="10"/>
      <c r="B297" s="12"/>
      <c r="C297" s="10"/>
      <c r="D297" s="10"/>
      <c r="E297" s="11"/>
      <c r="F297" s="10" t="s">
        <v>220</v>
      </c>
      <c r="G297" s="10"/>
      <c r="H297" s="10"/>
    </row>
    <row r="298" customFormat="false" ht="15" hidden="false" customHeight="false" outlineLevel="0" collapsed="false">
      <c r="A298" s="10"/>
      <c r="B298" s="12"/>
      <c r="C298" s="10"/>
      <c r="D298" s="10"/>
      <c r="E298" s="11"/>
      <c r="F298" s="10" t="s">
        <v>220</v>
      </c>
      <c r="G298" s="10"/>
      <c r="H298" s="10"/>
    </row>
    <row r="299" customFormat="false" ht="15" hidden="false" customHeight="false" outlineLevel="0" collapsed="false">
      <c r="A299" s="10"/>
      <c r="B299" s="12"/>
      <c r="C299" s="10"/>
      <c r="D299" s="10"/>
      <c r="E299" s="11"/>
      <c r="F299" s="10" t="s">
        <v>220</v>
      </c>
      <c r="G299" s="10"/>
      <c r="H299" s="10"/>
    </row>
    <row r="300" customFormat="false" ht="15" hidden="false" customHeight="false" outlineLevel="0" collapsed="false">
      <c r="A300" s="10"/>
      <c r="B300" s="12"/>
      <c r="C300" s="10"/>
      <c r="D300" s="10"/>
      <c r="E300" s="11"/>
      <c r="F300" s="10" t="s">
        <v>220</v>
      </c>
      <c r="G300" s="10"/>
      <c r="H300" s="10"/>
    </row>
    <row r="301" customFormat="false" ht="15" hidden="false" customHeight="false" outlineLevel="0" collapsed="false">
      <c r="A301" s="10"/>
      <c r="B301" s="12"/>
      <c r="C301" s="10"/>
      <c r="D301" s="10"/>
      <c r="E301" s="11"/>
      <c r="F301" s="10" t="s">
        <v>220</v>
      </c>
      <c r="G301" s="10"/>
      <c r="H301" s="10"/>
    </row>
    <row r="302" customFormat="false" ht="15" hidden="false" customHeight="false" outlineLevel="0" collapsed="false">
      <c r="A302" s="10"/>
      <c r="B302" s="12"/>
      <c r="C302" s="10"/>
      <c r="D302" s="10"/>
      <c r="E302" s="11"/>
      <c r="F302" s="10" t="s">
        <v>220</v>
      </c>
      <c r="G302" s="10"/>
      <c r="H302" s="10"/>
    </row>
    <row r="303" customFormat="false" ht="15" hidden="false" customHeight="false" outlineLevel="0" collapsed="false">
      <c r="A303" s="10"/>
      <c r="B303" s="12"/>
      <c r="C303" s="10"/>
      <c r="D303" s="10"/>
      <c r="E303" s="11"/>
      <c r="F303" s="10" t="s">
        <v>220</v>
      </c>
      <c r="G303" s="10"/>
      <c r="H303" s="10"/>
    </row>
    <row r="304" customFormat="false" ht="15" hidden="false" customHeight="false" outlineLevel="0" collapsed="false">
      <c r="A304" s="10"/>
      <c r="B304" s="12"/>
      <c r="C304" s="10"/>
      <c r="D304" s="10"/>
      <c r="E304" s="11"/>
      <c r="F304" s="10" t="s">
        <v>220</v>
      </c>
      <c r="G304" s="10"/>
      <c r="H304" s="10"/>
    </row>
    <row r="305" customFormat="false" ht="15" hidden="false" customHeight="false" outlineLevel="0" collapsed="false">
      <c r="A305" s="10"/>
      <c r="B305" s="12"/>
      <c r="C305" s="10"/>
      <c r="D305" s="10"/>
      <c r="E305" s="11"/>
      <c r="F305" s="10" t="s">
        <v>220</v>
      </c>
      <c r="G305" s="10"/>
      <c r="H305" s="10"/>
    </row>
    <row r="306" customFormat="false" ht="15" hidden="false" customHeight="false" outlineLevel="0" collapsed="false">
      <c r="A306" s="10"/>
      <c r="B306" s="12"/>
      <c r="C306" s="10"/>
      <c r="D306" s="10"/>
      <c r="E306" s="11"/>
      <c r="F306" s="10" t="s">
        <v>220</v>
      </c>
      <c r="G306" s="10"/>
      <c r="H306" s="10"/>
    </row>
    <row r="307" customFormat="false" ht="15" hidden="false" customHeight="false" outlineLevel="0" collapsed="false">
      <c r="A307" s="10"/>
      <c r="B307" s="12"/>
      <c r="C307" s="10"/>
      <c r="D307" s="10"/>
      <c r="E307" s="11"/>
      <c r="F307" s="10" t="s">
        <v>220</v>
      </c>
      <c r="G307" s="10"/>
      <c r="H307" s="10"/>
    </row>
    <row r="308" customFormat="false" ht="15" hidden="false" customHeight="false" outlineLevel="0" collapsed="false">
      <c r="A308" s="10"/>
      <c r="B308" s="12"/>
      <c r="C308" s="10"/>
      <c r="D308" s="10"/>
      <c r="E308" s="11"/>
      <c r="F308" s="10" t="s">
        <v>220</v>
      </c>
      <c r="G308" s="10"/>
      <c r="H308" s="10"/>
    </row>
    <row r="309" customFormat="false" ht="15" hidden="false" customHeight="false" outlineLevel="0" collapsed="false">
      <c r="A309" s="10"/>
      <c r="B309" s="12"/>
      <c r="C309" s="10"/>
      <c r="D309" s="10"/>
      <c r="E309" s="11"/>
      <c r="F309" s="10" t="s">
        <v>220</v>
      </c>
      <c r="G309" s="10"/>
      <c r="H309" s="10"/>
    </row>
    <row r="310" customFormat="false" ht="15" hidden="false" customHeight="false" outlineLevel="0" collapsed="false">
      <c r="A310" s="10"/>
      <c r="B310" s="12"/>
      <c r="C310" s="10"/>
      <c r="D310" s="10"/>
      <c r="E310" s="11"/>
      <c r="F310" s="10" t="s">
        <v>220</v>
      </c>
      <c r="G310" s="10"/>
      <c r="H310" s="10"/>
    </row>
    <row r="311" customFormat="false" ht="15" hidden="false" customHeight="false" outlineLevel="0" collapsed="false">
      <c r="A311" s="10"/>
      <c r="B311" s="12"/>
      <c r="C311" s="10"/>
      <c r="D311" s="10"/>
      <c r="E311" s="11"/>
      <c r="F311" s="10" t="s">
        <v>220</v>
      </c>
      <c r="G311" s="10"/>
      <c r="H311" s="10"/>
    </row>
    <row r="312" customFormat="false" ht="15" hidden="false" customHeight="false" outlineLevel="0" collapsed="false">
      <c r="A312" s="10"/>
      <c r="B312" s="12"/>
      <c r="C312" s="10"/>
      <c r="D312" s="10"/>
      <c r="E312" s="11"/>
      <c r="F312" s="10" t="s">
        <v>220</v>
      </c>
      <c r="G312" s="10"/>
      <c r="H312" s="10"/>
    </row>
    <row r="313" customFormat="false" ht="15" hidden="false" customHeight="false" outlineLevel="0" collapsed="false">
      <c r="A313" s="10"/>
      <c r="B313" s="12"/>
      <c r="C313" s="10"/>
      <c r="D313" s="10"/>
      <c r="E313" s="11"/>
      <c r="F313" s="10" t="s">
        <v>220</v>
      </c>
      <c r="G313" s="10"/>
      <c r="H313" s="10"/>
    </row>
    <row r="314" customFormat="false" ht="15" hidden="false" customHeight="false" outlineLevel="0" collapsed="false">
      <c r="A314" s="10"/>
      <c r="B314" s="12"/>
      <c r="C314" s="10"/>
      <c r="D314" s="10"/>
      <c r="E314" s="11"/>
      <c r="F314" s="10" t="s">
        <v>220</v>
      </c>
      <c r="G314" s="10"/>
      <c r="H314" s="10"/>
    </row>
    <row r="315" customFormat="false" ht="15" hidden="false" customHeight="false" outlineLevel="0" collapsed="false">
      <c r="A315" s="10"/>
      <c r="B315" s="12"/>
      <c r="C315" s="10"/>
      <c r="D315" s="10"/>
      <c r="E315" s="11"/>
      <c r="F315" s="10" t="s">
        <v>220</v>
      </c>
      <c r="G315" s="10"/>
      <c r="H315" s="10"/>
    </row>
    <row r="316" customFormat="false" ht="15" hidden="false" customHeight="false" outlineLevel="0" collapsed="false">
      <c r="A316" s="10"/>
      <c r="B316" s="12"/>
      <c r="C316" s="10"/>
      <c r="D316" s="10"/>
      <c r="E316" s="11"/>
      <c r="F316" s="10" t="s">
        <v>220</v>
      </c>
      <c r="G316" s="10"/>
      <c r="H316" s="10"/>
    </row>
    <row r="317" customFormat="false" ht="15" hidden="false" customHeight="false" outlineLevel="0" collapsed="false">
      <c r="A317" s="10"/>
      <c r="B317" s="12"/>
      <c r="C317" s="10"/>
      <c r="D317" s="10"/>
      <c r="E317" s="11"/>
      <c r="F317" s="10" t="s">
        <v>220</v>
      </c>
      <c r="G317" s="10"/>
      <c r="H317" s="10"/>
    </row>
    <row r="318" customFormat="false" ht="15" hidden="false" customHeight="false" outlineLevel="0" collapsed="false">
      <c r="A318" s="10"/>
      <c r="B318" s="12"/>
      <c r="C318" s="10"/>
      <c r="D318" s="10"/>
      <c r="E318" s="11"/>
      <c r="F318" s="10" t="s">
        <v>220</v>
      </c>
      <c r="G318" s="10"/>
      <c r="H318" s="10"/>
    </row>
    <row r="319" customFormat="false" ht="15" hidden="false" customHeight="false" outlineLevel="0" collapsed="false">
      <c r="A319" s="10"/>
      <c r="B319" s="12"/>
      <c r="C319" s="10"/>
      <c r="D319" s="10"/>
      <c r="E319" s="11"/>
      <c r="F319" s="10" t="s">
        <v>220</v>
      </c>
      <c r="G319" s="10"/>
      <c r="H319" s="10"/>
    </row>
    <row r="320" customFormat="false" ht="15" hidden="false" customHeight="false" outlineLevel="0" collapsed="false">
      <c r="A320" s="10"/>
      <c r="B320" s="12"/>
      <c r="C320" s="10"/>
      <c r="D320" s="10"/>
      <c r="E320" s="11"/>
      <c r="F320" s="10" t="s">
        <v>220</v>
      </c>
      <c r="G320" s="10"/>
      <c r="H320" s="10"/>
    </row>
    <row r="321" customFormat="false" ht="15" hidden="false" customHeight="false" outlineLevel="0" collapsed="false">
      <c r="A321" s="10"/>
      <c r="B321" s="12"/>
      <c r="C321" s="10"/>
      <c r="D321" s="10"/>
      <c r="E321" s="11"/>
      <c r="F321" s="10" t="s">
        <v>220</v>
      </c>
      <c r="G321" s="10"/>
      <c r="H321" s="10"/>
    </row>
    <row r="322" customFormat="false" ht="15" hidden="false" customHeight="false" outlineLevel="0" collapsed="false">
      <c r="A322" s="10"/>
      <c r="B322" s="12"/>
      <c r="C322" s="10"/>
      <c r="D322" s="10"/>
      <c r="E322" s="11"/>
      <c r="F322" s="10" t="s">
        <v>220</v>
      </c>
      <c r="G322" s="10"/>
      <c r="H322" s="10"/>
    </row>
    <row r="323" customFormat="false" ht="15" hidden="false" customHeight="false" outlineLevel="0" collapsed="false">
      <c r="A323" s="10"/>
      <c r="B323" s="12"/>
      <c r="C323" s="10"/>
      <c r="D323" s="10"/>
      <c r="E323" s="11"/>
      <c r="F323" s="10" t="s">
        <v>220</v>
      </c>
      <c r="G323" s="10"/>
      <c r="H323" s="10"/>
    </row>
    <row r="324" customFormat="false" ht="15" hidden="false" customHeight="false" outlineLevel="0" collapsed="false">
      <c r="A324" s="10"/>
      <c r="B324" s="12"/>
      <c r="C324" s="10"/>
      <c r="D324" s="10"/>
      <c r="E324" s="11"/>
      <c r="F324" s="10" t="s">
        <v>220</v>
      </c>
      <c r="G324" s="10"/>
      <c r="H324" s="10"/>
    </row>
    <row r="325" customFormat="false" ht="15" hidden="false" customHeight="false" outlineLevel="0" collapsed="false">
      <c r="A325" s="10"/>
      <c r="B325" s="12"/>
      <c r="C325" s="10"/>
      <c r="D325" s="10"/>
      <c r="E325" s="11"/>
      <c r="F325" s="10" t="s">
        <v>220</v>
      </c>
      <c r="G325" s="10"/>
      <c r="H325" s="10"/>
    </row>
    <row r="326" customFormat="false" ht="15" hidden="false" customHeight="false" outlineLevel="0" collapsed="false">
      <c r="A326" s="10"/>
      <c r="B326" s="12"/>
      <c r="C326" s="10"/>
      <c r="D326" s="10"/>
      <c r="E326" s="11"/>
      <c r="F326" s="10" t="s">
        <v>220</v>
      </c>
      <c r="G326" s="10"/>
      <c r="H326" s="10"/>
    </row>
    <row r="327" customFormat="false" ht="15" hidden="false" customHeight="false" outlineLevel="0" collapsed="false">
      <c r="A327" s="10"/>
      <c r="B327" s="12"/>
      <c r="C327" s="10"/>
      <c r="D327" s="10"/>
      <c r="E327" s="11"/>
      <c r="F327" s="10" t="s">
        <v>220</v>
      </c>
      <c r="G327" s="10"/>
      <c r="H327" s="10"/>
    </row>
    <row r="328" customFormat="false" ht="15" hidden="false" customHeight="false" outlineLevel="0" collapsed="false">
      <c r="A328" s="10"/>
      <c r="B328" s="12"/>
      <c r="C328" s="10"/>
      <c r="D328" s="10"/>
      <c r="E328" s="11"/>
      <c r="F328" s="10" t="s">
        <v>220</v>
      </c>
      <c r="G328" s="10"/>
      <c r="H328" s="10"/>
    </row>
    <row r="329" customFormat="false" ht="15" hidden="false" customHeight="false" outlineLevel="0" collapsed="false">
      <c r="A329" s="10"/>
      <c r="B329" s="12"/>
      <c r="C329" s="10"/>
      <c r="D329" s="10"/>
      <c r="E329" s="11"/>
      <c r="F329" s="10" t="s">
        <v>220</v>
      </c>
      <c r="G329" s="10"/>
      <c r="H329" s="10"/>
    </row>
    <row r="330" customFormat="false" ht="15" hidden="false" customHeight="false" outlineLevel="0" collapsed="false">
      <c r="A330" s="10"/>
      <c r="B330" s="12"/>
      <c r="C330" s="10"/>
      <c r="D330" s="10"/>
      <c r="E330" s="11"/>
      <c r="F330" s="10" t="s">
        <v>220</v>
      </c>
      <c r="G330" s="10"/>
      <c r="H330" s="10"/>
    </row>
    <row r="331" customFormat="false" ht="15" hidden="false" customHeight="false" outlineLevel="0" collapsed="false">
      <c r="A331" s="10"/>
      <c r="B331" s="12"/>
      <c r="C331" s="10"/>
      <c r="D331" s="10"/>
      <c r="E331" s="11"/>
      <c r="F331" s="10" t="s">
        <v>220</v>
      </c>
      <c r="G331" s="10"/>
      <c r="H331" s="10"/>
    </row>
    <row r="332" customFormat="false" ht="15" hidden="false" customHeight="false" outlineLevel="0" collapsed="false">
      <c r="A332" s="10"/>
      <c r="B332" s="12"/>
      <c r="C332" s="10"/>
      <c r="D332" s="10"/>
      <c r="E332" s="11"/>
      <c r="F332" s="10" t="s">
        <v>220</v>
      </c>
      <c r="G332" s="10"/>
      <c r="H332" s="10"/>
    </row>
    <row r="333" customFormat="false" ht="15" hidden="false" customHeight="false" outlineLevel="0" collapsed="false">
      <c r="A333" s="10"/>
      <c r="B333" s="12"/>
      <c r="C333" s="10"/>
      <c r="D333" s="10"/>
      <c r="E333" s="11"/>
      <c r="F333" s="10" t="s">
        <v>220</v>
      </c>
      <c r="G333" s="10"/>
      <c r="H333" s="10"/>
    </row>
    <row r="334" customFormat="false" ht="15" hidden="false" customHeight="false" outlineLevel="0" collapsed="false">
      <c r="A334" s="10"/>
      <c r="B334" s="12"/>
      <c r="C334" s="10"/>
      <c r="D334" s="10"/>
      <c r="E334" s="11"/>
      <c r="F334" s="10" t="s">
        <v>220</v>
      </c>
      <c r="G334" s="10"/>
      <c r="H334" s="10"/>
    </row>
    <row r="335" customFormat="false" ht="15" hidden="false" customHeight="false" outlineLevel="0" collapsed="false">
      <c r="A335" s="10"/>
      <c r="B335" s="12"/>
      <c r="C335" s="10"/>
      <c r="D335" s="10"/>
      <c r="E335" s="11"/>
      <c r="F335" s="10" t="s">
        <v>220</v>
      </c>
      <c r="G335" s="10"/>
      <c r="H335" s="10"/>
    </row>
    <row r="336" customFormat="false" ht="15" hidden="false" customHeight="false" outlineLevel="0" collapsed="false">
      <c r="A336" s="10"/>
      <c r="B336" s="12"/>
      <c r="C336" s="10"/>
      <c r="D336" s="10"/>
      <c r="E336" s="11"/>
      <c r="F336" s="10" t="s">
        <v>220</v>
      </c>
      <c r="G336" s="10"/>
      <c r="H336" s="10"/>
    </row>
    <row r="337" customFormat="false" ht="15" hidden="false" customHeight="false" outlineLevel="0" collapsed="false">
      <c r="A337" s="10"/>
      <c r="B337" s="12"/>
      <c r="C337" s="10"/>
      <c r="D337" s="10"/>
      <c r="E337" s="11"/>
      <c r="F337" s="10" t="s">
        <v>220</v>
      </c>
      <c r="G337" s="10"/>
      <c r="H337" s="10"/>
    </row>
    <row r="338" customFormat="false" ht="15" hidden="false" customHeight="false" outlineLevel="0" collapsed="false">
      <c r="A338" s="10"/>
      <c r="B338" s="12"/>
      <c r="C338" s="10"/>
      <c r="D338" s="10"/>
      <c r="E338" s="11"/>
      <c r="F338" s="10" t="s">
        <v>220</v>
      </c>
      <c r="G338" s="10"/>
      <c r="H338" s="10"/>
    </row>
    <row r="339" customFormat="false" ht="15" hidden="false" customHeight="false" outlineLevel="0" collapsed="false">
      <c r="A339" s="10"/>
      <c r="B339" s="12"/>
      <c r="C339" s="10"/>
      <c r="D339" s="10"/>
      <c r="E339" s="11"/>
      <c r="F339" s="10" t="s">
        <v>220</v>
      </c>
      <c r="G339" s="10"/>
      <c r="H339" s="10"/>
    </row>
    <row r="340" customFormat="false" ht="15" hidden="false" customHeight="false" outlineLevel="0" collapsed="false">
      <c r="A340" s="10"/>
      <c r="B340" s="12"/>
      <c r="C340" s="10"/>
      <c r="D340" s="10"/>
      <c r="E340" s="11"/>
      <c r="F340" s="10" t="s">
        <v>220</v>
      </c>
      <c r="G340" s="10"/>
      <c r="H340" s="10"/>
    </row>
    <row r="341" customFormat="false" ht="15" hidden="false" customHeight="false" outlineLevel="0" collapsed="false">
      <c r="A341" s="10"/>
      <c r="B341" s="12"/>
      <c r="C341" s="10"/>
      <c r="D341" s="10"/>
      <c r="E341" s="11"/>
      <c r="F341" s="10" t="s">
        <v>220</v>
      </c>
      <c r="G341" s="10"/>
      <c r="H341" s="10"/>
    </row>
    <row r="342" customFormat="false" ht="15" hidden="false" customHeight="false" outlineLevel="0" collapsed="false">
      <c r="A342" s="10"/>
      <c r="B342" s="12"/>
      <c r="C342" s="10"/>
      <c r="D342" s="10"/>
      <c r="E342" s="11"/>
      <c r="F342" s="10" t="s">
        <v>220</v>
      </c>
      <c r="G342" s="10"/>
      <c r="H342" s="10"/>
    </row>
    <row r="343" customFormat="false" ht="15" hidden="false" customHeight="false" outlineLevel="0" collapsed="false">
      <c r="A343" s="10"/>
      <c r="B343" s="12"/>
      <c r="C343" s="10"/>
      <c r="D343" s="10"/>
      <c r="E343" s="11"/>
      <c r="F343" s="10" t="s">
        <v>220</v>
      </c>
      <c r="G343" s="10"/>
      <c r="H343" s="10"/>
    </row>
    <row r="344" customFormat="false" ht="15" hidden="false" customHeight="false" outlineLevel="0" collapsed="false">
      <c r="A344" s="10"/>
      <c r="B344" s="12"/>
      <c r="C344" s="10"/>
      <c r="D344" s="10"/>
      <c r="E344" s="11"/>
      <c r="F344" s="10" t="s">
        <v>220</v>
      </c>
      <c r="G344" s="10"/>
      <c r="H344" s="10"/>
    </row>
    <row r="345" customFormat="false" ht="15" hidden="false" customHeight="false" outlineLevel="0" collapsed="false">
      <c r="A345" s="10"/>
      <c r="B345" s="12"/>
      <c r="C345" s="10"/>
      <c r="D345" s="10"/>
      <c r="E345" s="11"/>
      <c r="F345" s="10" t="s">
        <v>220</v>
      </c>
      <c r="G345" s="10"/>
      <c r="H345" s="10"/>
    </row>
    <row r="346" customFormat="false" ht="15" hidden="false" customHeight="false" outlineLevel="0" collapsed="false">
      <c r="A346" s="10"/>
      <c r="B346" s="12"/>
      <c r="C346" s="10"/>
      <c r="D346" s="10"/>
      <c r="E346" s="11"/>
      <c r="F346" s="10" t="s">
        <v>220</v>
      </c>
      <c r="G346" s="10"/>
      <c r="H346" s="10"/>
    </row>
    <row r="347" customFormat="false" ht="15" hidden="false" customHeight="false" outlineLevel="0" collapsed="false">
      <c r="A347" s="10"/>
      <c r="B347" s="12"/>
      <c r="C347" s="10"/>
      <c r="D347" s="10"/>
      <c r="E347" s="11"/>
      <c r="F347" s="10" t="s">
        <v>220</v>
      </c>
      <c r="G347" s="10"/>
      <c r="H347" s="10"/>
    </row>
    <row r="348" customFormat="false" ht="15" hidden="false" customHeight="false" outlineLevel="0" collapsed="false">
      <c r="A348" s="10"/>
      <c r="B348" s="12"/>
      <c r="C348" s="10"/>
      <c r="D348" s="10"/>
      <c r="E348" s="11"/>
      <c r="F348" s="10" t="s">
        <v>220</v>
      </c>
      <c r="G348" s="10"/>
      <c r="H348" s="10"/>
    </row>
    <row r="349" customFormat="false" ht="15" hidden="false" customHeight="false" outlineLevel="0" collapsed="false">
      <c r="A349" s="10"/>
      <c r="B349" s="12"/>
      <c r="C349" s="10"/>
      <c r="D349" s="10"/>
      <c r="E349" s="11"/>
      <c r="F349" s="10" t="s">
        <v>220</v>
      </c>
      <c r="G349" s="10"/>
      <c r="H349" s="10"/>
    </row>
    <row r="350" customFormat="false" ht="15" hidden="false" customHeight="false" outlineLevel="0" collapsed="false">
      <c r="A350" s="10"/>
      <c r="B350" s="12"/>
      <c r="C350" s="10"/>
      <c r="D350" s="10"/>
      <c r="E350" s="11"/>
      <c r="F350" s="10" t="s">
        <v>220</v>
      </c>
      <c r="G350" s="10"/>
      <c r="H350" s="10"/>
    </row>
    <row r="351" customFormat="false" ht="15" hidden="false" customHeight="false" outlineLevel="0" collapsed="false">
      <c r="A351" s="10"/>
      <c r="B351" s="12"/>
      <c r="C351" s="10"/>
      <c r="D351" s="10"/>
      <c r="E351" s="11"/>
      <c r="F351" s="10" t="s">
        <v>220</v>
      </c>
      <c r="G351" s="10"/>
      <c r="H351" s="10"/>
    </row>
    <row r="352" customFormat="false" ht="15" hidden="false" customHeight="false" outlineLevel="0" collapsed="false">
      <c r="A352" s="10"/>
      <c r="B352" s="12"/>
      <c r="C352" s="10"/>
      <c r="D352" s="10"/>
      <c r="E352" s="11"/>
      <c r="F352" s="10" t="s">
        <v>220</v>
      </c>
      <c r="G352" s="10"/>
      <c r="H352" s="10"/>
    </row>
    <row r="353" customFormat="false" ht="15" hidden="false" customHeight="false" outlineLevel="0" collapsed="false">
      <c r="A353" s="10"/>
      <c r="B353" s="12"/>
      <c r="C353" s="10"/>
      <c r="D353" s="10"/>
      <c r="E353" s="11"/>
      <c r="F353" s="10" t="s">
        <v>220</v>
      </c>
      <c r="G353" s="10"/>
      <c r="H353" s="10"/>
    </row>
    <row r="354" customFormat="false" ht="15" hidden="false" customHeight="false" outlineLevel="0" collapsed="false">
      <c r="A354" s="10"/>
      <c r="B354" s="12"/>
      <c r="C354" s="10"/>
      <c r="D354" s="10"/>
      <c r="E354" s="11"/>
      <c r="F354" s="10" t="s">
        <v>220</v>
      </c>
      <c r="G354" s="10"/>
      <c r="H354" s="10"/>
    </row>
    <row r="355" customFormat="false" ht="15" hidden="false" customHeight="false" outlineLevel="0" collapsed="false">
      <c r="A355" s="10"/>
      <c r="B355" s="12"/>
      <c r="C355" s="10"/>
      <c r="D355" s="10"/>
      <c r="E355" s="11"/>
      <c r="F355" s="10" t="s">
        <v>220</v>
      </c>
      <c r="G355" s="10"/>
      <c r="H355" s="10"/>
    </row>
    <row r="356" customFormat="false" ht="15" hidden="false" customHeight="false" outlineLevel="0" collapsed="false">
      <c r="A356" s="10"/>
      <c r="B356" s="12"/>
      <c r="C356" s="10"/>
      <c r="D356" s="10"/>
      <c r="E356" s="11"/>
      <c r="F356" s="10" t="s">
        <v>220</v>
      </c>
      <c r="G356" s="10"/>
      <c r="H356" s="10"/>
    </row>
    <row r="357" customFormat="false" ht="15" hidden="false" customHeight="false" outlineLevel="0" collapsed="false">
      <c r="A357" s="10"/>
      <c r="B357" s="12"/>
      <c r="C357" s="10"/>
      <c r="D357" s="10"/>
      <c r="E357" s="11"/>
      <c r="F357" s="10" t="s">
        <v>220</v>
      </c>
      <c r="G357" s="10"/>
      <c r="H357" s="10"/>
    </row>
    <row r="358" customFormat="false" ht="15" hidden="false" customHeight="false" outlineLevel="0" collapsed="false">
      <c r="A358" s="10"/>
      <c r="B358" s="12"/>
      <c r="C358" s="10"/>
      <c r="D358" s="10"/>
      <c r="E358" s="11"/>
      <c r="F358" s="10" t="s">
        <v>220</v>
      </c>
      <c r="G358" s="10"/>
      <c r="H358" s="10"/>
    </row>
    <row r="359" customFormat="false" ht="15" hidden="false" customHeight="false" outlineLevel="0" collapsed="false">
      <c r="A359" s="10"/>
      <c r="B359" s="12"/>
      <c r="C359" s="10"/>
      <c r="D359" s="10"/>
      <c r="E359" s="11"/>
      <c r="F359" s="10" t="s">
        <v>220</v>
      </c>
      <c r="G359" s="10"/>
      <c r="H359" s="10"/>
    </row>
    <row r="360" customFormat="false" ht="15" hidden="false" customHeight="false" outlineLevel="0" collapsed="false">
      <c r="A360" s="10"/>
      <c r="B360" s="12"/>
      <c r="C360" s="10"/>
      <c r="D360" s="10"/>
      <c r="E360" s="11"/>
      <c r="F360" s="10" t="s">
        <v>220</v>
      </c>
      <c r="G360" s="10"/>
      <c r="H360" s="10"/>
    </row>
    <row r="361" customFormat="false" ht="15" hidden="false" customHeight="false" outlineLevel="0" collapsed="false">
      <c r="A361" s="10"/>
      <c r="B361" s="12"/>
      <c r="C361" s="10"/>
      <c r="D361" s="10"/>
      <c r="E361" s="11"/>
      <c r="F361" s="10" t="s">
        <v>220</v>
      </c>
      <c r="G361" s="10"/>
      <c r="H361" s="10"/>
    </row>
    <row r="362" customFormat="false" ht="15" hidden="false" customHeight="false" outlineLevel="0" collapsed="false">
      <c r="A362" s="10"/>
      <c r="B362" s="12"/>
      <c r="C362" s="10"/>
      <c r="D362" s="10"/>
      <c r="E362" s="11"/>
      <c r="F362" s="10" t="s">
        <v>220</v>
      </c>
      <c r="G362" s="10"/>
      <c r="H362" s="10"/>
    </row>
    <row r="363" customFormat="false" ht="15" hidden="false" customHeight="false" outlineLevel="0" collapsed="false">
      <c r="A363" s="10"/>
      <c r="B363" s="12"/>
      <c r="C363" s="10"/>
      <c r="D363" s="10"/>
      <c r="E363" s="11"/>
      <c r="F363" s="10" t="s">
        <v>220</v>
      </c>
      <c r="G363" s="10"/>
      <c r="H363" s="10"/>
    </row>
    <row r="364" customFormat="false" ht="15" hidden="false" customHeight="false" outlineLevel="0" collapsed="false">
      <c r="A364" s="10"/>
      <c r="B364" s="12"/>
      <c r="C364" s="10"/>
      <c r="D364" s="10"/>
      <c r="E364" s="11"/>
      <c r="F364" s="10" t="s">
        <v>220</v>
      </c>
      <c r="G364" s="10"/>
      <c r="H364" s="10"/>
    </row>
    <row r="365" customFormat="false" ht="15" hidden="false" customHeight="false" outlineLevel="0" collapsed="false">
      <c r="A365" s="10"/>
      <c r="B365" s="12"/>
      <c r="C365" s="10"/>
      <c r="D365" s="10"/>
      <c r="E365" s="11"/>
      <c r="F365" s="10" t="s">
        <v>220</v>
      </c>
      <c r="G365" s="10"/>
      <c r="H365" s="10"/>
    </row>
    <row r="366" customFormat="false" ht="15" hidden="false" customHeight="false" outlineLevel="0" collapsed="false">
      <c r="A366" s="10"/>
      <c r="B366" s="12"/>
      <c r="C366" s="10"/>
      <c r="D366" s="10"/>
      <c r="E366" s="11"/>
      <c r="F366" s="10" t="s">
        <v>220</v>
      </c>
      <c r="G366" s="10"/>
      <c r="H366" s="10"/>
    </row>
    <row r="367" customFormat="false" ht="15" hidden="false" customHeight="false" outlineLevel="0" collapsed="false">
      <c r="A367" s="10"/>
      <c r="B367" s="12"/>
      <c r="C367" s="10"/>
      <c r="D367" s="10"/>
      <c r="E367" s="11"/>
      <c r="F367" s="10" t="s">
        <v>220</v>
      </c>
      <c r="G367" s="10"/>
      <c r="H367" s="10"/>
    </row>
    <row r="368" customFormat="false" ht="15" hidden="false" customHeight="false" outlineLevel="0" collapsed="false">
      <c r="A368" s="10"/>
      <c r="B368" s="12"/>
      <c r="C368" s="10"/>
      <c r="D368" s="10"/>
      <c r="E368" s="11"/>
      <c r="F368" s="10" t="s">
        <v>220</v>
      </c>
      <c r="G368" s="10"/>
      <c r="H368" s="10"/>
    </row>
    <row r="369" customFormat="false" ht="15" hidden="false" customHeight="false" outlineLevel="0" collapsed="false">
      <c r="A369" s="10"/>
      <c r="B369" s="12"/>
      <c r="C369" s="10"/>
      <c r="D369" s="10"/>
      <c r="E369" s="11"/>
      <c r="F369" s="10" t="s">
        <v>220</v>
      </c>
      <c r="G369" s="10"/>
      <c r="H369" s="10"/>
    </row>
    <row r="370" customFormat="false" ht="15" hidden="false" customHeight="false" outlineLevel="0" collapsed="false">
      <c r="A370" s="10"/>
      <c r="B370" s="12"/>
      <c r="C370" s="10"/>
      <c r="D370" s="10"/>
      <c r="E370" s="11"/>
      <c r="F370" s="10" t="s">
        <v>220</v>
      </c>
      <c r="G370" s="10"/>
      <c r="H370" s="10"/>
    </row>
    <row r="371" customFormat="false" ht="15" hidden="false" customHeight="false" outlineLevel="0" collapsed="false">
      <c r="A371" s="10"/>
      <c r="B371" s="12"/>
      <c r="C371" s="10"/>
      <c r="D371" s="10"/>
      <c r="E371" s="11"/>
      <c r="F371" s="10" t="s">
        <v>220</v>
      </c>
      <c r="G371" s="10"/>
      <c r="H371" s="10"/>
    </row>
    <row r="372" customFormat="false" ht="15" hidden="false" customHeight="false" outlineLevel="0" collapsed="false">
      <c r="A372" s="10"/>
      <c r="B372" s="12"/>
      <c r="C372" s="10"/>
      <c r="D372" s="10"/>
      <c r="E372" s="11"/>
      <c r="F372" s="10" t="s">
        <v>220</v>
      </c>
      <c r="G372" s="10"/>
      <c r="H372" s="10"/>
    </row>
    <row r="373" customFormat="false" ht="15" hidden="false" customHeight="false" outlineLevel="0" collapsed="false">
      <c r="A373" s="10"/>
      <c r="B373" s="12"/>
      <c r="C373" s="10"/>
      <c r="D373" s="10"/>
      <c r="E373" s="11"/>
      <c r="F373" s="10" t="s">
        <v>220</v>
      </c>
      <c r="G373" s="10"/>
      <c r="H373" s="10"/>
    </row>
    <row r="374" customFormat="false" ht="15" hidden="false" customHeight="false" outlineLevel="0" collapsed="false">
      <c r="A374" s="10"/>
      <c r="B374" s="12"/>
      <c r="C374" s="10"/>
      <c r="D374" s="10"/>
      <c r="E374" s="11"/>
      <c r="F374" s="10" t="s">
        <v>220</v>
      </c>
      <c r="G374" s="10"/>
      <c r="H374" s="10"/>
    </row>
    <row r="375" customFormat="false" ht="15" hidden="false" customHeight="false" outlineLevel="0" collapsed="false">
      <c r="A375" s="10"/>
      <c r="B375" s="12"/>
      <c r="C375" s="10"/>
      <c r="D375" s="10"/>
      <c r="E375" s="11"/>
      <c r="F375" s="10" t="s">
        <v>220</v>
      </c>
      <c r="G375" s="10"/>
      <c r="H375" s="10"/>
    </row>
    <row r="376" customFormat="false" ht="15" hidden="false" customHeight="false" outlineLevel="0" collapsed="false">
      <c r="A376" s="10"/>
      <c r="B376" s="12"/>
      <c r="C376" s="10"/>
      <c r="D376" s="10"/>
      <c r="E376" s="11"/>
      <c r="F376" s="10" t="s">
        <v>220</v>
      </c>
      <c r="G376" s="10"/>
      <c r="H376" s="10"/>
    </row>
    <row r="377" customFormat="false" ht="15" hidden="false" customHeight="false" outlineLevel="0" collapsed="false">
      <c r="A377" s="10"/>
      <c r="B377" s="12"/>
      <c r="C377" s="10"/>
      <c r="D377" s="10"/>
      <c r="E377" s="11"/>
      <c r="F377" s="10" t="s">
        <v>220</v>
      </c>
      <c r="G377" s="10"/>
      <c r="H377" s="10"/>
    </row>
    <row r="378" customFormat="false" ht="15" hidden="false" customHeight="false" outlineLevel="0" collapsed="false">
      <c r="A378" s="10"/>
      <c r="B378" s="12"/>
      <c r="C378" s="10"/>
      <c r="D378" s="10"/>
      <c r="E378" s="11"/>
      <c r="F378" s="10" t="s">
        <v>220</v>
      </c>
      <c r="G378" s="10"/>
      <c r="H378" s="10"/>
    </row>
    <row r="379" customFormat="false" ht="15" hidden="false" customHeight="false" outlineLevel="0" collapsed="false">
      <c r="A379" s="10"/>
      <c r="B379" s="12"/>
      <c r="C379" s="10"/>
      <c r="D379" s="10"/>
      <c r="E379" s="11"/>
      <c r="F379" s="10" t="s">
        <v>220</v>
      </c>
      <c r="G379" s="10"/>
      <c r="H379" s="10"/>
    </row>
    <row r="380" customFormat="false" ht="15" hidden="false" customHeight="false" outlineLevel="0" collapsed="false">
      <c r="A380" s="10"/>
      <c r="B380" s="12"/>
      <c r="C380" s="10"/>
      <c r="D380" s="10"/>
      <c r="E380" s="11"/>
      <c r="F380" s="10" t="s">
        <v>220</v>
      </c>
      <c r="G380" s="10"/>
      <c r="H380" s="10"/>
    </row>
    <row r="381" customFormat="false" ht="15" hidden="false" customHeight="false" outlineLevel="0" collapsed="false">
      <c r="A381" s="10"/>
      <c r="B381" s="12"/>
      <c r="C381" s="10"/>
      <c r="D381" s="10"/>
      <c r="E381" s="11"/>
      <c r="F381" s="10" t="s">
        <v>220</v>
      </c>
      <c r="G381" s="10"/>
      <c r="H381" s="10"/>
    </row>
    <row r="382" customFormat="false" ht="15" hidden="false" customHeight="false" outlineLevel="0" collapsed="false">
      <c r="A382" s="10"/>
      <c r="B382" s="12"/>
      <c r="C382" s="10"/>
      <c r="D382" s="10"/>
      <c r="E382" s="11"/>
      <c r="F382" s="10" t="s">
        <v>220</v>
      </c>
      <c r="G382" s="10"/>
      <c r="H382" s="10"/>
    </row>
    <row r="383" customFormat="false" ht="15" hidden="false" customHeight="false" outlineLevel="0" collapsed="false">
      <c r="A383" s="10"/>
      <c r="B383" s="12"/>
      <c r="C383" s="10"/>
      <c r="D383" s="10"/>
      <c r="E383" s="11"/>
      <c r="F383" s="10" t="s">
        <v>220</v>
      </c>
      <c r="G383" s="10"/>
      <c r="H383" s="10"/>
    </row>
    <row r="384" customFormat="false" ht="15" hidden="false" customHeight="false" outlineLevel="0" collapsed="false">
      <c r="A384" s="10"/>
      <c r="B384" s="12"/>
      <c r="C384" s="10"/>
      <c r="D384" s="10"/>
      <c r="E384" s="11"/>
      <c r="F384" s="10" t="s">
        <v>220</v>
      </c>
      <c r="G384" s="10"/>
      <c r="H384" s="10"/>
    </row>
    <row r="385" customFormat="false" ht="15" hidden="false" customHeight="false" outlineLevel="0" collapsed="false">
      <c r="A385" s="10"/>
      <c r="B385" s="12"/>
      <c r="C385" s="10"/>
      <c r="D385" s="10"/>
      <c r="E385" s="11"/>
      <c r="F385" s="10" t="s">
        <v>220</v>
      </c>
      <c r="G385" s="10"/>
      <c r="H385" s="10"/>
    </row>
    <row r="386" customFormat="false" ht="15" hidden="false" customHeight="false" outlineLevel="0" collapsed="false">
      <c r="A386" s="10"/>
      <c r="B386" s="12"/>
      <c r="C386" s="10"/>
      <c r="D386" s="10"/>
      <c r="E386" s="11"/>
      <c r="F386" s="10" t="s">
        <v>220</v>
      </c>
      <c r="G386" s="10"/>
      <c r="H386" s="10"/>
    </row>
    <row r="387" customFormat="false" ht="15" hidden="false" customHeight="false" outlineLevel="0" collapsed="false">
      <c r="A387" s="10"/>
      <c r="B387" s="12"/>
      <c r="C387" s="10"/>
      <c r="D387" s="10"/>
      <c r="E387" s="11"/>
      <c r="F387" s="10" t="s">
        <v>220</v>
      </c>
      <c r="G387" s="10"/>
      <c r="H387" s="10"/>
    </row>
    <row r="388" customFormat="false" ht="15" hidden="false" customHeight="false" outlineLevel="0" collapsed="false">
      <c r="A388" s="10"/>
      <c r="B388" s="12"/>
      <c r="C388" s="10"/>
      <c r="D388" s="10"/>
      <c r="E388" s="11"/>
      <c r="F388" s="10" t="s">
        <v>220</v>
      </c>
      <c r="G388" s="10"/>
      <c r="H388" s="10"/>
    </row>
    <row r="389" customFormat="false" ht="15" hidden="false" customHeight="false" outlineLevel="0" collapsed="false">
      <c r="A389" s="10"/>
      <c r="B389" s="12"/>
      <c r="C389" s="10"/>
      <c r="D389" s="10"/>
      <c r="E389" s="11"/>
      <c r="F389" s="10" t="s">
        <v>220</v>
      </c>
      <c r="G389" s="10"/>
      <c r="H389" s="10"/>
    </row>
    <row r="390" customFormat="false" ht="15" hidden="false" customHeight="false" outlineLevel="0" collapsed="false">
      <c r="A390" s="10"/>
      <c r="B390" s="12"/>
      <c r="C390" s="10"/>
      <c r="D390" s="10"/>
      <c r="E390" s="11"/>
      <c r="F390" s="10" t="s">
        <v>220</v>
      </c>
      <c r="G390" s="10"/>
      <c r="H390" s="10"/>
    </row>
    <row r="391" customFormat="false" ht="15" hidden="false" customHeight="false" outlineLevel="0" collapsed="false">
      <c r="A391" s="10"/>
      <c r="B391" s="12"/>
      <c r="C391" s="10"/>
      <c r="D391" s="10"/>
      <c r="E391" s="11"/>
      <c r="F391" s="10" t="s">
        <v>220</v>
      </c>
      <c r="G391" s="10"/>
      <c r="H391" s="10"/>
    </row>
    <row r="392" customFormat="false" ht="15" hidden="false" customHeight="false" outlineLevel="0" collapsed="false">
      <c r="A392" s="10"/>
      <c r="B392" s="12"/>
      <c r="C392" s="10"/>
      <c r="D392" s="10"/>
      <c r="E392" s="11"/>
      <c r="F392" s="10" t="s">
        <v>220</v>
      </c>
      <c r="G392" s="10"/>
      <c r="H392" s="10"/>
    </row>
    <row r="393" customFormat="false" ht="15" hidden="false" customHeight="false" outlineLevel="0" collapsed="false">
      <c r="A393" s="10"/>
      <c r="B393" s="12"/>
      <c r="C393" s="10"/>
      <c r="D393" s="10"/>
      <c r="E393" s="11"/>
      <c r="F393" s="10" t="s">
        <v>220</v>
      </c>
      <c r="G393" s="10"/>
      <c r="H393" s="10"/>
    </row>
    <row r="394" customFormat="false" ht="15" hidden="false" customHeight="false" outlineLevel="0" collapsed="false">
      <c r="A394" s="10"/>
      <c r="B394" s="12"/>
      <c r="C394" s="10"/>
      <c r="D394" s="10"/>
      <c r="E394" s="11"/>
      <c r="F394" s="10" t="s">
        <v>220</v>
      </c>
      <c r="G394" s="10"/>
      <c r="H394" s="10"/>
    </row>
    <row r="395" customFormat="false" ht="15" hidden="false" customHeight="false" outlineLevel="0" collapsed="false">
      <c r="A395" s="10"/>
      <c r="B395" s="12"/>
      <c r="C395" s="10"/>
      <c r="D395" s="10"/>
      <c r="E395" s="11"/>
      <c r="F395" s="10" t="s">
        <v>220</v>
      </c>
      <c r="G395" s="10"/>
      <c r="H395" s="10"/>
    </row>
    <row r="396" customFormat="false" ht="15" hidden="false" customHeight="false" outlineLevel="0" collapsed="false">
      <c r="A396" s="10"/>
      <c r="B396" s="12"/>
      <c r="C396" s="10"/>
      <c r="D396" s="10"/>
      <c r="E396" s="11"/>
      <c r="F396" s="10" t="s">
        <v>220</v>
      </c>
      <c r="G396" s="10"/>
      <c r="H396" s="10"/>
    </row>
    <row r="397" customFormat="false" ht="15" hidden="false" customHeight="false" outlineLevel="0" collapsed="false">
      <c r="A397" s="10"/>
      <c r="B397" s="12"/>
      <c r="C397" s="10"/>
      <c r="D397" s="10"/>
      <c r="E397" s="11"/>
      <c r="F397" s="10" t="s">
        <v>220</v>
      </c>
      <c r="G397" s="10"/>
      <c r="H397" s="10"/>
    </row>
    <row r="398" customFormat="false" ht="15" hidden="false" customHeight="false" outlineLevel="0" collapsed="false">
      <c r="A398" s="10"/>
      <c r="B398" s="12"/>
      <c r="C398" s="10"/>
      <c r="D398" s="10"/>
      <c r="E398" s="11"/>
      <c r="F398" s="10" t="s">
        <v>220</v>
      </c>
      <c r="G398" s="10"/>
      <c r="H398" s="10"/>
    </row>
    <row r="399" customFormat="false" ht="15" hidden="false" customHeight="false" outlineLevel="0" collapsed="false">
      <c r="A399" s="10"/>
      <c r="B399" s="12"/>
      <c r="C399" s="10"/>
      <c r="D399" s="10"/>
      <c r="E399" s="11"/>
      <c r="F399" s="10" t="s">
        <v>220</v>
      </c>
      <c r="G399" s="10"/>
      <c r="H399" s="10"/>
    </row>
    <row r="400" customFormat="false" ht="15" hidden="false" customHeight="false" outlineLevel="0" collapsed="false">
      <c r="A400" s="10"/>
      <c r="B400" s="12"/>
      <c r="C400" s="10"/>
      <c r="D400" s="10"/>
      <c r="E400" s="11"/>
      <c r="F400" s="10" t="s">
        <v>220</v>
      </c>
      <c r="G400" s="10"/>
      <c r="H400" s="10"/>
    </row>
    <row r="401" customFormat="false" ht="15" hidden="false" customHeight="false" outlineLevel="0" collapsed="false">
      <c r="A401" s="10"/>
      <c r="B401" s="12"/>
      <c r="C401" s="10"/>
      <c r="D401" s="10"/>
      <c r="E401" s="11"/>
      <c r="F401" s="10" t="s">
        <v>220</v>
      </c>
      <c r="G401" s="10"/>
      <c r="H401" s="10"/>
    </row>
    <row r="402" customFormat="false" ht="15" hidden="false" customHeight="false" outlineLevel="0" collapsed="false">
      <c r="A402" s="10"/>
      <c r="B402" s="12"/>
      <c r="C402" s="10"/>
      <c r="D402" s="10"/>
      <c r="E402" s="11"/>
      <c r="F402" s="10" t="s">
        <v>220</v>
      </c>
      <c r="G402" s="10"/>
      <c r="H402" s="10"/>
    </row>
    <row r="403" customFormat="false" ht="15" hidden="false" customHeight="false" outlineLevel="0" collapsed="false">
      <c r="A403" s="10"/>
      <c r="B403" s="12"/>
      <c r="C403" s="10"/>
      <c r="D403" s="10"/>
      <c r="E403" s="11"/>
      <c r="F403" s="10" t="s">
        <v>220</v>
      </c>
      <c r="G403" s="10"/>
      <c r="H403" s="10"/>
    </row>
    <row r="404" customFormat="false" ht="15" hidden="false" customHeight="false" outlineLevel="0" collapsed="false">
      <c r="A404" s="10"/>
      <c r="B404" s="12"/>
      <c r="C404" s="10"/>
      <c r="D404" s="10"/>
      <c r="E404" s="11"/>
      <c r="F404" s="10" t="s">
        <v>220</v>
      </c>
      <c r="G404" s="10"/>
      <c r="H404" s="10"/>
    </row>
    <row r="405" customFormat="false" ht="15" hidden="false" customHeight="false" outlineLevel="0" collapsed="false">
      <c r="A405" s="10"/>
      <c r="B405" s="12"/>
      <c r="C405" s="10"/>
      <c r="D405" s="10"/>
      <c r="E405" s="11"/>
      <c r="F405" s="10" t="s">
        <v>220</v>
      </c>
      <c r="G405" s="10"/>
      <c r="H405" s="10"/>
    </row>
    <row r="406" customFormat="false" ht="15" hidden="false" customHeight="false" outlineLevel="0" collapsed="false">
      <c r="A406" s="10"/>
      <c r="B406" s="12"/>
      <c r="C406" s="10"/>
      <c r="D406" s="10"/>
      <c r="E406" s="11"/>
      <c r="F406" s="10" t="s">
        <v>220</v>
      </c>
      <c r="G406" s="10"/>
      <c r="H406" s="10"/>
    </row>
    <row r="407" customFormat="false" ht="15" hidden="false" customHeight="false" outlineLevel="0" collapsed="false">
      <c r="A407" s="10"/>
      <c r="B407" s="12"/>
      <c r="C407" s="10"/>
      <c r="D407" s="10"/>
      <c r="E407" s="11"/>
      <c r="F407" s="10" t="s">
        <v>220</v>
      </c>
      <c r="G407" s="10"/>
      <c r="H407" s="10"/>
    </row>
    <row r="408" customFormat="false" ht="15" hidden="false" customHeight="false" outlineLevel="0" collapsed="false">
      <c r="A408" s="10"/>
      <c r="B408" s="12"/>
      <c r="C408" s="10"/>
      <c r="D408" s="10"/>
      <c r="E408" s="11"/>
      <c r="F408" s="10" t="s">
        <v>220</v>
      </c>
      <c r="G408" s="10"/>
      <c r="H408" s="10"/>
    </row>
    <row r="409" customFormat="false" ht="15" hidden="false" customHeight="false" outlineLevel="0" collapsed="false">
      <c r="A409" s="10"/>
      <c r="B409" s="12"/>
      <c r="C409" s="10"/>
      <c r="D409" s="10"/>
      <c r="E409" s="11"/>
      <c r="F409" s="10" t="s">
        <v>220</v>
      </c>
      <c r="G409" s="10"/>
      <c r="H409" s="10"/>
    </row>
    <row r="410" customFormat="false" ht="15" hidden="false" customHeight="false" outlineLevel="0" collapsed="false">
      <c r="A410" s="10"/>
      <c r="B410" s="12"/>
      <c r="C410" s="10"/>
      <c r="D410" s="10"/>
      <c r="E410" s="11"/>
      <c r="F410" s="10" t="s">
        <v>220</v>
      </c>
      <c r="G410" s="10"/>
      <c r="H410" s="10"/>
    </row>
    <row r="411" customFormat="false" ht="15" hidden="false" customHeight="false" outlineLevel="0" collapsed="false">
      <c r="A411" s="10"/>
      <c r="B411" s="12"/>
      <c r="C411" s="10"/>
      <c r="D411" s="10"/>
      <c r="E411" s="11"/>
      <c r="F411" s="10" t="s">
        <v>220</v>
      </c>
      <c r="G411" s="10"/>
      <c r="H411" s="10"/>
    </row>
    <row r="412" customFormat="false" ht="15" hidden="false" customHeight="false" outlineLevel="0" collapsed="false">
      <c r="A412" s="10"/>
      <c r="B412" s="12"/>
      <c r="C412" s="10"/>
      <c r="D412" s="10"/>
      <c r="E412" s="11"/>
      <c r="F412" s="10" t="s">
        <v>220</v>
      </c>
      <c r="G412" s="10"/>
      <c r="H412" s="10"/>
    </row>
    <row r="413" customFormat="false" ht="15" hidden="false" customHeight="false" outlineLevel="0" collapsed="false">
      <c r="A413" s="10"/>
      <c r="B413" s="12"/>
      <c r="C413" s="10"/>
      <c r="D413" s="10"/>
      <c r="E413" s="11"/>
      <c r="F413" s="10" t="s">
        <v>220</v>
      </c>
      <c r="G413" s="10"/>
      <c r="H413" s="10"/>
    </row>
    <row r="414" customFormat="false" ht="15" hidden="false" customHeight="false" outlineLevel="0" collapsed="false">
      <c r="A414" s="10"/>
      <c r="B414" s="12"/>
      <c r="C414" s="10"/>
      <c r="D414" s="10"/>
      <c r="E414" s="11"/>
      <c r="F414" s="10" t="s">
        <v>220</v>
      </c>
      <c r="G414" s="10"/>
      <c r="H414" s="10"/>
    </row>
    <row r="415" customFormat="false" ht="15" hidden="false" customHeight="false" outlineLevel="0" collapsed="false">
      <c r="A415" s="10"/>
      <c r="B415" s="12"/>
      <c r="C415" s="10"/>
      <c r="D415" s="10"/>
      <c r="E415" s="11"/>
      <c r="F415" s="10" t="s">
        <v>220</v>
      </c>
      <c r="G415" s="10"/>
      <c r="H415" s="10"/>
    </row>
    <row r="416" customFormat="false" ht="15" hidden="false" customHeight="false" outlineLevel="0" collapsed="false">
      <c r="A416" s="10"/>
      <c r="B416" s="12"/>
      <c r="C416" s="10"/>
      <c r="D416" s="10"/>
      <c r="E416" s="11"/>
      <c r="F416" s="10" t="s">
        <v>220</v>
      </c>
      <c r="G416" s="10"/>
      <c r="H416" s="10"/>
    </row>
    <row r="417" customFormat="false" ht="15" hidden="false" customHeight="false" outlineLevel="0" collapsed="false">
      <c r="A417" s="10"/>
      <c r="B417" s="12"/>
      <c r="C417" s="10"/>
      <c r="D417" s="10"/>
      <c r="E417" s="11"/>
      <c r="F417" s="10" t="s">
        <v>220</v>
      </c>
      <c r="G417" s="10"/>
      <c r="H417" s="10"/>
    </row>
    <row r="418" customFormat="false" ht="15" hidden="false" customHeight="false" outlineLevel="0" collapsed="false">
      <c r="A418" s="10"/>
      <c r="B418" s="12"/>
      <c r="C418" s="10"/>
      <c r="D418" s="10"/>
      <c r="E418" s="11"/>
      <c r="F418" s="10" t="s">
        <v>220</v>
      </c>
      <c r="G418" s="10"/>
      <c r="H418" s="10"/>
    </row>
    <row r="419" customFormat="false" ht="15" hidden="false" customHeight="false" outlineLevel="0" collapsed="false">
      <c r="A419" s="10"/>
      <c r="B419" s="12"/>
      <c r="C419" s="10"/>
      <c r="D419" s="10"/>
      <c r="E419" s="11"/>
      <c r="F419" s="10" t="s">
        <v>220</v>
      </c>
      <c r="G419" s="10"/>
      <c r="H419" s="10"/>
    </row>
    <row r="420" customFormat="false" ht="15" hidden="false" customHeight="false" outlineLevel="0" collapsed="false">
      <c r="A420" s="10"/>
      <c r="B420" s="12"/>
      <c r="C420" s="10"/>
      <c r="D420" s="10"/>
      <c r="E420" s="11"/>
      <c r="F420" s="10" t="s">
        <v>220</v>
      </c>
      <c r="G420" s="10"/>
      <c r="H420" s="10"/>
    </row>
    <row r="421" customFormat="false" ht="15" hidden="false" customHeight="false" outlineLevel="0" collapsed="false">
      <c r="A421" s="10"/>
      <c r="B421" s="12"/>
      <c r="C421" s="10"/>
      <c r="D421" s="10"/>
      <c r="E421" s="11"/>
      <c r="F421" s="10" t="s">
        <v>220</v>
      </c>
      <c r="G421" s="10"/>
      <c r="H421" s="10"/>
    </row>
    <row r="422" customFormat="false" ht="15" hidden="false" customHeight="false" outlineLevel="0" collapsed="false">
      <c r="A422" s="10"/>
      <c r="B422" s="12"/>
      <c r="C422" s="10"/>
      <c r="D422" s="10"/>
      <c r="E422" s="11"/>
      <c r="F422" s="10" t="s">
        <v>220</v>
      </c>
      <c r="G422" s="10"/>
      <c r="H422" s="10"/>
    </row>
    <row r="423" customFormat="false" ht="15" hidden="false" customHeight="false" outlineLevel="0" collapsed="false">
      <c r="A423" s="10"/>
      <c r="B423" s="12"/>
      <c r="C423" s="10"/>
      <c r="D423" s="10"/>
      <c r="E423" s="11"/>
      <c r="F423" s="10" t="s">
        <v>220</v>
      </c>
      <c r="G423" s="10"/>
      <c r="H423" s="10"/>
    </row>
    <row r="424" customFormat="false" ht="15" hidden="false" customHeight="false" outlineLevel="0" collapsed="false">
      <c r="A424" s="10"/>
      <c r="B424" s="12"/>
      <c r="C424" s="10"/>
      <c r="D424" s="10"/>
      <c r="E424" s="11"/>
      <c r="F424" s="10" t="s">
        <v>220</v>
      </c>
      <c r="G424" s="10"/>
      <c r="H424" s="10"/>
    </row>
    <row r="425" customFormat="false" ht="15" hidden="false" customHeight="false" outlineLevel="0" collapsed="false">
      <c r="A425" s="10"/>
      <c r="B425" s="12"/>
      <c r="C425" s="10"/>
      <c r="D425" s="10"/>
      <c r="E425" s="11"/>
      <c r="F425" s="10" t="s">
        <v>220</v>
      </c>
      <c r="G425" s="10"/>
      <c r="H425" s="10"/>
    </row>
    <row r="426" customFormat="false" ht="15" hidden="false" customHeight="false" outlineLevel="0" collapsed="false">
      <c r="A426" s="10"/>
      <c r="B426" s="12"/>
      <c r="C426" s="10"/>
      <c r="D426" s="10"/>
      <c r="E426" s="11"/>
      <c r="F426" s="10" t="s">
        <v>220</v>
      </c>
      <c r="G426" s="10"/>
      <c r="H426" s="10"/>
    </row>
    <row r="427" customFormat="false" ht="15" hidden="false" customHeight="false" outlineLevel="0" collapsed="false">
      <c r="A427" s="10"/>
      <c r="B427" s="12"/>
      <c r="C427" s="10"/>
      <c r="D427" s="10"/>
      <c r="E427" s="11"/>
      <c r="F427" s="10" t="s">
        <v>220</v>
      </c>
      <c r="G427" s="10"/>
      <c r="H427" s="10"/>
    </row>
    <row r="428" customFormat="false" ht="15" hidden="false" customHeight="false" outlineLevel="0" collapsed="false">
      <c r="A428" s="10"/>
      <c r="B428" s="12"/>
      <c r="C428" s="10"/>
      <c r="D428" s="10"/>
      <c r="E428" s="11"/>
      <c r="F428" s="10" t="s">
        <v>220</v>
      </c>
      <c r="G428" s="10"/>
      <c r="H428" s="10"/>
    </row>
    <row r="429" customFormat="false" ht="15" hidden="false" customHeight="false" outlineLevel="0" collapsed="false">
      <c r="A429" s="10"/>
      <c r="B429" s="12"/>
      <c r="C429" s="10"/>
      <c r="D429" s="10"/>
      <c r="E429" s="11"/>
      <c r="F429" s="10" t="s">
        <v>220</v>
      </c>
      <c r="G429" s="10"/>
      <c r="H429" s="10"/>
    </row>
    <row r="430" customFormat="false" ht="15" hidden="false" customHeight="false" outlineLevel="0" collapsed="false">
      <c r="A430" s="10"/>
      <c r="B430" s="12"/>
      <c r="C430" s="10"/>
      <c r="D430" s="10"/>
      <c r="E430" s="11"/>
      <c r="F430" s="10" t="s">
        <v>220</v>
      </c>
      <c r="G430" s="10"/>
      <c r="H430" s="10"/>
    </row>
    <row r="431" customFormat="false" ht="15" hidden="false" customHeight="false" outlineLevel="0" collapsed="false">
      <c r="A431" s="10"/>
      <c r="B431" s="12"/>
      <c r="C431" s="10"/>
      <c r="D431" s="10"/>
      <c r="E431" s="11"/>
      <c r="F431" s="10" t="s">
        <v>220</v>
      </c>
      <c r="G431" s="10"/>
      <c r="H431" s="10"/>
    </row>
    <row r="432" customFormat="false" ht="15" hidden="false" customHeight="false" outlineLevel="0" collapsed="false">
      <c r="A432" s="10"/>
      <c r="B432" s="12"/>
      <c r="C432" s="10"/>
      <c r="D432" s="10"/>
      <c r="E432" s="11"/>
      <c r="F432" s="10" t="s">
        <v>220</v>
      </c>
      <c r="G432" s="10"/>
      <c r="H432" s="10"/>
    </row>
    <row r="433" customFormat="false" ht="15" hidden="false" customHeight="false" outlineLevel="0" collapsed="false">
      <c r="A433" s="10"/>
      <c r="B433" s="12"/>
      <c r="C433" s="10"/>
      <c r="D433" s="10"/>
      <c r="E433" s="11"/>
      <c r="F433" s="10" t="s">
        <v>220</v>
      </c>
      <c r="G433" s="10"/>
      <c r="H433" s="10"/>
    </row>
    <row r="434" customFormat="false" ht="15" hidden="false" customHeight="false" outlineLevel="0" collapsed="false">
      <c r="A434" s="10"/>
      <c r="B434" s="12"/>
      <c r="C434" s="10"/>
      <c r="D434" s="10"/>
      <c r="E434" s="11"/>
      <c r="F434" s="10" t="s">
        <v>220</v>
      </c>
      <c r="G434" s="10"/>
      <c r="H434" s="10"/>
    </row>
    <row r="435" customFormat="false" ht="15" hidden="false" customHeight="false" outlineLevel="0" collapsed="false">
      <c r="A435" s="10"/>
      <c r="B435" s="12"/>
      <c r="C435" s="10"/>
      <c r="D435" s="10"/>
      <c r="E435" s="11"/>
      <c r="F435" s="10" t="s">
        <v>220</v>
      </c>
      <c r="G435" s="10"/>
      <c r="H435" s="10"/>
    </row>
    <row r="436" customFormat="false" ht="15" hidden="false" customHeight="false" outlineLevel="0" collapsed="false">
      <c r="A436" s="10"/>
      <c r="B436" s="12"/>
      <c r="C436" s="10"/>
      <c r="D436" s="10"/>
      <c r="E436" s="11"/>
      <c r="F436" s="10" t="s">
        <v>220</v>
      </c>
      <c r="G436" s="10"/>
      <c r="H436" s="10"/>
    </row>
    <row r="437" customFormat="false" ht="15" hidden="false" customHeight="false" outlineLevel="0" collapsed="false">
      <c r="A437" s="10"/>
      <c r="B437" s="12"/>
      <c r="C437" s="10"/>
      <c r="D437" s="10"/>
      <c r="E437" s="11"/>
      <c r="F437" s="10" t="s">
        <v>220</v>
      </c>
      <c r="G437" s="10"/>
      <c r="H437" s="10"/>
    </row>
    <row r="438" customFormat="false" ht="15" hidden="false" customHeight="false" outlineLevel="0" collapsed="false">
      <c r="A438" s="10"/>
      <c r="B438" s="12"/>
      <c r="C438" s="10"/>
      <c r="D438" s="10"/>
      <c r="E438" s="11"/>
      <c r="F438" s="10" t="s">
        <v>220</v>
      </c>
      <c r="G438" s="10"/>
      <c r="H438" s="10"/>
    </row>
    <row r="439" customFormat="false" ht="15" hidden="false" customHeight="false" outlineLevel="0" collapsed="false">
      <c r="A439" s="10"/>
      <c r="B439" s="12"/>
      <c r="C439" s="10"/>
      <c r="D439" s="10"/>
      <c r="E439" s="11"/>
      <c r="F439" s="10" t="s">
        <v>220</v>
      </c>
      <c r="G439" s="10"/>
      <c r="H439" s="10"/>
    </row>
    <row r="440" customFormat="false" ht="15" hidden="false" customHeight="false" outlineLevel="0" collapsed="false">
      <c r="A440" s="10"/>
      <c r="B440" s="12"/>
      <c r="C440" s="10"/>
      <c r="D440" s="10"/>
      <c r="E440" s="11"/>
      <c r="F440" s="10" t="s">
        <v>220</v>
      </c>
      <c r="G440" s="10"/>
      <c r="H440" s="10"/>
    </row>
    <row r="441" customFormat="false" ht="15" hidden="false" customHeight="false" outlineLevel="0" collapsed="false">
      <c r="A441" s="10"/>
      <c r="B441" s="12"/>
      <c r="C441" s="10"/>
      <c r="D441" s="10"/>
      <c r="E441" s="11"/>
      <c r="F441" s="10" t="s">
        <v>220</v>
      </c>
      <c r="G441" s="10"/>
      <c r="H441" s="10"/>
    </row>
    <row r="442" customFormat="false" ht="15" hidden="false" customHeight="false" outlineLevel="0" collapsed="false">
      <c r="A442" s="10"/>
      <c r="B442" s="12"/>
      <c r="C442" s="10"/>
      <c r="D442" s="10"/>
      <c r="E442" s="11"/>
      <c r="F442" s="10" t="s">
        <v>220</v>
      </c>
      <c r="G442" s="10"/>
      <c r="H442" s="10"/>
    </row>
    <row r="443" customFormat="false" ht="15" hidden="false" customHeight="false" outlineLevel="0" collapsed="false">
      <c r="A443" s="10"/>
      <c r="B443" s="12"/>
      <c r="C443" s="10"/>
      <c r="D443" s="10"/>
      <c r="E443" s="11"/>
      <c r="F443" s="10" t="s">
        <v>220</v>
      </c>
      <c r="G443" s="10"/>
      <c r="H443" s="10"/>
    </row>
    <row r="444" customFormat="false" ht="15" hidden="false" customHeight="false" outlineLevel="0" collapsed="false">
      <c r="A444" s="10"/>
      <c r="B444" s="12"/>
      <c r="C444" s="10"/>
      <c r="D444" s="10"/>
      <c r="E444" s="11"/>
      <c r="F444" s="10" t="s">
        <v>220</v>
      </c>
      <c r="G444" s="10"/>
      <c r="H444" s="10"/>
    </row>
    <row r="445" customFormat="false" ht="15" hidden="false" customHeight="false" outlineLevel="0" collapsed="false">
      <c r="A445" s="10"/>
      <c r="B445" s="12"/>
      <c r="C445" s="10"/>
      <c r="D445" s="10"/>
      <c r="E445" s="11"/>
      <c r="F445" s="10" t="s">
        <v>220</v>
      </c>
      <c r="G445" s="10"/>
      <c r="H445" s="10"/>
    </row>
    <row r="446" customFormat="false" ht="15" hidden="false" customHeight="false" outlineLevel="0" collapsed="false">
      <c r="A446" s="10"/>
      <c r="B446" s="12"/>
      <c r="C446" s="10"/>
      <c r="D446" s="10"/>
      <c r="E446" s="11"/>
      <c r="F446" s="10" t="s">
        <v>220</v>
      </c>
      <c r="G446" s="10"/>
      <c r="H446" s="10"/>
    </row>
    <row r="447" customFormat="false" ht="15" hidden="false" customHeight="false" outlineLevel="0" collapsed="false">
      <c r="A447" s="10"/>
      <c r="B447" s="12"/>
      <c r="C447" s="10"/>
      <c r="D447" s="10"/>
      <c r="E447" s="11"/>
      <c r="F447" s="10" t="s">
        <v>220</v>
      </c>
      <c r="G447" s="10"/>
      <c r="H447" s="10"/>
    </row>
    <row r="448" customFormat="false" ht="15" hidden="false" customHeight="false" outlineLevel="0" collapsed="false">
      <c r="A448" s="10"/>
      <c r="B448" s="12"/>
      <c r="C448" s="10"/>
      <c r="D448" s="10"/>
      <c r="E448" s="11"/>
      <c r="F448" s="10" t="s">
        <v>220</v>
      </c>
      <c r="G448" s="10"/>
      <c r="H448" s="10"/>
    </row>
    <row r="449" customFormat="false" ht="15" hidden="false" customHeight="false" outlineLevel="0" collapsed="false">
      <c r="A449" s="10"/>
      <c r="B449" s="12"/>
      <c r="C449" s="10"/>
      <c r="D449" s="10"/>
      <c r="E449" s="11"/>
      <c r="F449" s="10" t="s">
        <v>220</v>
      </c>
      <c r="G449" s="10"/>
      <c r="H449" s="10"/>
    </row>
    <row r="450" customFormat="false" ht="15" hidden="false" customHeight="false" outlineLevel="0" collapsed="false">
      <c r="A450" s="10"/>
      <c r="B450" s="12"/>
      <c r="C450" s="10"/>
      <c r="D450" s="10"/>
      <c r="E450" s="11"/>
      <c r="F450" s="10" t="s">
        <v>220</v>
      </c>
      <c r="G450" s="10"/>
      <c r="H450" s="10"/>
    </row>
    <row r="451" customFormat="false" ht="15" hidden="false" customHeight="false" outlineLevel="0" collapsed="false">
      <c r="A451" s="10"/>
      <c r="B451" s="12"/>
      <c r="C451" s="10"/>
      <c r="D451" s="10"/>
      <c r="E451" s="11"/>
      <c r="F451" s="10" t="s">
        <v>220</v>
      </c>
      <c r="G451" s="10"/>
      <c r="H451" s="10"/>
    </row>
    <row r="452" customFormat="false" ht="15" hidden="false" customHeight="false" outlineLevel="0" collapsed="false">
      <c r="A452" s="10"/>
      <c r="B452" s="12"/>
      <c r="C452" s="10"/>
      <c r="D452" s="10"/>
      <c r="E452" s="11"/>
      <c r="F452" s="10" t="s">
        <v>220</v>
      </c>
      <c r="G452" s="10"/>
      <c r="H452" s="10"/>
    </row>
    <row r="453" customFormat="false" ht="15" hidden="false" customHeight="false" outlineLevel="0" collapsed="false">
      <c r="A453" s="10"/>
      <c r="B453" s="12"/>
      <c r="C453" s="10"/>
      <c r="D453" s="10"/>
      <c r="E453" s="11"/>
      <c r="F453" s="10" t="s">
        <v>220</v>
      </c>
      <c r="G453" s="10"/>
      <c r="H453" s="10"/>
    </row>
    <row r="454" customFormat="false" ht="15" hidden="false" customHeight="false" outlineLevel="0" collapsed="false">
      <c r="A454" s="10"/>
      <c r="B454" s="12"/>
      <c r="C454" s="10"/>
      <c r="D454" s="10"/>
      <c r="E454" s="11"/>
      <c r="F454" s="10" t="s">
        <v>220</v>
      </c>
      <c r="G454" s="10"/>
      <c r="H454" s="10"/>
    </row>
    <row r="455" customFormat="false" ht="15" hidden="false" customHeight="false" outlineLevel="0" collapsed="false">
      <c r="A455" s="10"/>
      <c r="B455" s="12"/>
      <c r="C455" s="10"/>
      <c r="D455" s="10"/>
      <c r="E455" s="11"/>
      <c r="F455" s="10" t="s">
        <v>220</v>
      </c>
      <c r="G455" s="10"/>
      <c r="H455" s="10"/>
    </row>
    <row r="456" customFormat="false" ht="15" hidden="false" customHeight="false" outlineLevel="0" collapsed="false">
      <c r="A456" s="10"/>
      <c r="B456" s="12"/>
      <c r="C456" s="10"/>
      <c r="D456" s="10"/>
      <c r="E456" s="11"/>
      <c r="F456" s="10" t="s">
        <v>220</v>
      </c>
      <c r="G456" s="10"/>
      <c r="H456" s="10"/>
    </row>
    <row r="457" customFormat="false" ht="15" hidden="false" customHeight="false" outlineLevel="0" collapsed="false">
      <c r="A457" s="10"/>
      <c r="B457" s="12"/>
      <c r="C457" s="10"/>
      <c r="D457" s="10"/>
      <c r="E457" s="11"/>
      <c r="F457" s="10" t="s">
        <v>220</v>
      </c>
      <c r="G457" s="10"/>
      <c r="H457" s="10"/>
    </row>
    <row r="458" customFormat="false" ht="15" hidden="false" customHeight="false" outlineLevel="0" collapsed="false">
      <c r="A458" s="10"/>
      <c r="B458" s="12"/>
      <c r="C458" s="10"/>
      <c r="D458" s="10"/>
      <c r="E458" s="11"/>
      <c r="F458" s="10" t="s">
        <v>220</v>
      </c>
      <c r="G458" s="10"/>
      <c r="H458" s="10"/>
    </row>
    <row r="459" customFormat="false" ht="15" hidden="false" customHeight="false" outlineLevel="0" collapsed="false">
      <c r="A459" s="10"/>
      <c r="B459" s="12"/>
      <c r="C459" s="10"/>
      <c r="D459" s="10"/>
      <c r="E459" s="11"/>
      <c r="F459" s="10" t="s">
        <v>220</v>
      </c>
      <c r="G459" s="10"/>
      <c r="H459" s="10"/>
    </row>
    <row r="460" customFormat="false" ht="15" hidden="false" customHeight="false" outlineLevel="0" collapsed="false">
      <c r="A460" s="10"/>
      <c r="B460" s="12"/>
      <c r="C460" s="10"/>
      <c r="D460" s="10"/>
      <c r="E460" s="11"/>
      <c r="F460" s="10" t="s">
        <v>220</v>
      </c>
      <c r="G460" s="10"/>
      <c r="H460" s="10"/>
    </row>
    <row r="461" customFormat="false" ht="15" hidden="false" customHeight="false" outlineLevel="0" collapsed="false">
      <c r="A461" s="10"/>
      <c r="B461" s="12"/>
      <c r="C461" s="10"/>
      <c r="D461" s="10"/>
      <c r="E461" s="11"/>
      <c r="F461" s="10" t="s">
        <v>220</v>
      </c>
      <c r="G461" s="10"/>
      <c r="H461" s="10"/>
    </row>
    <row r="462" customFormat="false" ht="15" hidden="false" customHeight="false" outlineLevel="0" collapsed="false">
      <c r="A462" s="10"/>
      <c r="B462" s="12"/>
      <c r="C462" s="10"/>
      <c r="D462" s="10"/>
      <c r="E462" s="11"/>
      <c r="F462" s="10" t="s">
        <v>220</v>
      </c>
      <c r="G462" s="10"/>
      <c r="H462" s="10"/>
    </row>
    <row r="463" customFormat="false" ht="15" hidden="false" customHeight="false" outlineLevel="0" collapsed="false">
      <c r="A463" s="10"/>
      <c r="B463" s="12"/>
      <c r="C463" s="10"/>
      <c r="D463" s="10"/>
      <c r="E463" s="11"/>
      <c r="F463" s="10" t="s">
        <v>220</v>
      </c>
      <c r="G463" s="10"/>
      <c r="H463" s="10"/>
    </row>
    <row r="464" customFormat="false" ht="15" hidden="false" customHeight="false" outlineLevel="0" collapsed="false">
      <c r="A464" s="10"/>
      <c r="B464" s="12"/>
      <c r="C464" s="10"/>
      <c r="D464" s="10"/>
      <c r="E464" s="11"/>
      <c r="F464" s="10" t="s">
        <v>220</v>
      </c>
      <c r="G464" s="10"/>
      <c r="H464" s="10"/>
    </row>
    <row r="465" customFormat="false" ht="15" hidden="false" customHeight="false" outlineLevel="0" collapsed="false">
      <c r="A465" s="10"/>
      <c r="B465" s="12"/>
      <c r="C465" s="10"/>
      <c r="D465" s="10"/>
      <c r="E465" s="11"/>
      <c r="F465" s="10" t="s">
        <v>220</v>
      </c>
      <c r="G465" s="10"/>
      <c r="H465" s="10"/>
    </row>
    <row r="466" customFormat="false" ht="15" hidden="false" customHeight="false" outlineLevel="0" collapsed="false">
      <c r="A466" s="10"/>
      <c r="B466" s="12"/>
      <c r="C466" s="10"/>
      <c r="D466" s="10"/>
      <c r="E466" s="11"/>
      <c r="F466" s="10" t="s">
        <v>220</v>
      </c>
      <c r="G466" s="10"/>
      <c r="H466" s="10"/>
    </row>
    <row r="467" customFormat="false" ht="15" hidden="false" customHeight="false" outlineLevel="0" collapsed="false">
      <c r="A467" s="10"/>
      <c r="B467" s="12"/>
      <c r="C467" s="10"/>
      <c r="D467" s="10"/>
      <c r="E467" s="11"/>
      <c r="F467" s="10" t="s">
        <v>220</v>
      </c>
      <c r="G467" s="10"/>
      <c r="H467" s="10"/>
    </row>
    <row r="468" customFormat="false" ht="15" hidden="false" customHeight="false" outlineLevel="0" collapsed="false">
      <c r="A468" s="10"/>
      <c r="B468" s="12"/>
      <c r="C468" s="10"/>
      <c r="D468" s="10"/>
      <c r="E468" s="11"/>
      <c r="F468" s="10" t="s">
        <v>220</v>
      </c>
      <c r="G468" s="10"/>
      <c r="H468" s="10"/>
    </row>
    <row r="469" customFormat="false" ht="15" hidden="false" customHeight="false" outlineLevel="0" collapsed="false">
      <c r="A469" s="10"/>
      <c r="B469" s="12"/>
      <c r="C469" s="10"/>
      <c r="D469" s="10"/>
      <c r="E469" s="11"/>
      <c r="F469" s="10" t="s">
        <v>220</v>
      </c>
      <c r="G469" s="10"/>
      <c r="H469" s="10"/>
    </row>
    <row r="470" customFormat="false" ht="15" hidden="false" customHeight="false" outlineLevel="0" collapsed="false">
      <c r="A470" s="10"/>
      <c r="B470" s="12"/>
      <c r="C470" s="10"/>
      <c r="D470" s="10"/>
      <c r="E470" s="11"/>
      <c r="F470" s="10" t="s">
        <v>220</v>
      </c>
      <c r="G470" s="10"/>
      <c r="H470" s="10"/>
    </row>
    <row r="471" customFormat="false" ht="15" hidden="false" customHeight="false" outlineLevel="0" collapsed="false">
      <c r="A471" s="10"/>
      <c r="B471" s="12"/>
      <c r="C471" s="10"/>
      <c r="D471" s="10"/>
      <c r="E471" s="11"/>
      <c r="F471" s="10" t="s">
        <v>220</v>
      </c>
      <c r="G471" s="10"/>
      <c r="H471" s="10"/>
    </row>
    <row r="472" customFormat="false" ht="15" hidden="false" customHeight="false" outlineLevel="0" collapsed="false">
      <c r="A472" s="10"/>
      <c r="B472" s="12"/>
      <c r="C472" s="10"/>
      <c r="D472" s="10"/>
      <c r="E472" s="11"/>
      <c r="F472" s="10" t="s">
        <v>220</v>
      </c>
      <c r="G472" s="10"/>
      <c r="H472" s="10"/>
    </row>
    <row r="473" customFormat="false" ht="15" hidden="false" customHeight="false" outlineLevel="0" collapsed="false">
      <c r="A473" s="10"/>
      <c r="B473" s="12"/>
      <c r="C473" s="10"/>
      <c r="D473" s="10"/>
      <c r="E473" s="11"/>
      <c r="F473" s="10" t="s">
        <v>220</v>
      </c>
      <c r="G473" s="10"/>
      <c r="H473" s="10"/>
    </row>
    <row r="474" customFormat="false" ht="15" hidden="false" customHeight="false" outlineLevel="0" collapsed="false">
      <c r="A474" s="10"/>
      <c r="B474" s="12"/>
      <c r="C474" s="10"/>
      <c r="D474" s="10"/>
      <c r="E474" s="11"/>
      <c r="F474" s="10" t="s">
        <v>220</v>
      </c>
      <c r="G474" s="10"/>
      <c r="H474" s="10"/>
    </row>
    <row r="475" customFormat="false" ht="15" hidden="false" customHeight="false" outlineLevel="0" collapsed="false">
      <c r="A475" s="10"/>
      <c r="B475" s="12"/>
      <c r="C475" s="10"/>
      <c r="D475" s="10"/>
      <c r="E475" s="11"/>
      <c r="F475" s="10" t="s">
        <v>220</v>
      </c>
      <c r="G475" s="10"/>
      <c r="H475" s="10"/>
    </row>
    <row r="476" customFormat="false" ht="15" hidden="false" customHeight="false" outlineLevel="0" collapsed="false">
      <c r="A476" s="10"/>
      <c r="B476" s="12"/>
      <c r="C476" s="10"/>
      <c r="D476" s="10"/>
      <c r="E476" s="11"/>
      <c r="F476" s="10" t="s">
        <v>220</v>
      </c>
      <c r="G476" s="10"/>
      <c r="H476" s="10"/>
    </row>
    <row r="477" customFormat="false" ht="15" hidden="false" customHeight="false" outlineLevel="0" collapsed="false">
      <c r="A477" s="10"/>
      <c r="B477" s="12"/>
      <c r="C477" s="10"/>
      <c r="D477" s="10"/>
      <c r="E477" s="11"/>
      <c r="F477" s="10" t="s">
        <v>220</v>
      </c>
      <c r="G477" s="10"/>
      <c r="H477" s="10"/>
    </row>
    <row r="478" customFormat="false" ht="15" hidden="false" customHeight="false" outlineLevel="0" collapsed="false">
      <c r="A478" s="10"/>
      <c r="B478" s="12"/>
      <c r="C478" s="10"/>
      <c r="D478" s="10"/>
      <c r="E478" s="11"/>
      <c r="F478" s="10" t="s">
        <v>220</v>
      </c>
      <c r="G478" s="10"/>
      <c r="H478" s="10"/>
    </row>
    <row r="479" customFormat="false" ht="15" hidden="false" customHeight="false" outlineLevel="0" collapsed="false">
      <c r="A479" s="10"/>
      <c r="B479" s="12"/>
      <c r="C479" s="10"/>
      <c r="D479" s="10"/>
      <c r="E479" s="11"/>
      <c r="F479" s="10" t="s">
        <v>220</v>
      </c>
      <c r="G479" s="10"/>
      <c r="H479" s="10"/>
    </row>
    <row r="480" customFormat="false" ht="15" hidden="false" customHeight="false" outlineLevel="0" collapsed="false">
      <c r="A480" s="10"/>
      <c r="B480" s="12"/>
      <c r="C480" s="10"/>
      <c r="D480" s="10"/>
      <c r="E480" s="11"/>
      <c r="F480" s="10" t="s">
        <v>220</v>
      </c>
      <c r="G480" s="10"/>
      <c r="H480" s="10"/>
    </row>
    <row r="481" customFormat="false" ht="15" hidden="false" customHeight="false" outlineLevel="0" collapsed="false">
      <c r="A481" s="10"/>
      <c r="B481" s="12"/>
      <c r="C481" s="10"/>
      <c r="D481" s="10"/>
      <c r="E481" s="11"/>
      <c r="F481" s="10" t="s">
        <v>220</v>
      </c>
      <c r="G481" s="10"/>
      <c r="H481" s="10"/>
    </row>
    <row r="482" customFormat="false" ht="15" hidden="false" customHeight="false" outlineLevel="0" collapsed="false">
      <c r="A482" s="10"/>
      <c r="B482" s="12"/>
      <c r="C482" s="10"/>
      <c r="D482" s="10"/>
      <c r="E482" s="11"/>
      <c r="F482" s="10" t="s">
        <v>220</v>
      </c>
      <c r="G482" s="10"/>
      <c r="H482" s="10"/>
    </row>
    <row r="483" customFormat="false" ht="15" hidden="false" customHeight="false" outlineLevel="0" collapsed="false">
      <c r="A483" s="10"/>
      <c r="B483" s="12"/>
      <c r="C483" s="10"/>
      <c r="D483" s="10"/>
      <c r="E483" s="11"/>
      <c r="F483" s="10" t="s">
        <v>220</v>
      </c>
      <c r="G483" s="10"/>
      <c r="H483" s="10"/>
    </row>
    <row r="484" customFormat="false" ht="15" hidden="false" customHeight="false" outlineLevel="0" collapsed="false">
      <c r="A484" s="10"/>
      <c r="B484" s="12"/>
      <c r="C484" s="10"/>
      <c r="D484" s="10"/>
      <c r="E484" s="11"/>
      <c r="F484" s="10" t="s">
        <v>220</v>
      </c>
      <c r="G484" s="10"/>
      <c r="H484" s="10"/>
    </row>
    <row r="485" customFormat="false" ht="15" hidden="false" customHeight="false" outlineLevel="0" collapsed="false">
      <c r="A485" s="10"/>
      <c r="B485" s="12"/>
      <c r="C485" s="10"/>
      <c r="D485" s="10"/>
      <c r="E485" s="11"/>
      <c r="F485" s="10" t="s">
        <v>220</v>
      </c>
      <c r="G485" s="10"/>
      <c r="H485" s="10"/>
    </row>
    <row r="486" customFormat="false" ht="15" hidden="false" customHeight="false" outlineLevel="0" collapsed="false">
      <c r="A486" s="10"/>
      <c r="B486" s="12"/>
      <c r="C486" s="10"/>
      <c r="D486" s="10"/>
      <c r="E486" s="11"/>
      <c r="F486" s="10" t="s">
        <v>220</v>
      </c>
      <c r="G486" s="10"/>
      <c r="H486" s="10"/>
    </row>
    <row r="487" customFormat="false" ht="15" hidden="false" customHeight="false" outlineLevel="0" collapsed="false">
      <c r="A487" s="10"/>
      <c r="B487" s="12"/>
      <c r="C487" s="10"/>
      <c r="D487" s="10"/>
      <c r="E487" s="11"/>
      <c r="F487" s="10" t="s">
        <v>220</v>
      </c>
      <c r="G487" s="10"/>
      <c r="H487" s="10"/>
    </row>
    <row r="488" customFormat="false" ht="15" hidden="false" customHeight="false" outlineLevel="0" collapsed="false">
      <c r="A488" s="10"/>
      <c r="B488" s="12"/>
      <c r="C488" s="10"/>
      <c r="D488" s="10"/>
      <c r="E488" s="11"/>
      <c r="F488" s="10" t="s">
        <v>220</v>
      </c>
      <c r="G488" s="10"/>
      <c r="H488" s="10"/>
    </row>
    <row r="489" customFormat="false" ht="15" hidden="false" customHeight="false" outlineLevel="0" collapsed="false">
      <c r="A489" s="10"/>
      <c r="B489" s="12"/>
      <c r="C489" s="10"/>
      <c r="D489" s="10"/>
      <c r="E489" s="11"/>
      <c r="F489" s="10" t="s">
        <v>220</v>
      </c>
      <c r="G489" s="10"/>
      <c r="H489" s="10"/>
    </row>
    <row r="490" customFormat="false" ht="15" hidden="false" customHeight="false" outlineLevel="0" collapsed="false">
      <c r="A490" s="10"/>
      <c r="B490" s="12"/>
      <c r="C490" s="10"/>
      <c r="D490" s="10"/>
      <c r="E490" s="11"/>
      <c r="F490" s="10" t="s">
        <v>220</v>
      </c>
      <c r="G490" s="10"/>
      <c r="H490" s="10"/>
    </row>
    <row r="491" customFormat="false" ht="15" hidden="false" customHeight="false" outlineLevel="0" collapsed="false">
      <c r="A491" s="10"/>
      <c r="B491" s="12"/>
      <c r="C491" s="10"/>
      <c r="D491" s="10"/>
      <c r="E491" s="11"/>
      <c r="F491" s="10" t="s">
        <v>220</v>
      </c>
      <c r="G491" s="10"/>
      <c r="H491" s="10"/>
    </row>
    <row r="492" customFormat="false" ht="15" hidden="false" customHeight="false" outlineLevel="0" collapsed="false">
      <c r="A492" s="10"/>
      <c r="B492" s="12"/>
      <c r="C492" s="10"/>
      <c r="D492" s="10"/>
      <c r="E492" s="11"/>
      <c r="F492" s="10" t="s">
        <v>220</v>
      </c>
      <c r="G492" s="10"/>
      <c r="H492" s="10"/>
    </row>
    <row r="493" customFormat="false" ht="15" hidden="false" customHeight="false" outlineLevel="0" collapsed="false">
      <c r="A493" s="10"/>
      <c r="B493" s="12"/>
      <c r="C493" s="10"/>
      <c r="D493" s="10"/>
      <c r="E493" s="11"/>
      <c r="F493" s="10" t="s">
        <v>220</v>
      </c>
      <c r="G493" s="10"/>
      <c r="H493" s="10"/>
    </row>
    <row r="494" customFormat="false" ht="15" hidden="false" customHeight="false" outlineLevel="0" collapsed="false">
      <c r="A494" s="10"/>
      <c r="B494" s="12"/>
      <c r="C494" s="10"/>
      <c r="D494" s="10"/>
      <c r="E494" s="11"/>
      <c r="F494" s="10" t="s">
        <v>220</v>
      </c>
      <c r="G494" s="10"/>
      <c r="H494" s="10"/>
    </row>
    <row r="495" customFormat="false" ht="15" hidden="false" customHeight="false" outlineLevel="0" collapsed="false">
      <c r="A495" s="10"/>
      <c r="B495" s="12"/>
      <c r="C495" s="10"/>
      <c r="D495" s="10"/>
      <c r="E495" s="11"/>
      <c r="F495" s="10" t="s">
        <v>220</v>
      </c>
      <c r="G495" s="10"/>
      <c r="H495" s="10"/>
    </row>
    <row r="496" customFormat="false" ht="15" hidden="false" customHeight="false" outlineLevel="0" collapsed="false">
      <c r="A496" s="10"/>
      <c r="B496" s="12"/>
      <c r="C496" s="10"/>
      <c r="D496" s="10"/>
      <c r="E496" s="11"/>
      <c r="F496" s="10" t="s">
        <v>220</v>
      </c>
      <c r="G496" s="10"/>
      <c r="H496" s="10"/>
    </row>
    <row r="497" customFormat="false" ht="15" hidden="false" customHeight="false" outlineLevel="0" collapsed="false">
      <c r="A497" s="10"/>
      <c r="B497" s="12"/>
      <c r="C497" s="10"/>
      <c r="D497" s="10"/>
      <c r="E497" s="11"/>
      <c r="F497" s="10" t="s">
        <v>220</v>
      </c>
      <c r="G497" s="10"/>
      <c r="H497" s="10"/>
    </row>
    <row r="498" customFormat="false" ht="15" hidden="false" customHeight="false" outlineLevel="0" collapsed="false">
      <c r="A498" s="10"/>
      <c r="B498" s="12"/>
      <c r="C498" s="10"/>
      <c r="D498" s="10"/>
      <c r="E498" s="11"/>
      <c r="F498" s="10" t="s">
        <v>220</v>
      </c>
      <c r="G498" s="10"/>
      <c r="H498" s="10"/>
    </row>
    <row r="499" customFormat="false" ht="15" hidden="false" customHeight="false" outlineLevel="0" collapsed="false">
      <c r="A499" s="10"/>
      <c r="B499" s="12"/>
      <c r="C499" s="10"/>
      <c r="D499" s="10"/>
      <c r="E499" s="11"/>
      <c r="F499" s="10" t="s">
        <v>220</v>
      </c>
      <c r="G499" s="10"/>
      <c r="H499" s="10"/>
    </row>
    <row r="500" customFormat="false" ht="15" hidden="false" customHeight="false" outlineLevel="0" collapsed="false">
      <c r="A500" s="10"/>
      <c r="B500" s="12"/>
      <c r="C500" s="10"/>
      <c r="D500" s="10"/>
      <c r="E500" s="11"/>
      <c r="F500" s="10" t="s">
        <v>220</v>
      </c>
      <c r="G500" s="10"/>
      <c r="H500" s="10"/>
    </row>
    <row r="501" customFormat="false" ht="15" hidden="false" customHeight="false" outlineLevel="0" collapsed="false">
      <c r="A501" s="10"/>
      <c r="B501" s="12"/>
      <c r="C501" s="10"/>
      <c r="D501" s="10"/>
      <c r="E501" s="11"/>
      <c r="F501" s="10" t="s">
        <v>220</v>
      </c>
      <c r="G501" s="10"/>
      <c r="H501" s="10"/>
    </row>
    <row r="502" customFormat="false" ht="15" hidden="false" customHeight="false" outlineLevel="0" collapsed="false">
      <c r="A502" s="10"/>
      <c r="B502" s="12"/>
      <c r="C502" s="10"/>
      <c r="D502" s="10"/>
      <c r="E502" s="11"/>
      <c r="F502" s="10" t="s">
        <v>220</v>
      </c>
      <c r="G502" s="10"/>
      <c r="H502" s="10"/>
    </row>
    <row r="503" customFormat="false" ht="15" hidden="false" customHeight="false" outlineLevel="0" collapsed="false">
      <c r="A503" s="10"/>
      <c r="B503" s="12"/>
      <c r="C503" s="10"/>
      <c r="D503" s="10"/>
      <c r="E503" s="11"/>
      <c r="F503" s="10" t="s">
        <v>220</v>
      </c>
      <c r="G503" s="10"/>
      <c r="H503" s="10"/>
    </row>
    <row r="504" customFormat="false" ht="15" hidden="false" customHeight="false" outlineLevel="0" collapsed="false">
      <c r="A504" s="10"/>
      <c r="B504" s="12"/>
      <c r="C504" s="10"/>
      <c r="D504" s="10"/>
      <c r="E504" s="11"/>
      <c r="F504" s="10" t="s">
        <v>220</v>
      </c>
      <c r="G504" s="10"/>
      <c r="H504" s="10"/>
    </row>
  </sheetData>
  <dataValidations count="2">
    <dataValidation allowBlank="true" error="Choose from payment_direction" errorStyle="stop" errorTitle="Invalid" operator="between" showDropDown="false" showErrorMessage="false" showInputMessage="false" sqref="C5:C504" type="list">
      <formula1>enum_payment_direction</formula1>
      <formula2>0</formula2>
    </dataValidation>
    <dataValidation allowBlank="true" error="Choose from payment_method" errorStyle="stop" errorTitle="Invalid" operator="between" showDropDown="false" showErrorMessage="false" showInputMessage="false" sqref="F5:F504" type="list">
      <formula1>enum_payment_method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false"/>
  </sheetPr>
  <dimension ref="A1:H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230</v>
      </c>
    </row>
    <row r="2" customFormat="false" ht="15" hidden="false" customHeight="false" outlineLevel="0" collapsed="false">
      <c r="A2" s="2" t="s">
        <v>231</v>
      </c>
    </row>
    <row r="4" customFormat="false" ht="15" hidden="false" customHeight="false" outlineLevel="0" collapsed="false">
      <c r="A4" s="6" t="s">
        <v>232</v>
      </c>
      <c r="B4" s="6" t="s">
        <v>233</v>
      </c>
      <c r="C4" s="6" t="s">
        <v>99</v>
      </c>
      <c r="D4" s="6" t="s">
        <v>169</v>
      </c>
      <c r="E4" s="6" t="s">
        <v>170</v>
      </c>
      <c r="F4" s="6" t="s">
        <v>234</v>
      </c>
      <c r="G4" s="6" t="s">
        <v>214</v>
      </c>
      <c r="H4" s="6" t="s">
        <v>149</v>
      </c>
    </row>
    <row r="5" customFormat="false" ht="15" hidden="false" customHeight="false" outlineLevel="0" collapsed="false">
      <c r="A5" s="10" t="s">
        <v>235</v>
      </c>
      <c r="B5" s="12" t="n">
        <v>46066</v>
      </c>
      <c r="C5" s="10" t="s">
        <v>108</v>
      </c>
      <c r="D5" s="14" t="str">
        <f aca="false">IFERROR(IF(C5="","",INDEX(Products!$C$5:$C$504,MATCH(C5,Products!$A$5:$A$504,0))),"")</f>
        <v>Standard Widget (Type A)</v>
      </c>
      <c r="E5" s="13" t="n">
        <v>500</v>
      </c>
      <c r="F5" s="10" t="s">
        <v>236</v>
      </c>
      <c r="G5" s="10" t="s">
        <v>193</v>
      </c>
      <c r="H5" s="10"/>
    </row>
    <row r="6" customFormat="false" ht="15" hidden="false" customHeight="false" outlineLevel="0" collapsed="false">
      <c r="A6" s="10" t="s">
        <v>237</v>
      </c>
      <c r="B6" s="12" t="n">
        <v>46066</v>
      </c>
      <c r="C6" s="10" t="s">
        <v>115</v>
      </c>
      <c r="D6" s="14" t="str">
        <f aca="false">IFERROR(IF(C6="","",INDEX(Products!$C$5:$C$504,MATCH(C6,Products!$A$5:$A$504,0))),"")</f>
        <v>Premium Widget (Type B)</v>
      </c>
      <c r="E6" s="13" t="n">
        <v>200</v>
      </c>
      <c r="F6" s="10" t="s">
        <v>236</v>
      </c>
      <c r="G6" s="10" t="s">
        <v>193</v>
      </c>
      <c r="H6" s="10"/>
    </row>
    <row r="7" customFormat="false" ht="15" hidden="false" customHeight="false" outlineLevel="0" collapsed="false">
      <c r="A7" s="10" t="s">
        <v>238</v>
      </c>
      <c r="B7" s="12" t="n">
        <v>46091</v>
      </c>
      <c r="C7" s="10" t="s">
        <v>119</v>
      </c>
      <c r="D7" s="14" t="str">
        <f aca="false">IFERROR(IF(C7="","",INDEX(Products!$C$5:$C$504,MATCH(C7,Products!$A$5:$A$504,0))),"")</f>
        <v>Small Packaging Box</v>
      </c>
      <c r="E7" s="13" t="n">
        <v>2000</v>
      </c>
      <c r="F7" s="10" t="s">
        <v>236</v>
      </c>
      <c r="G7" s="10" t="s">
        <v>195</v>
      </c>
      <c r="H7" s="10"/>
    </row>
    <row r="8" customFormat="false" ht="15" hidden="false" customHeight="false" outlineLevel="0" collapsed="false">
      <c r="A8" s="10" t="s">
        <v>239</v>
      </c>
      <c r="B8" s="12" t="n">
        <v>46109</v>
      </c>
      <c r="C8" s="10" t="s">
        <v>129</v>
      </c>
      <c r="D8" s="14" t="str">
        <f aca="false">IFERROR(IF(C8="","",INDEX(Products!$C$5:$C$504,MATCH(C8,Products!$A$5:$A$504,0))),"")</f>
        <v>Raw Steel Sheet</v>
      </c>
      <c r="E8" s="13" t="n">
        <v>40</v>
      </c>
      <c r="F8" s="10" t="s">
        <v>236</v>
      </c>
      <c r="G8" s="10" t="s">
        <v>197</v>
      </c>
      <c r="H8" s="10"/>
    </row>
    <row r="9" customFormat="false" ht="15" hidden="false" customHeight="false" outlineLevel="0" collapsed="false">
      <c r="A9" s="10" t="s">
        <v>240</v>
      </c>
      <c r="B9" s="12" t="n">
        <v>46109</v>
      </c>
      <c r="C9" s="10" t="s">
        <v>135</v>
      </c>
      <c r="D9" s="14" t="str">
        <f aca="false">IFERROR(IF(C9="","",INDEX(Products!$C$5:$C$504,MATCH(C9,Products!$A$5:$A$504,0))),"")</f>
        <v>Workshop Consumables Pack</v>
      </c>
      <c r="E9" s="13" t="n">
        <v>10</v>
      </c>
      <c r="F9" s="10" t="s">
        <v>236</v>
      </c>
      <c r="G9" s="10" t="s">
        <v>197</v>
      </c>
      <c r="H9" s="10"/>
    </row>
    <row r="10" customFormat="false" ht="15" hidden="false" customHeight="false" outlineLevel="0" collapsed="false">
      <c r="A10" s="10" t="s">
        <v>241</v>
      </c>
      <c r="B10" s="12" t="n">
        <v>46095</v>
      </c>
      <c r="C10" s="10" t="s">
        <v>108</v>
      </c>
      <c r="D10" s="14" t="str">
        <f aca="false">IFERROR(IF(C10="","",INDEX(Products!$C$5:$C$504,MATCH(C10,Products!$A$5:$A$504,0))),"")</f>
        <v>Standard Widget (Type A)</v>
      </c>
      <c r="E10" s="13" t="n">
        <v>-100</v>
      </c>
      <c r="F10" s="10" t="s">
        <v>242</v>
      </c>
      <c r="G10" s="10" t="s">
        <v>155</v>
      </c>
      <c r="H10" s="10"/>
    </row>
    <row r="11" customFormat="false" ht="15" hidden="false" customHeight="false" outlineLevel="0" collapsed="false">
      <c r="A11" s="10" t="s">
        <v>243</v>
      </c>
      <c r="B11" s="12" t="n">
        <v>46095</v>
      </c>
      <c r="C11" s="10" t="s">
        <v>119</v>
      </c>
      <c r="D11" s="14" t="str">
        <f aca="false">IFERROR(IF(C11="","",INDEX(Products!$C$5:$C$504,MATCH(C11,Products!$A$5:$A$504,0))),"")</f>
        <v>Small Packaging Box</v>
      </c>
      <c r="E11" s="13" t="n">
        <v>-10</v>
      </c>
      <c r="F11" s="10" t="s">
        <v>242</v>
      </c>
      <c r="G11" s="10" t="s">
        <v>155</v>
      </c>
      <c r="H11" s="10"/>
    </row>
    <row r="12" customFormat="false" ht="15" hidden="false" customHeight="false" outlineLevel="0" collapsed="false">
      <c r="A12" s="10" t="s">
        <v>244</v>
      </c>
      <c r="B12" s="12" t="n">
        <v>46103</v>
      </c>
      <c r="C12" s="10" t="s">
        <v>115</v>
      </c>
      <c r="D12" s="14" t="str">
        <f aca="false">IFERROR(IF(C12="","",INDEX(Products!$C$5:$C$504,MATCH(C12,Products!$A$5:$A$504,0))),"")</f>
        <v>Premium Widget (Type B)</v>
      </c>
      <c r="E12" s="13" t="n">
        <v>-50</v>
      </c>
      <c r="F12" s="10" t="s">
        <v>242</v>
      </c>
      <c r="G12" s="10" t="s">
        <v>157</v>
      </c>
      <c r="H12" s="10"/>
    </row>
    <row r="13" customFormat="false" ht="15" hidden="false" customHeight="false" outlineLevel="0" collapsed="false">
      <c r="A13" s="10" t="s">
        <v>245</v>
      </c>
      <c r="B13" s="12" t="n">
        <v>46110</v>
      </c>
      <c r="C13" s="10" t="s">
        <v>108</v>
      </c>
      <c r="D13" s="14" t="str">
        <f aca="false">IFERROR(IF(C13="","",INDEX(Products!$C$5:$C$504,MATCH(C13,Products!$A$5:$A$504,0))),"")</f>
        <v>Standard Widget (Type A)</v>
      </c>
      <c r="E13" s="13" t="n">
        <v>-24</v>
      </c>
      <c r="F13" s="10" t="s">
        <v>242</v>
      </c>
      <c r="G13" s="10" t="s">
        <v>160</v>
      </c>
      <c r="H13" s="10"/>
    </row>
    <row r="14" customFormat="false" ht="15" hidden="false" customHeight="false" outlineLevel="0" collapsed="false">
      <c r="A14" s="10"/>
      <c r="B14" s="12"/>
      <c r="C14" s="10"/>
      <c r="D14" s="14" t="str">
        <f aca="false">IFERROR(IF(C14="","",INDEX(Products!$C$5:$C$504,MATCH(C14,Products!$A$5:$A$504,0))),"")</f>
        <v/>
      </c>
      <c r="E14" s="13"/>
      <c r="F14" s="10"/>
      <c r="G14" s="10"/>
      <c r="H14" s="10"/>
    </row>
    <row r="15" customFormat="false" ht="15" hidden="false" customHeight="false" outlineLevel="0" collapsed="false">
      <c r="A15" s="10"/>
      <c r="B15" s="12"/>
      <c r="C15" s="10"/>
      <c r="D15" s="14" t="str">
        <f aca="false">IFERROR(IF(C15="","",INDEX(Products!$C$5:$C$504,MATCH(C15,Products!$A$5:$A$504,0))),"")</f>
        <v/>
      </c>
      <c r="E15" s="13"/>
      <c r="F15" s="10"/>
      <c r="G15" s="10"/>
      <c r="H15" s="10"/>
    </row>
    <row r="16" customFormat="false" ht="15" hidden="false" customHeight="false" outlineLevel="0" collapsed="false">
      <c r="A16" s="10"/>
      <c r="B16" s="12"/>
      <c r="C16" s="10"/>
      <c r="D16" s="14" t="str">
        <f aca="false">IFERROR(IF(C16="","",INDEX(Products!$C$5:$C$504,MATCH(C16,Products!$A$5:$A$504,0))),"")</f>
        <v/>
      </c>
      <c r="E16" s="13"/>
      <c r="F16" s="10"/>
      <c r="G16" s="10"/>
      <c r="H16" s="10"/>
    </row>
    <row r="17" customFormat="false" ht="15" hidden="false" customHeight="false" outlineLevel="0" collapsed="false">
      <c r="A17" s="10"/>
      <c r="B17" s="12"/>
      <c r="C17" s="10"/>
      <c r="D17" s="14" t="str">
        <f aca="false">IFERROR(IF(C17="","",INDEX(Products!$C$5:$C$504,MATCH(C17,Products!$A$5:$A$504,0))),"")</f>
        <v/>
      </c>
      <c r="E17" s="13"/>
      <c r="F17" s="10"/>
      <c r="G17" s="10"/>
      <c r="H17" s="10"/>
    </row>
    <row r="18" customFormat="false" ht="15" hidden="false" customHeight="false" outlineLevel="0" collapsed="false">
      <c r="A18" s="10"/>
      <c r="B18" s="12"/>
      <c r="C18" s="10"/>
      <c r="D18" s="14" t="str">
        <f aca="false">IFERROR(IF(C18="","",INDEX(Products!$C$5:$C$504,MATCH(C18,Products!$A$5:$A$504,0))),"")</f>
        <v/>
      </c>
      <c r="E18" s="13"/>
      <c r="F18" s="10"/>
      <c r="G18" s="10"/>
      <c r="H18" s="10"/>
    </row>
    <row r="19" customFormat="false" ht="15" hidden="false" customHeight="false" outlineLevel="0" collapsed="false">
      <c r="A19" s="10"/>
      <c r="B19" s="12"/>
      <c r="C19" s="10"/>
      <c r="D19" s="14" t="str">
        <f aca="false">IFERROR(IF(C19="","",INDEX(Products!$C$5:$C$504,MATCH(C19,Products!$A$5:$A$504,0))),"")</f>
        <v/>
      </c>
      <c r="E19" s="13"/>
      <c r="F19" s="10"/>
      <c r="G19" s="10"/>
      <c r="H19" s="10"/>
    </row>
    <row r="20" customFormat="false" ht="15" hidden="false" customHeight="false" outlineLevel="0" collapsed="false">
      <c r="A20" s="10"/>
      <c r="B20" s="12"/>
      <c r="C20" s="10"/>
      <c r="D20" s="14" t="str">
        <f aca="false">IFERROR(IF(C20="","",INDEX(Products!$C$5:$C$504,MATCH(C20,Products!$A$5:$A$504,0))),"")</f>
        <v/>
      </c>
      <c r="E20" s="13"/>
      <c r="F20" s="10"/>
      <c r="G20" s="10"/>
      <c r="H20" s="10"/>
    </row>
    <row r="21" customFormat="false" ht="15" hidden="false" customHeight="false" outlineLevel="0" collapsed="false">
      <c r="A21" s="10"/>
      <c r="B21" s="12"/>
      <c r="C21" s="10"/>
      <c r="D21" s="14" t="str">
        <f aca="false">IFERROR(IF(C21="","",INDEX(Products!$C$5:$C$504,MATCH(C21,Products!$A$5:$A$504,0))),"")</f>
        <v/>
      </c>
      <c r="E21" s="13"/>
      <c r="F21" s="10"/>
      <c r="G21" s="10"/>
      <c r="H21" s="10"/>
    </row>
    <row r="22" customFormat="false" ht="15" hidden="false" customHeight="false" outlineLevel="0" collapsed="false">
      <c r="A22" s="10"/>
      <c r="B22" s="12"/>
      <c r="C22" s="10"/>
      <c r="D22" s="14" t="str">
        <f aca="false">IFERROR(IF(C22="","",INDEX(Products!$C$5:$C$504,MATCH(C22,Products!$A$5:$A$504,0))),"")</f>
        <v/>
      </c>
      <c r="E22" s="13"/>
      <c r="F22" s="10"/>
      <c r="G22" s="10"/>
      <c r="H22" s="10"/>
    </row>
    <row r="23" customFormat="false" ht="15" hidden="false" customHeight="false" outlineLevel="0" collapsed="false">
      <c r="A23" s="10"/>
      <c r="B23" s="12"/>
      <c r="C23" s="10"/>
      <c r="D23" s="14" t="str">
        <f aca="false">IFERROR(IF(C23="","",INDEX(Products!$C$5:$C$504,MATCH(C23,Products!$A$5:$A$504,0))),"")</f>
        <v/>
      </c>
      <c r="E23" s="13"/>
      <c r="F23" s="10"/>
      <c r="G23" s="10"/>
      <c r="H23" s="10"/>
    </row>
    <row r="24" customFormat="false" ht="15" hidden="false" customHeight="false" outlineLevel="0" collapsed="false">
      <c r="A24" s="10"/>
      <c r="B24" s="12"/>
      <c r="C24" s="10"/>
      <c r="D24" s="14" t="str">
        <f aca="false">IFERROR(IF(C24="","",INDEX(Products!$C$5:$C$504,MATCH(C24,Products!$A$5:$A$504,0))),"")</f>
        <v/>
      </c>
      <c r="E24" s="13"/>
      <c r="F24" s="10"/>
      <c r="G24" s="10"/>
      <c r="H24" s="10"/>
    </row>
    <row r="25" customFormat="false" ht="15" hidden="false" customHeight="false" outlineLevel="0" collapsed="false">
      <c r="A25" s="10"/>
      <c r="B25" s="12"/>
      <c r="C25" s="10"/>
      <c r="D25" s="14" t="str">
        <f aca="false">IFERROR(IF(C25="","",INDEX(Products!$C$5:$C$504,MATCH(C25,Products!$A$5:$A$504,0))),"")</f>
        <v/>
      </c>
      <c r="E25" s="13"/>
      <c r="F25" s="10"/>
      <c r="G25" s="10"/>
      <c r="H25" s="10"/>
    </row>
    <row r="26" customFormat="false" ht="15" hidden="false" customHeight="false" outlineLevel="0" collapsed="false">
      <c r="A26" s="10"/>
      <c r="B26" s="12"/>
      <c r="C26" s="10"/>
      <c r="D26" s="14" t="str">
        <f aca="false">IFERROR(IF(C26="","",INDEX(Products!$C$5:$C$504,MATCH(C26,Products!$A$5:$A$504,0))),"")</f>
        <v/>
      </c>
      <c r="E26" s="13"/>
      <c r="F26" s="10"/>
      <c r="G26" s="10"/>
      <c r="H26" s="10"/>
    </row>
    <row r="27" customFormat="false" ht="15" hidden="false" customHeight="false" outlineLevel="0" collapsed="false">
      <c r="A27" s="10"/>
      <c r="B27" s="12"/>
      <c r="C27" s="10"/>
      <c r="D27" s="14" t="str">
        <f aca="false">IFERROR(IF(C27="","",INDEX(Products!$C$5:$C$504,MATCH(C27,Products!$A$5:$A$504,0))),"")</f>
        <v/>
      </c>
      <c r="E27" s="13"/>
      <c r="F27" s="10"/>
      <c r="G27" s="10"/>
      <c r="H27" s="10"/>
    </row>
    <row r="28" customFormat="false" ht="15" hidden="false" customHeight="false" outlineLevel="0" collapsed="false">
      <c r="A28" s="10"/>
      <c r="B28" s="12"/>
      <c r="C28" s="10"/>
      <c r="D28" s="14" t="str">
        <f aca="false">IFERROR(IF(C28="","",INDEX(Products!$C$5:$C$504,MATCH(C28,Products!$A$5:$A$504,0))),"")</f>
        <v/>
      </c>
      <c r="E28" s="13"/>
      <c r="F28" s="10"/>
      <c r="G28" s="10"/>
      <c r="H28" s="10"/>
    </row>
    <row r="29" customFormat="false" ht="15" hidden="false" customHeight="false" outlineLevel="0" collapsed="false">
      <c r="A29" s="10"/>
      <c r="B29" s="12"/>
      <c r="C29" s="10"/>
      <c r="D29" s="14" t="str">
        <f aca="false">IFERROR(IF(C29="","",INDEX(Products!$C$5:$C$504,MATCH(C29,Products!$A$5:$A$504,0))),"")</f>
        <v/>
      </c>
      <c r="E29" s="13"/>
      <c r="F29" s="10"/>
      <c r="G29" s="10"/>
      <c r="H29" s="10"/>
    </row>
    <row r="30" customFormat="false" ht="15" hidden="false" customHeight="false" outlineLevel="0" collapsed="false">
      <c r="A30" s="10"/>
      <c r="B30" s="12"/>
      <c r="C30" s="10"/>
      <c r="D30" s="14" t="str">
        <f aca="false">IFERROR(IF(C30="","",INDEX(Products!$C$5:$C$504,MATCH(C30,Products!$A$5:$A$504,0))),"")</f>
        <v/>
      </c>
      <c r="E30" s="13"/>
      <c r="F30" s="10"/>
      <c r="G30" s="10"/>
      <c r="H30" s="10"/>
    </row>
    <row r="31" customFormat="false" ht="15" hidden="false" customHeight="false" outlineLevel="0" collapsed="false">
      <c r="A31" s="10"/>
      <c r="B31" s="12"/>
      <c r="C31" s="10"/>
      <c r="D31" s="14" t="str">
        <f aca="false">IFERROR(IF(C31="","",INDEX(Products!$C$5:$C$504,MATCH(C31,Products!$A$5:$A$504,0))),"")</f>
        <v/>
      </c>
      <c r="E31" s="13"/>
      <c r="F31" s="10"/>
      <c r="G31" s="10"/>
      <c r="H31" s="10"/>
    </row>
    <row r="32" customFormat="false" ht="15" hidden="false" customHeight="false" outlineLevel="0" collapsed="false">
      <c r="A32" s="10"/>
      <c r="B32" s="12"/>
      <c r="C32" s="10"/>
      <c r="D32" s="14" t="str">
        <f aca="false">IFERROR(IF(C32="","",INDEX(Products!$C$5:$C$504,MATCH(C32,Products!$A$5:$A$504,0))),"")</f>
        <v/>
      </c>
      <c r="E32" s="13"/>
      <c r="F32" s="10"/>
      <c r="G32" s="10"/>
      <c r="H32" s="10"/>
    </row>
    <row r="33" customFormat="false" ht="15" hidden="false" customHeight="false" outlineLevel="0" collapsed="false">
      <c r="A33" s="10"/>
      <c r="B33" s="12"/>
      <c r="C33" s="10"/>
      <c r="D33" s="14" t="str">
        <f aca="false">IFERROR(IF(C33="","",INDEX(Products!$C$5:$C$504,MATCH(C33,Products!$A$5:$A$504,0))),"")</f>
        <v/>
      </c>
      <c r="E33" s="13"/>
      <c r="F33" s="10"/>
      <c r="G33" s="10"/>
      <c r="H33" s="10"/>
    </row>
    <row r="34" customFormat="false" ht="15" hidden="false" customHeight="false" outlineLevel="0" collapsed="false">
      <c r="A34" s="10"/>
      <c r="B34" s="12"/>
      <c r="C34" s="10"/>
      <c r="D34" s="14" t="str">
        <f aca="false">IFERROR(IF(C34="","",INDEX(Products!$C$5:$C$504,MATCH(C34,Products!$A$5:$A$504,0))),"")</f>
        <v/>
      </c>
      <c r="E34" s="13"/>
      <c r="F34" s="10"/>
      <c r="G34" s="10"/>
      <c r="H34" s="10"/>
    </row>
    <row r="35" customFormat="false" ht="15" hidden="false" customHeight="false" outlineLevel="0" collapsed="false">
      <c r="A35" s="10"/>
      <c r="B35" s="12"/>
      <c r="C35" s="10"/>
      <c r="D35" s="14" t="str">
        <f aca="false">IFERROR(IF(C35="","",INDEX(Products!$C$5:$C$504,MATCH(C35,Products!$A$5:$A$504,0))),"")</f>
        <v/>
      </c>
      <c r="E35" s="13"/>
      <c r="F35" s="10"/>
      <c r="G35" s="10"/>
      <c r="H35" s="10"/>
    </row>
    <row r="36" customFormat="false" ht="15" hidden="false" customHeight="false" outlineLevel="0" collapsed="false">
      <c r="A36" s="10"/>
      <c r="B36" s="12"/>
      <c r="C36" s="10"/>
      <c r="D36" s="14" t="str">
        <f aca="false">IFERROR(IF(C36="","",INDEX(Products!$C$5:$C$504,MATCH(C36,Products!$A$5:$A$504,0))),"")</f>
        <v/>
      </c>
      <c r="E36" s="13"/>
      <c r="F36" s="10"/>
      <c r="G36" s="10"/>
      <c r="H36" s="10"/>
    </row>
    <row r="37" customFormat="false" ht="15" hidden="false" customHeight="false" outlineLevel="0" collapsed="false">
      <c r="A37" s="10"/>
      <c r="B37" s="12"/>
      <c r="C37" s="10"/>
      <c r="D37" s="14" t="str">
        <f aca="false">IFERROR(IF(C37="","",INDEX(Products!$C$5:$C$504,MATCH(C37,Products!$A$5:$A$504,0))),"")</f>
        <v/>
      </c>
      <c r="E37" s="13"/>
      <c r="F37" s="10"/>
      <c r="G37" s="10"/>
      <c r="H37" s="10"/>
    </row>
    <row r="38" customFormat="false" ht="15" hidden="false" customHeight="false" outlineLevel="0" collapsed="false">
      <c r="A38" s="10"/>
      <c r="B38" s="12"/>
      <c r="C38" s="10"/>
      <c r="D38" s="14" t="str">
        <f aca="false">IFERROR(IF(C38="","",INDEX(Products!$C$5:$C$504,MATCH(C38,Products!$A$5:$A$504,0))),"")</f>
        <v/>
      </c>
      <c r="E38" s="13"/>
      <c r="F38" s="10"/>
      <c r="G38" s="10"/>
      <c r="H38" s="10"/>
    </row>
    <row r="39" customFormat="false" ht="15" hidden="false" customHeight="false" outlineLevel="0" collapsed="false">
      <c r="A39" s="10"/>
      <c r="B39" s="12"/>
      <c r="C39" s="10"/>
      <c r="D39" s="14" t="str">
        <f aca="false">IFERROR(IF(C39="","",INDEX(Products!$C$5:$C$504,MATCH(C39,Products!$A$5:$A$504,0))),"")</f>
        <v/>
      </c>
      <c r="E39" s="13"/>
      <c r="F39" s="10"/>
      <c r="G39" s="10"/>
      <c r="H39" s="10"/>
    </row>
    <row r="40" customFormat="false" ht="15" hidden="false" customHeight="false" outlineLevel="0" collapsed="false">
      <c r="A40" s="10"/>
      <c r="B40" s="12"/>
      <c r="C40" s="10"/>
      <c r="D40" s="14" t="str">
        <f aca="false">IFERROR(IF(C40="","",INDEX(Products!$C$5:$C$504,MATCH(C40,Products!$A$5:$A$504,0))),"")</f>
        <v/>
      </c>
      <c r="E40" s="13"/>
      <c r="F40" s="10"/>
      <c r="G40" s="10"/>
      <c r="H40" s="10"/>
    </row>
    <row r="41" customFormat="false" ht="15" hidden="false" customHeight="false" outlineLevel="0" collapsed="false">
      <c r="A41" s="10"/>
      <c r="B41" s="12"/>
      <c r="C41" s="10"/>
      <c r="D41" s="14" t="str">
        <f aca="false">IFERROR(IF(C41="","",INDEX(Products!$C$5:$C$504,MATCH(C41,Products!$A$5:$A$504,0))),"")</f>
        <v/>
      </c>
      <c r="E41" s="13"/>
      <c r="F41" s="10"/>
      <c r="G41" s="10"/>
      <c r="H41" s="10"/>
    </row>
    <row r="42" customFormat="false" ht="15" hidden="false" customHeight="false" outlineLevel="0" collapsed="false">
      <c r="A42" s="10"/>
      <c r="B42" s="12"/>
      <c r="C42" s="10"/>
      <c r="D42" s="14" t="str">
        <f aca="false">IFERROR(IF(C42="","",INDEX(Products!$C$5:$C$504,MATCH(C42,Products!$A$5:$A$504,0))),"")</f>
        <v/>
      </c>
      <c r="E42" s="13"/>
      <c r="F42" s="10"/>
      <c r="G42" s="10"/>
      <c r="H42" s="10"/>
    </row>
    <row r="43" customFormat="false" ht="15" hidden="false" customHeight="false" outlineLevel="0" collapsed="false">
      <c r="A43" s="10"/>
      <c r="B43" s="12"/>
      <c r="C43" s="10"/>
      <c r="D43" s="14" t="str">
        <f aca="false">IFERROR(IF(C43="","",INDEX(Products!$C$5:$C$504,MATCH(C43,Products!$A$5:$A$504,0))),"")</f>
        <v/>
      </c>
      <c r="E43" s="13"/>
      <c r="F43" s="10"/>
      <c r="G43" s="10"/>
      <c r="H43" s="10"/>
    </row>
    <row r="44" customFormat="false" ht="15" hidden="false" customHeight="false" outlineLevel="0" collapsed="false">
      <c r="A44" s="10"/>
      <c r="B44" s="12"/>
      <c r="C44" s="10"/>
      <c r="D44" s="14" t="str">
        <f aca="false">IFERROR(IF(C44="","",INDEX(Products!$C$5:$C$504,MATCH(C44,Products!$A$5:$A$504,0))),"")</f>
        <v/>
      </c>
      <c r="E44" s="13"/>
      <c r="F44" s="10"/>
      <c r="G44" s="10"/>
      <c r="H44" s="10"/>
    </row>
    <row r="45" customFormat="false" ht="15" hidden="false" customHeight="false" outlineLevel="0" collapsed="false">
      <c r="A45" s="10"/>
      <c r="B45" s="12"/>
      <c r="C45" s="10"/>
      <c r="D45" s="14" t="str">
        <f aca="false">IFERROR(IF(C45="","",INDEX(Products!$C$5:$C$504,MATCH(C45,Products!$A$5:$A$504,0))),"")</f>
        <v/>
      </c>
      <c r="E45" s="13"/>
      <c r="F45" s="10"/>
      <c r="G45" s="10"/>
      <c r="H45" s="10"/>
    </row>
    <row r="46" customFormat="false" ht="15" hidden="false" customHeight="false" outlineLevel="0" collapsed="false">
      <c r="A46" s="10"/>
      <c r="B46" s="12"/>
      <c r="C46" s="10"/>
      <c r="D46" s="14" t="str">
        <f aca="false">IFERROR(IF(C46="","",INDEX(Products!$C$5:$C$504,MATCH(C46,Products!$A$5:$A$504,0))),"")</f>
        <v/>
      </c>
      <c r="E46" s="13"/>
      <c r="F46" s="10"/>
      <c r="G46" s="10"/>
      <c r="H46" s="10"/>
    </row>
    <row r="47" customFormat="false" ht="15" hidden="false" customHeight="false" outlineLevel="0" collapsed="false">
      <c r="A47" s="10"/>
      <c r="B47" s="12"/>
      <c r="C47" s="10"/>
      <c r="D47" s="14" t="str">
        <f aca="false">IFERROR(IF(C47="","",INDEX(Products!$C$5:$C$504,MATCH(C47,Products!$A$5:$A$504,0))),"")</f>
        <v/>
      </c>
      <c r="E47" s="13"/>
      <c r="F47" s="10"/>
      <c r="G47" s="10"/>
      <c r="H47" s="10"/>
    </row>
    <row r="48" customFormat="false" ht="15" hidden="false" customHeight="false" outlineLevel="0" collapsed="false">
      <c r="A48" s="10"/>
      <c r="B48" s="12"/>
      <c r="C48" s="10"/>
      <c r="D48" s="14" t="str">
        <f aca="false">IFERROR(IF(C48="","",INDEX(Products!$C$5:$C$504,MATCH(C48,Products!$A$5:$A$504,0))),"")</f>
        <v/>
      </c>
      <c r="E48" s="13"/>
      <c r="F48" s="10"/>
      <c r="G48" s="10"/>
      <c r="H48" s="10"/>
    </row>
    <row r="49" customFormat="false" ht="15" hidden="false" customHeight="false" outlineLevel="0" collapsed="false">
      <c r="A49" s="10"/>
      <c r="B49" s="12"/>
      <c r="C49" s="10"/>
      <c r="D49" s="14" t="str">
        <f aca="false">IFERROR(IF(C49="","",INDEX(Products!$C$5:$C$504,MATCH(C49,Products!$A$5:$A$504,0))),"")</f>
        <v/>
      </c>
      <c r="E49" s="13"/>
      <c r="F49" s="10"/>
      <c r="G49" s="10"/>
      <c r="H49" s="10"/>
    </row>
    <row r="50" customFormat="false" ht="15" hidden="false" customHeight="false" outlineLevel="0" collapsed="false">
      <c r="A50" s="10"/>
      <c r="B50" s="12"/>
      <c r="C50" s="10"/>
      <c r="D50" s="14" t="str">
        <f aca="false">IFERROR(IF(C50="","",INDEX(Products!$C$5:$C$504,MATCH(C50,Products!$A$5:$A$504,0))),"")</f>
        <v/>
      </c>
      <c r="E50" s="13"/>
      <c r="F50" s="10"/>
      <c r="G50" s="10"/>
      <c r="H50" s="10"/>
    </row>
    <row r="51" customFormat="false" ht="15" hidden="false" customHeight="false" outlineLevel="0" collapsed="false">
      <c r="A51" s="10"/>
      <c r="B51" s="12"/>
      <c r="C51" s="10"/>
      <c r="D51" s="14" t="str">
        <f aca="false">IFERROR(IF(C51="","",INDEX(Products!$C$5:$C$504,MATCH(C51,Products!$A$5:$A$504,0))),"")</f>
        <v/>
      </c>
      <c r="E51" s="13"/>
      <c r="F51" s="10"/>
      <c r="G51" s="10"/>
      <c r="H51" s="10"/>
    </row>
    <row r="52" customFormat="false" ht="15" hidden="false" customHeight="false" outlineLevel="0" collapsed="false">
      <c r="A52" s="10"/>
      <c r="B52" s="12"/>
      <c r="C52" s="10"/>
      <c r="D52" s="14" t="str">
        <f aca="false">IFERROR(IF(C52="","",INDEX(Products!$C$5:$C$504,MATCH(C52,Products!$A$5:$A$504,0))),"")</f>
        <v/>
      </c>
      <c r="E52" s="13"/>
      <c r="F52" s="10"/>
      <c r="G52" s="10"/>
      <c r="H52" s="10"/>
    </row>
    <row r="53" customFormat="false" ht="15" hidden="false" customHeight="false" outlineLevel="0" collapsed="false">
      <c r="A53" s="10"/>
      <c r="B53" s="12"/>
      <c r="C53" s="10"/>
      <c r="D53" s="14" t="str">
        <f aca="false">IFERROR(IF(C53="","",INDEX(Products!$C$5:$C$504,MATCH(C53,Products!$A$5:$A$504,0))),"")</f>
        <v/>
      </c>
      <c r="E53" s="13"/>
      <c r="F53" s="10"/>
      <c r="G53" s="10"/>
      <c r="H53" s="10"/>
    </row>
    <row r="54" customFormat="false" ht="15" hidden="false" customHeight="false" outlineLevel="0" collapsed="false">
      <c r="A54" s="10"/>
      <c r="B54" s="12"/>
      <c r="C54" s="10"/>
      <c r="D54" s="14" t="str">
        <f aca="false">IFERROR(IF(C54="","",INDEX(Products!$C$5:$C$504,MATCH(C54,Products!$A$5:$A$504,0))),"")</f>
        <v/>
      </c>
      <c r="E54" s="13"/>
      <c r="F54" s="10"/>
      <c r="G54" s="10"/>
      <c r="H54" s="10"/>
    </row>
    <row r="55" customFormat="false" ht="15" hidden="false" customHeight="false" outlineLevel="0" collapsed="false">
      <c r="A55" s="10"/>
      <c r="B55" s="12"/>
      <c r="C55" s="10"/>
      <c r="D55" s="14" t="str">
        <f aca="false">IFERROR(IF(C55="","",INDEX(Products!$C$5:$C$504,MATCH(C55,Products!$A$5:$A$504,0))),"")</f>
        <v/>
      </c>
      <c r="E55" s="13"/>
      <c r="F55" s="10"/>
      <c r="G55" s="10"/>
      <c r="H55" s="10"/>
    </row>
    <row r="56" customFormat="false" ht="15" hidden="false" customHeight="false" outlineLevel="0" collapsed="false">
      <c r="A56" s="10"/>
      <c r="B56" s="12"/>
      <c r="C56" s="10"/>
      <c r="D56" s="14" t="str">
        <f aca="false">IFERROR(IF(C56="","",INDEX(Products!$C$5:$C$504,MATCH(C56,Products!$A$5:$A$504,0))),"")</f>
        <v/>
      </c>
      <c r="E56" s="13"/>
      <c r="F56" s="10"/>
      <c r="G56" s="10"/>
      <c r="H56" s="10"/>
    </row>
    <row r="57" customFormat="false" ht="15" hidden="false" customHeight="false" outlineLevel="0" collapsed="false">
      <c r="A57" s="10"/>
      <c r="B57" s="12"/>
      <c r="C57" s="10"/>
      <c r="D57" s="14" t="str">
        <f aca="false">IFERROR(IF(C57="","",INDEX(Products!$C$5:$C$504,MATCH(C57,Products!$A$5:$A$504,0))),"")</f>
        <v/>
      </c>
      <c r="E57" s="13"/>
      <c r="F57" s="10"/>
      <c r="G57" s="10"/>
      <c r="H57" s="10"/>
    </row>
    <row r="58" customFormat="false" ht="15" hidden="false" customHeight="false" outlineLevel="0" collapsed="false">
      <c r="A58" s="10"/>
      <c r="B58" s="12"/>
      <c r="C58" s="10"/>
      <c r="D58" s="14" t="str">
        <f aca="false">IFERROR(IF(C58="","",INDEX(Products!$C$5:$C$504,MATCH(C58,Products!$A$5:$A$504,0))),"")</f>
        <v/>
      </c>
      <c r="E58" s="13"/>
      <c r="F58" s="10"/>
      <c r="G58" s="10"/>
      <c r="H58" s="10"/>
    </row>
    <row r="59" customFormat="false" ht="15" hidden="false" customHeight="false" outlineLevel="0" collapsed="false">
      <c r="A59" s="10"/>
      <c r="B59" s="12"/>
      <c r="C59" s="10"/>
      <c r="D59" s="14" t="str">
        <f aca="false">IFERROR(IF(C59="","",INDEX(Products!$C$5:$C$504,MATCH(C59,Products!$A$5:$A$504,0))),"")</f>
        <v/>
      </c>
      <c r="E59" s="13"/>
      <c r="F59" s="10"/>
      <c r="G59" s="10"/>
      <c r="H59" s="10"/>
    </row>
    <row r="60" customFormat="false" ht="15" hidden="false" customHeight="false" outlineLevel="0" collapsed="false">
      <c r="A60" s="10"/>
      <c r="B60" s="12"/>
      <c r="C60" s="10"/>
      <c r="D60" s="14" t="str">
        <f aca="false">IFERROR(IF(C60="","",INDEX(Products!$C$5:$C$504,MATCH(C60,Products!$A$5:$A$504,0))),"")</f>
        <v/>
      </c>
      <c r="E60" s="13"/>
      <c r="F60" s="10"/>
      <c r="G60" s="10"/>
      <c r="H60" s="10"/>
    </row>
    <row r="61" customFormat="false" ht="15" hidden="false" customHeight="false" outlineLevel="0" collapsed="false">
      <c r="A61" s="10"/>
      <c r="B61" s="12"/>
      <c r="C61" s="10"/>
      <c r="D61" s="14" t="str">
        <f aca="false">IFERROR(IF(C61="","",INDEX(Products!$C$5:$C$504,MATCH(C61,Products!$A$5:$A$504,0))),"")</f>
        <v/>
      </c>
      <c r="E61" s="13"/>
      <c r="F61" s="10"/>
      <c r="G61" s="10"/>
      <c r="H61" s="10"/>
    </row>
    <row r="62" customFormat="false" ht="15" hidden="false" customHeight="false" outlineLevel="0" collapsed="false">
      <c r="A62" s="10"/>
      <c r="B62" s="12"/>
      <c r="C62" s="10"/>
      <c r="D62" s="14" t="str">
        <f aca="false">IFERROR(IF(C62="","",INDEX(Products!$C$5:$C$504,MATCH(C62,Products!$A$5:$A$504,0))),"")</f>
        <v/>
      </c>
      <c r="E62" s="13"/>
      <c r="F62" s="10"/>
      <c r="G62" s="10"/>
      <c r="H62" s="10"/>
    </row>
    <row r="63" customFormat="false" ht="15" hidden="false" customHeight="false" outlineLevel="0" collapsed="false">
      <c r="A63" s="10"/>
      <c r="B63" s="12"/>
      <c r="C63" s="10"/>
      <c r="D63" s="14" t="str">
        <f aca="false">IFERROR(IF(C63="","",INDEX(Products!$C$5:$C$504,MATCH(C63,Products!$A$5:$A$504,0))),"")</f>
        <v/>
      </c>
      <c r="E63" s="13"/>
      <c r="F63" s="10"/>
      <c r="G63" s="10"/>
      <c r="H63" s="10"/>
    </row>
    <row r="64" customFormat="false" ht="15" hidden="false" customHeight="false" outlineLevel="0" collapsed="false">
      <c r="A64" s="10"/>
      <c r="B64" s="12"/>
      <c r="C64" s="10"/>
      <c r="D64" s="14" t="str">
        <f aca="false">IFERROR(IF(C64="","",INDEX(Products!$C$5:$C$504,MATCH(C64,Products!$A$5:$A$504,0))),"")</f>
        <v/>
      </c>
      <c r="E64" s="13"/>
      <c r="F64" s="10"/>
      <c r="G64" s="10"/>
      <c r="H64" s="10"/>
    </row>
    <row r="65" customFormat="false" ht="15" hidden="false" customHeight="false" outlineLevel="0" collapsed="false">
      <c r="A65" s="10"/>
      <c r="B65" s="12"/>
      <c r="C65" s="10"/>
      <c r="D65" s="14" t="str">
        <f aca="false">IFERROR(IF(C65="","",INDEX(Products!$C$5:$C$504,MATCH(C65,Products!$A$5:$A$504,0))),"")</f>
        <v/>
      </c>
      <c r="E65" s="13"/>
      <c r="F65" s="10"/>
      <c r="G65" s="10"/>
      <c r="H65" s="10"/>
    </row>
    <row r="66" customFormat="false" ht="15" hidden="false" customHeight="false" outlineLevel="0" collapsed="false">
      <c r="A66" s="10"/>
      <c r="B66" s="12"/>
      <c r="C66" s="10"/>
      <c r="D66" s="14" t="str">
        <f aca="false">IFERROR(IF(C66="","",INDEX(Products!$C$5:$C$504,MATCH(C66,Products!$A$5:$A$504,0))),"")</f>
        <v/>
      </c>
      <c r="E66" s="13"/>
      <c r="F66" s="10"/>
      <c r="G66" s="10"/>
      <c r="H66" s="10"/>
    </row>
    <row r="67" customFormat="false" ht="15" hidden="false" customHeight="false" outlineLevel="0" collapsed="false">
      <c r="A67" s="10"/>
      <c r="B67" s="12"/>
      <c r="C67" s="10"/>
      <c r="D67" s="14" t="str">
        <f aca="false">IFERROR(IF(C67="","",INDEX(Products!$C$5:$C$504,MATCH(C67,Products!$A$5:$A$504,0))),"")</f>
        <v/>
      </c>
      <c r="E67" s="13"/>
      <c r="F67" s="10"/>
      <c r="G67" s="10"/>
      <c r="H67" s="10"/>
    </row>
    <row r="68" customFormat="false" ht="15" hidden="false" customHeight="false" outlineLevel="0" collapsed="false">
      <c r="A68" s="10"/>
      <c r="B68" s="12"/>
      <c r="C68" s="10"/>
      <c r="D68" s="14" t="str">
        <f aca="false">IFERROR(IF(C68="","",INDEX(Products!$C$5:$C$504,MATCH(C68,Products!$A$5:$A$504,0))),"")</f>
        <v/>
      </c>
      <c r="E68" s="13"/>
      <c r="F68" s="10"/>
      <c r="G68" s="10"/>
      <c r="H68" s="10"/>
    </row>
    <row r="69" customFormat="false" ht="15" hidden="false" customHeight="false" outlineLevel="0" collapsed="false">
      <c r="A69" s="10"/>
      <c r="B69" s="12"/>
      <c r="C69" s="10"/>
      <c r="D69" s="14" t="str">
        <f aca="false">IFERROR(IF(C69="","",INDEX(Products!$C$5:$C$504,MATCH(C69,Products!$A$5:$A$504,0))),"")</f>
        <v/>
      </c>
      <c r="E69" s="13"/>
      <c r="F69" s="10"/>
      <c r="G69" s="10"/>
      <c r="H69" s="10"/>
    </row>
    <row r="70" customFormat="false" ht="15" hidden="false" customHeight="false" outlineLevel="0" collapsed="false">
      <c r="A70" s="10"/>
      <c r="B70" s="12"/>
      <c r="C70" s="10"/>
      <c r="D70" s="14" t="str">
        <f aca="false">IFERROR(IF(C70="","",INDEX(Products!$C$5:$C$504,MATCH(C70,Products!$A$5:$A$504,0))),"")</f>
        <v/>
      </c>
      <c r="E70" s="13"/>
      <c r="F70" s="10"/>
      <c r="G70" s="10"/>
      <c r="H70" s="10"/>
    </row>
    <row r="71" customFormat="false" ht="15" hidden="false" customHeight="false" outlineLevel="0" collapsed="false">
      <c r="A71" s="10"/>
      <c r="B71" s="12"/>
      <c r="C71" s="10"/>
      <c r="D71" s="14" t="str">
        <f aca="false">IFERROR(IF(C71="","",INDEX(Products!$C$5:$C$504,MATCH(C71,Products!$A$5:$A$504,0))),"")</f>
        <v/>
      </c>
      <c r="E71" s="13"/>
      <c r="F71" s="10"/>
      <c r="G71" s="10"/>
      <c r="H71" s="10"/>
    </row>
    <row r="72" customFormat="false" ht="15" hidden="false" customHeight="false" outlineLevel="0" collapsed="false">
      <c r="A72" s="10"/>
      <c r="B72" s="12"/>
      <c r="C72" s="10"/>
      <c r="D72" s="14" t="str">
        <f aca="false">IFERROR(IF(C72="","",INDEX(Products!$C$5:$C$504,MATCH(C72,Products!$A$5:$A$504,0))),"")</f>
        <v/>
      </c>
      <c r="E72" s="13"/>
      <c r="F72" s="10"/>
      <c r="G72" s="10"/>
      <c r="H72" s="10"/>
    </row>
    <row r="73" customFormat="false" ht="15" hidden="false" customHeight="false" outlineLevel="0" collapsed="false">
      <c r="A73" s="10"/>
      <c r="B73" s="12"/>
      <c r="C73" s="10"/>
      <c r="D73" s="14" t="str">
        <f aca="false">IFERROR(IF(C73="","",INDEX(Products!$C$5:$C$504,MATCH(C73,Products!$A$5:$A$504,0))),"")</f>
        <v/>
      </c>
      <c r="E73" s="13"/>
      <c r="F73" s="10"/>
      <c r="G73" s="10"/>
      <c r="H73" s="10"/>
    </row>
    <row r="74" customFormat="false" ht="15" hidden="false" customHeight="false" outlineLevel="0" collapsed="false">
      <c r="A74" s="10"/>
      <c r="B74" s="12"/>
      <c r="C74" s="10"/>
      <c r="D74" s="14" t="str">
        <f aca="false">IFERROR(IF(C74="","",INDEX(Products!$C$5:$C$504,MATCH(C74,Products!$A$5:$A$504,0))),"")</f>
        <v/>
      </c>
      <c r="E74" s="13"/>
      <c r="F74" s="10"/>
      <c r="G74" s="10"/>
      <c r="H74" s="10"/>
    </row>
    <row r="75" customFormat="false" ht="15" hidden="false" customHeight="false" outlineLevel="0" collapsed="false">
      <c r="A75" s="10"/>
      <c r="B75" s="12"/>
      <c r="C75" s="10"/>
      <c r="D75" s="14" t="str">
        <f aca="false">IFERROR(IF(C75="","",INDEX(Products!$C$5:$C$504,MATCH(C75,Products!$A$5:$A$504,0))),"")</f>
        <v/>
      </c>
      <c r="E75" s="13"/>
      <c r="F75" s="10"/>
      <c r="G75" s="10"/>
      <c r="H75" s="10"/>
    </row>
    <row r="76" customFormat="false" ht="15" hidden="false" customHeight="false" outlineLevel="0" collapsed="false">
      <c r="A76" s="10"/>
      <c r="B76" s="12"/>
      <c r="C76" s="10"/>
      <c r="D76" s="14" t="str">
        <f aca="false">IFERROR(IF(C76="","",INDEX(Products!$C$5:$C$504,MATCH(C76,Products!$A$5:$A$504,0))),"")</f>
        <v/>
      </c>
      <c r="E76" s="13"/>
      <c r="F76" s="10"/>
      <c r="G76" s="10"/>
      <c r="H76" s="10"/>
    </row>
    <row r="77" customFormat="false" ht="15" hidden="false" customHeight="false" outlineLevel="0" collapsed="false">
      <c r="A77" s="10"/>
      <c r="B77" s="12"/>
      <c r="C77" s="10"/>
      <c r="D77" s="14" t="str">
        <f aca="false">IFERROR(IF(C77="","",INDEX(Products!$C$5:$C$504,MATCH(C77,Products!$A$5:$A$504,0))),"")</f>
        <v/>
      </c>
      <c r="E77" s="13"/>
      <c r="F77" s="10"/>
      <c r="G77" s="10"/>
      <c r="H77" s="10"/>
    </row>
    <row r="78" customFormat="false" ht="15" hidden="false" customHeight="false" outlineLevel="0" collapsed="false">
      <c r="A78" s="10"/>
      <c r="B78" s="12"/>
      <c r="C78" s="10"/>
      <c r="D78" s="14" t="str">
        <f aca="false">IFERROR(IF(C78="","",INDEX(Products!$C$5:$C$504,MATCH(C78,Products!$A$5:$A$504,0))),"")</f>
        <v/>
      </c>
      <c r="E78" s="13"/>
      <c r="F78" s="10"/>
      <c r="G78" s="10"/>
      <c r="H78" s="10"/>
    </row>
    <row r="79" customFormat="false" ht="15" hidden="false" customHeight="false" outlineLevel="0" collapsed="false">
      <c r="A79" s="10"/>
      <c r="B79" s="12"/>
      <c r="C79" s="10"/>
      <c r="D79" s="14" t="str">
        <f aca="false">IFERROR(IF(C79="","",INDEX(Products!$C$5:$C$504,MATCH(C79,Products!$A$5:$A$504,0))),"")</f>
        <v/>
      </c>
      <c r="E79" s="13"/>
      <c r="F79" s="10"/>
      <c r="G79" s="10"/>
      <c r="H79" s="10"/>
    </row>
    <row r="80" customFormat="false" ht="15" hidden="false" customHeight="false" outlineLevel="0" collapsed="false">
      <c r="A80" s="10"/>
      <c r="B80" s="12"/>
      <c r="C80" s="10"/>
      <c r="D80" s="14" t="str">
        <f aca="false">IFERROR(IF(C80="","",INDEX(Products!$C$5:$C$504,MATCH(C80,Products!$A$5:$A$504,0))),"")</f>
        <v/>
      </c>
      <c r="E80" s="13"/>
      <c r="F80" s="10"/>
      <c r="G80" s="10"/>
      <c r="H80" s="10"/>
    </row>
    <row r="81" customFormat="false" ht="15" hidden="false" customHeight="false" outlineLevel="0" collapsed="false">
      <c r="A81" s="10"/>
      <c r="B81" s="12"/>
      <c r="C81" s="10"/>
      <c r="D81" s="14" t="str">
        <f aca="false">IFERROR(IF(C81="","",INDEX(Products!$C$5:$C$504,MATCH(C81,Products!$A$5:$A$504,0))),"")</f>
        <v/>
      </c>
      <c r="E81" s="13"/>
      <c r="F81" s="10"/>
      <c r="G81" s="10"/>
      <c r="H81" s="10"/>
    </row>
    <row r="82" customFormat="false" ht="15" hidden="false" customHeight="false" outlineLevel="0" collapsed="false">
      <c r="A82" s="10"/>
      <c r="B82" s="12"/>
      <c r="C82" s="10"/>
      <c r="D82" s="14" t="str">
        <f aca="false">IFERROR(IF(C82="","",INDEX(Products!$C$5:$C$504,MATCH(C82,Products!$A$5:$A$504,0))),"")</f>
        <v/>
      </c>
      <c r="E82" s="13"/>
      <c r="F82" s="10"/>
      <c r="G82" s="10"/>
      <c r="H82" s="10"/>
    </row>
    <row r="83" customFormat="false" ht="15" hidden="false" customHeight="false" outlineLevel="0" collapsed="false">
      <c r="A83" s="10"/>
      <c r="B83" s="12"/>
      <c r="C83" s="10"/>
      <c r="D83" s="14" t="str">
        <f aca="false">IFERROR(IF(C83="","",INDEX(Products!$C$5:$C$504,MATCH(C83,Products!$A$5:$A$504,0))),"")</f>
        <v/>
      </c>
      <c r="E83" s="13"/>
      <c r="F83" s="10"/>
      <c r="G83" s="10"/>
      <c r="H83" s="10"/>
    </row>
    <row r="84" customFormat="false" ht="15" hidden="false" customHeight="false" outlineLevel="0" collapsed="false">
      <c r="A84" s="10"/>
      <c r="B84" s="12"/>
      <c r="C84" s="10"/>
      <c r="D84" s="14" t="str">
        <f aca="false">IFERROR(IF(C84="","",INDEX(Products!$C$5:$C$504,MATCH(C84,Products!$A$5:$A$504,0))),"")</f>
        <v/>
      </c>
      <c r="E84" s="13"/>
      <c r="F84" s="10"/>
      <c r="G84" s="10"/>
      <c r="H84" s="10"/>
    </row>
    <row r="85" customFormat="false" ht="15" hidden="false" customHeight="false" outlineLevel="0" collapsed="false">
      <c r="A85" s="10"/>
      <c r="B85" s="12"/>
      <c r="C85" s="10"/>
      <c r="D85" s="14" t="str">
        <f aca="false">IFERROR(IF(C85="","",INDEX(Products!$C$5:$C$504,MATCH(C85,Products!$A$5:$A$504,0))),"")</f>
        <v/>
      </c>
      <c r="E85" s="13"/>
      <c r="F85" s="10"/>
      <c r="G85" s="10"/>
      <c r="H85" s="10"/>
    </row>
    <row r="86" customFormat="false" ht="15" hidden="false" customHeight="false" outlineLevel="0" collapsed="false">
      <c r="A86" s="10"/>
      <c r="B86" s="12"/>
      <c r="C86" s="10"/>
      <c r="D86" s="14" t="str">
        <f aca="false">IFERROR(IF(C86="","",INDEX(Products!$C$5:$C$504,MATCH(C86,Products!$A$5:$A$504,0))),"")</f>
        <v/>
      </c>
      <c r="E86" s="13"/>
      <c r="F86" s="10"/>
      <c r="G86" s="10"/>
      <c r="H86" s="10"/>
    </row>
    <row r="87" customFormat="false" ht="15" hidden="false" customHeight="false" outlineLevel="0" collapsed="false">
      <c r="A87" s="10"/>
      <c r="B87" s="12"/>
      <c r="C87" s="10"/>
      <c r="D87" s="14" t="str">
        <f aca="false">IFERROR(IF(C87="","",INDEX(Products!$C$5:$C$504,MATCH(C87,Products!$A$5:$A$504,0))),"")</f>
        <v/>
      </c>
      <c r="E87" s="13"/>
      <c r="F87" s="10"/>
      <c r="G87" s="10"/>
      <c r="H87" s="10"/>
    </row>
    <row r="88" customFormat="false" ht="15" hidden="false" customHeight="false" outlineLevel="0" collapsed="false">
      <c r="A88" s="10"/>
      <c r="B88" s="12"/>
      <c r="C88" s="10"/>
      <c r="D88" s="14" t="str">
        <f aca="false">IFERROR(IF(C88="","",INDEX(Products!$C$5:$C$504,MATCH(C88,Products!$A$5:$A$504,0))),"")</f>
        <v/>
      </c>
      <c r="E88" s="13"/>
      <c r="F88" s="10"/>
      <c r="G88" s="10"/>
      <c r="H88" s="10"/>
    </row>
    <row r="89" customFormat="false" ht="15" hidden="false" customHeight="false" outlineLevel="0" collapsed="false">
      <c r="A89" s="10"/>
      <c r="B89" s="12"/>
      <c r="C89" s="10"/>
      <c r="D89" s="14" t="str">
        <f aca="false">IFERROR(IF(C89="","",INDEX(Products!$C$5:$C$504,MATCH(C89,Products!$A$5:$A$504,0))),"")</f>
        <v/>
      </c>
      <c r="E89" s="13"/>
      <c r="F89" s="10"/>
      <c r="G89" s="10"/>
      <c r="H89" s="10"/>
    </row>
    <row r="90" customFormat="false" ht="15" hidden="false" customHeight="false" outlineLevel="0" collapsed="false">
      <c r="A90" s="10"/>
      <c r="B90" s="12"/>
      <c r="C90" s="10"/>
      <c r="D90" s="14" t="str">
        <f aca="false">IFERROR(IF(C90="","",INDEX(Products!$C$5:$C$504,MATCH(C90,Products!$A$5:$A$504,0))),"")</f>
        <v/>
      </c>
      <c r="E90" s="13"/>
      <c r="F90" s="10"/>
      <c r="G90" s="10"/>
      <c r="H90" s="10"/>
    </row>
    <row r="91" customFormat="false" ht="15" hidden="false" customHeight="false" outlineLevel="0" collapsed="false">
      <c r="A91" s="10"/>
      <c r="B91" s="12"/>
      <c r="C91" s="10"/>
      <c r="D91" s="14" t="str">
        <f aca="false">IFERROR(IF(C91="","",INDEX(Products!$C$5:$C$504,MATCH(C91,Products!$A$5:$A$504,0))),"")</f>
        <v/>
      </c>
      <c r="E91" s="13"/>
      <c r="F91" s="10"/>
      <c r="G91" s="10"/>
      <c r="H91" s="10"/>
    </row>
    <row r="92" customFormat="false" ht="15" hidden="false" customHeight="false" outlineLevel="0" collapsed="false">
      <c r="A92" s="10"/>
      <c r="B92" s="12"/>
      <c r="C92" s="10"/>
      <c r="D92" s="14" t="str">
        <f aca="false">IFERROR(IF(C92="","",INDEX(Products!$C$5:$C$504,MATCH(C92,Products!$A$5:$A$504,0))),"")</f>
        <v/>
      </c>
      <c r="E92" s="13"/>
      <c r="F92" s="10"/>
      <c r="G92" s="10"/>
      <c r="H92" s="10"/>
    </row>
    <row r="93" customFormat="false" ht="15" hidden="false" customHeight="false" outlineLevel="0" collapsed="false">
      <c r="A93" s="10"/>
      <c r="B93" s="12"/>
      <c r="C93" s="10"/>
      <c r="D93" s="14" t="str">
        <f aca="false">IFERROR(IF(C93="","",INDEX(Products!$C$5:$C$504,MATCH(C93,Products!$A$5:$A$504,0))),"")</f>
        <v/>
      </c>
      <c r="E93" s="13"/>
      <c r="F93" s="10"/>
      <c r="G93" s="10"/>
      <c r="H93" s="10"/>
    </row>
    <row r="94" customFormat="false" ht="15" hidden="false" customHeight="false" outlineLevel="0" collapsed="false">
      <c r="A94" s="10"/>
      <c r="B94" s="12"/>
      <c r="C94" s="10"/>
      <c r="D94" s="14" t="str">
        <f aca="false">IFERROR(IF(C94="","",INDEX(Products!$C$5:$C$504,MATCH(C94,Products!$A$5:$A$504,0))),"")</f>
        <v/>
      </c>
      <c r="E94" s="13"/>
      <c r="F94" s="10"/>
      <c r="G94" s="10"/>
      <c r="H94" s="10"/>
    </row>
    <row r="95" customFormat="false" ht="15" hidden="false" customHeight="false" outlineLevel="0" collapsed="false">
      <c r="A95" s="10"/>
      <c r="B95" s="12"/>
      <c r="C95" s="10"/>
      <c r="D95" s="14" t="str">
        <f aca="false">IFERROR(IF(C95="","",INDEX(Products!$C$5:$C$504,MATCH(C95,Products!$A$5:$A$504,0))),"")</f>
        <v/>
      </c>
      <c r="E95" s="13"/>
      <c r="F95" s="10"/>
      <c r="G95" s="10"/>
      <c r="H95" s="10"/>
    </row>
    <row r="96" customFormat="false" ht="15" hidden="false" customHeight="false" outlineLevel="0" collapsed="false">
      <c r="A96" s="10"/>
      <c r="B96" s="12"/>
      <c r="C96" s="10"/>
      <c r="D96" s="14" t="str">
        <f aca="false">IFERROR(IF(C96="","",INDEX(Products!$C$5:$C$504,MATCH(C96,Products!$A$5:$A$504,0))),"")</f>
        <v/>
      </c>
      <c r="E96" s="13"/>
      <c r="F96" s="10"/>
      <c r="G96" s="10"/>
      <c r="H96" s="10"/>
    </row>
    <row r="97" customFormat="false" ht="15" hidden="false" customHeight="false" outlineLevel="0" collapsed="false">
      <c r="A97" s="10"/>
      <c r="B97" s="12"/>
      <c r="C97" s="10"/>
      <c r="D97" s="14" t="str">
        <f aca="false">IFERROR(IF(C97="","",INDEX(Products!$C$5:$C$504,MATCH(C97,Products!$A$5:$A$504,0))),"")</f>
        <v/>
      </c>
      <c r="E97" s="13"/>
      <c r="F97" s="10"/>
      <c r="G97" s="10"/>
      <c r="H97" s="10"/>
    </row>
    <row r="98" customFormat="false" ht="15" hidden="false" customHeight="false" outlineLevel="0" collapsed="false">
      <c r="A98" s="10"/>
      <c r="B98" s="12"/>
      <c r="C98" s="10"/>
      <c r="D98" s="14" t="str">
        <f aca="false">IFERROR(IF(C98="","",INDEX(Products!$C$5:$C$504,MATCH(C98,Products!$A$5:$A$504,0))),"")</f>
        <v/>
      </c>
      <c r="E98" s="13"/>
      <c r="F98" s="10"/>
      <c r="G98" s="10"/>
      <c r="H98" s="10"/>
    </row>
    <row r="99" customFormat="false" ht="15" hidden="false" customHeight="false" outlineLevel="0" collapsed="false">
      <c r="A99" s="10"/>
      <c r="B99" s="12"/>
      <c r="C99" s="10"/>
      <c r="D99" s="14" t="str">
        <f aca="false">IFERROR(IF(C99="","",INDEX(Products!$C$5:$C$504,MATCH(C99,Products!$A$5:$A$504,0))),"")</f>
        <v/>
      </c>
      <c r="E99" s="13"/>
      <c r="F99" s="10"/>
      <c r="G99" s="10"/>
      <c r="H99" s="10"/>
    </row>
    <row r="100" customFormat="false" ht="15" hidden="false" customHeight="false" outlineLevel="0" collapsed="false">
      <c r="A100" s="10"/>
      <c r="B100" s="12"/>
      <c r="C100" s="10"/>
      <c r="D100" s="14" t="str">
        <f aca="false">IFERROR(IF(C100="","",INDEX(Products!$C$5:$C$504,MATCH(C100,Products!$A$5:$A$504,0))),"")</f>
        <v/>
      </c>
      <c r="E100" s="13"/>
      <c r="F100" s="10"/>
      <c r="G100" s="10"/>
      <c r="H100" s="10"/>
    </row>
    <row r="101" customFormat="false" ht="15" hidden="false" customHeight="false" outlineLevel="0" collapsed="false">
      <c r="A101" s="10"/>
      <c r="B101" s="12"/>
      <c r="C101" s="10"/>
      <c r="D101" s="14" t="str">
        <f aca="false">IFERROR(IF(C101="","",INDEX(Products!$C$5:$C$504,MATCH(C101,Products!$A$5:$A$504,0))),"")</f>
        <v/>
      </c>
      <c r="E101" s="13"/>
      <c r="F101" s="10"/>
      <c r="G101" s="10"/>
      <c r="H101" s="10"/>
    </row>
    <row r="102" customFormat="false" ht="15" hidden="false" customHeight="false" outlineLevel="0" collapsed="false">
      <c r="A102" s="10"/>
      <c r="B102" s="12"/>
      <c r="C102" s="10"/>
      <c r="D102" s="14" t="str">
        <f aca="false">IFERROR(IF(C102="","",INDEX(Products!$C$5:$C$504,MATCH(C102,Products!$A$5:$A$504,0))),"")</f>
        <v/>
      </c>
      <c r="E102" s="13"/>
      <c r="F102" s="10"/>
      <c r="G102" s="10"/>
      <c r="H102" s="10"/>
    </row>
    <row r="103" customFormat="false" ht="15" hidden="false" customHeight="false" outlineLevel="0" collapsed="false">
      <c r="A103" s="10"/>
      <c r="B103" s="12"/>
      <c r="C103" s="10"/>
      <c r="D103" s="14" t="str">
        <f aca="false">IFERROR(IF(C103="","",INDEX(Products!$C$5:$C$504,MATCH(C103,Products!$A$5:$A$504,0))),"")</f>
        <v/>
      </c>
      <c r="E103" s="13"/>
      <c r="F103" s="10"/>
      <c r="G103" s="10"/>
      <c r="H103" s="10"/>
    </row>
    <row r="104" customFormat="false" ht="15" hidden="false" customHeight="false" outlineLevel="0" collapsed="false">
      <c r="A104" s="10"/>
      <c r="B104" s="12"/>
      <c r="C104" s="10"/>
      <c r="D104" s="14" t="str">
        <f aca="false">IFERROR(IF(C104="","",INDEX(Products!$C$5:$C$504,MATCH(C104,Products!$A$5:$A$504,0))),"")</f>
        <v/>
      </c>
      <c r="E104" s="13"/>
      <c r="F104" s="10"/>
      <c r="G104" s="10"/>
      <c r="H104" s="10"/>
    </row>
    <row r="105" customFormat="false" ht="15" hidden="false" customHeight="false" outlineLevel="0" collapsed="false">
      <c r="A105" s="10"/>
      <c r="B105" s="12"/>
      <c r="C105" s="10"/>
      <c r="D105" s="14" t="str">
        <f aca="false">IFERROR(IF(C105="","",INDEX(Products!$C$5:$C$504,MATCH(C105,Products!$A$5:$A$504,0))),"")</f>
        <v/>
      </c>
      <c r="E105" s="13"/>
      <c r="F105" s="10"/>
      <c r="G105" s="10"/>
      <c r="H105" s="10"/>
    </row>
    <row r="106" customFormat="false" ht="15" hidden="false" customHeight="false" outlineLevel="0" collapsed="false">
      <c r="A106" s="10"/>
      <c r="B106" s="12"/>
      <c r="C106" s="10"/>
      <c r="D106" s="14" t="str">
        <f aca="false">IFERROR(IF(C106="","",INDEX(Products!$C$5:$C$504,MATCH(C106,Products!$A$5:$A$504,0))),"")</f>
        <v/>
      </c>
      <c r="E106" s="13"/>
      <c r="F106" s="10"/>
      <c r="G106" s="10"/>
      <c r="H106" s="10"/>
    </row>
    <row r="107" customFormat="false" ht="15" hidden="false" customHeight="false" outlineLevel="0" collapsed="false">
      <c r="A107" s="10"/>
      <c r="B107" s="12"/>
      <c r="C107" s="10"/>
      <c r="D107" s="14" t="str">
        <f aca="false">IFERROR(IF(C107="","",INDEX(Products!$C$5:$C$504,MATCH(C107,Products!$A$5:$A$504,0))),"")</f>
        <v/>
      </c>
      <c r="E107" s="13"/>
      <c r="F107" s="10"/>
      <c r="G107" s="10"/>
      <c r="H107" s="10"/>
    </row>
    <row r="108" customFormat="false" ht="15" hidden="false" customHeight="false" outlineLevel="0" collapsed="false">
      <c r="A108" s="10"/>
      <c r="B108" s="12"/>
      <c r="C108" s="10"/>
      <c r="D108" s="14" t="str">
        <f aca="false">IFERROR(IF(C108="","",INDEX(Products!$C$5:$C$504,MATCH(C108,Products!$A$5:$A$504,0))),"")</f>
        <v/>
      </c>
      <c r="E108" s="13"/>
      <c r="F108" s="10"/>
      <c r="G108" s="10"/>
      <c r="H108" s="10"/>
    </row>
    <row r="109" customFormat="false" ht="15" hidden="false" customHeight="false" outlineLevel="0" collapsed="false">
      <c r="A109" s="10"/>
      <c r="B109" s="12"/>
      <c r="C109" s="10"/>
      <c r="D109" s="14" t="str">
        <f aca="false">IFERROR(IF(C109="","",INDEX(Products!$C$5:$C$504,MATCH(C109,Products!$A$5:$A$504,0))),"")</f>
        <v/>
      </c>
      <c r="E109" s="13"/>
      <c r="F109" s="10"/>
      <c r="G109" s="10"/>
      <c r="H109" s="10"/>
    </row>
    <row r="110" customFormat="false" ht="15" hidden="false" customHeight="false" outlineLevel="0" collapsed="false">
      <c r="A110" s="10"/>
      <c r="B110" s="12"/>
      <c r="C110" s="10"/>
      <c r="D110" s="14" t="str">
        <f aca="false">IFERROR(IF(C110="","",INDEX(Products!$C$5:$C$504,MATCH(C110,Products!$A$5:$A$504,0))),"")</f>
        <v/>
      </c>
      <c r="E110" s="13"/>
      <c r="F110" s="10"/>
      <c r="G110" s="10"/>
      <c r="H110" s="10"/>
    </row>
    <row r="111" customFormat="false" ht="15" hidden="false" customHeight="false" outlineLevel="0" collapsed="false">
      <c r="A111" s="10"/>
      <c r="B111" s="12"/>
      <c r="C111" s="10"/>
      <c r="D111" s="14" t="str">
        <f aca="false">IFERROR(IF(C111="","",INDEX(Products!$C$5:$C$504,MATCH(C111,Products!$A$5:$A$504,0))),"")</f>
        <v/>
      </c>
      <c r="E111" s="13"/>
      <c r="F111" s="10"/>
      <c r="G111" s="10"/>
      <c r="H111" s="10"/>
    </row>
    <row r="112" customFormat="false" ht="15" hidden="false" customHeight="false" outlineLevel="0" collapsed="false">
      <c r="A112" s="10"/>
      <c r="B112" s="12"/>
      <c r="C112" s="10"/>
      <c r="D112" s="14" t="str">
        <f aca="false">IFERROR(IF(C112="","",INDEX(Products!$C$5:$C$504,MATCH(C112,Products!$A$5:$A$504,0))),"")</f>
        <v/>
      </c>
      <c r="E112" s="13"/>
      <c r="F112" s="10"/>
      <c r="G112" s="10"/>
      <c r="H112" s="10"/>
    </row>
    <row r="113" customFormat="false" ht="15" hidden="false" customHeight="false" outlineLevel="0" collapsed="false">
      <c r="A113" s="10"/>
      <c r="B113" s="12"/>
      <c r="C113" s="10"/>
      <c r="D113" s="14" t="str">
        <f aca="false">IFERROR(IF(C113="","",INDEX(Products!$C$5:$C$504,MATCH(C113,Products!$A$5:$A$504,0))),"")</f>
        <v/>
      </c>
      <c r="E113" s="13"/>
      <c r="F113" s="10"/>
      <c r="G113" s="10"/>
      <c r="H113" s="10"/>
    </row>
    <row r="114" customFormat="false" ht="15" hidden="false" customHeight="false" outlineLevel="0" collapsed="false">
      <c r="A114" s="10"/>
      <c r="B114" s="12"/>
      <c r="C114" s="10"/>
      <c r="D114" s="14" t="str">
        <f aca="false">IFERROR(IF(C114="","",INDEX(Products!$C$5:$C$504,MATCH(C114,Products!$A$5:$A$504,0))),"")</f>
        <v/>
      </c>
      <c r="E114" s="13"/>
      <c r="F114" s="10"/>
      <c r="G114" s="10"/>
      <c r="H114" s="10"/>
    </row>
    <row r="115" customFormat="false" ht="15" hidden="false" customHeight="false" outlineLevel="0" collapsed="false">
      <c r="A115" s="10"/>
      <c r="B115" s="12"/>
      <c r="C115" s="10"/>
      <c r="D115" s="14" t="str">
        <f aca="false">IFERROR(IF(C115="","",INDEX(Products!$C$5:$C$504,MATCH(C115,Products!$A$5:$A$504,0))),"")</f>
        <v/>
      </c>
      <c r="E115" s="13"/>
      <c r="F115" s="10"/>
      <c r="G115" s="10"/>
      <c r="H115" s="10"/>
    </row>
    <row r="116" customFormat="false" ht="15" hidden="false" customHeight="false" outlineLevel="0" collapsed="false">
      <c r="A116" s="10"/>
      <c r="B116" s="12"/>
      <c r="C116" s="10"/>
      <c r="D116" s="14" t="str">
        <f aca="false">IFERROR(IF(C116="","",INDEX(Products!$C$5:$C$504,MATCH(C116,Products!$A$5:$A$504,0))),"")</f>
        <v/>
      </c>
      <c r="E116" s="13"/>
      <c r="F116" s="10"/>
      <c r="G116" s="10"/>
      <c r="H116" s="10"/>
    </row>
    <row r="117" customFormat="false" ht="15" hidden="false" customHeight="false" outlineLevel="0" collapsed="false">
      <c r="A117" s="10"/>
      <c r="B117" s="12"/>
      <c r="C117" s="10"/>
      <c r="D117" s="14" t="str">
        <f aca="false">IFERROR(IF(C117="","",INDEX(Products!$C$5:$C$504,MATCH(C117,Products!$A$5:$A$504,0))),"")</f>
        <v/>
      </c>
      <c r="E117" s="13"/>
      <c r="F117" s="10"/>
      <c r="G117" s="10"/>
      <c r="H117" s="10"/>
    </row>
    <row r="118" customFormat="false" ht="15" hidden="false" customHeight="false" outlineLevel="0" collapsed="false">
      <c r="A118" s="10"/>
      <c r="B118" s="12"/>
      <c r="C118" s="10"/>
      <c r="D118" s="14" t="str">
        <f aca="false">IFERROR(IF(C118="","",INDEX(Products!$C$5:$C$504,MATCH(C118,Products!$A$5:$A$504,0))),"")</f>
        <v/>
      </c>
      <c r="E118" s="13"/>
      <c r="F118" s="10"/>
      <c r="G118" s="10"/>
      <c r="H118" s="10"/>
    </row>
    <row r="119" customFormat="false" ht="15" hidden="false" customHeight="false" outlineLevel="0" collapsed="false">
      <c r="A119" s="10"/>
      <c r="B119" s="12"/>
      <c r="C119" s="10"/>
      <c r="D119" s="14" t="str">
        <f aca="false">IFERROR(IF(C119="","",INDEX(Products!$C$5:$C$504,MATCH(C119,Products!$A$5:$A$504,0))),"")</f>
        <v/>
      </c>
      <c r="E119" s="13"/>
      <c r="F119" s="10"/>
      <c r="G119" s="10"/>
      <c r="H119" s="10"/>
    </row>
    <row r="120" customFormat="false" ht="15" hidden="false" customHeight="false" outlineLevel="0" collapsed="false">
      <c r="A120" s="10"/>
      <c r="B120" s="12"/>
      <c r="C120" s="10"/>
      <c r="D120" s="14" t="str">
        <f aca="false">IFERROR(IF(C120="","",INDEX(Products!$C$5:$C$504,MATCH(C120,Products!$A$5:$A$504,0))),"")</f>
        <v/>
      </c>
      <c r="E120" s="13"/>
      <c r="F120" s="10"/>
      <c r="G120" s="10"/>
      <c r="H120" s="10"/>
    </row>
    <row r="121" customFormat="false" ht="15" hidden="false" customHeight="false" outlineLevel="0" collapsed="false">
      <c r="A121" s="10"/>
      <c r="B121" s="12"/>
      <c r="C121" s="10"/>
      <c r="D121" s="14" t="str">
        <f aca="false">IFERROR(IF(C121="","",INDEX(Products!$C$5:$C$504,MATCH(C121,Products!$A$5:$A$504,0))),"")</f>
        <v/>
      </c>
      <c r="E121" s="13"/>
      <c r="F121" s="10"/>
      <c r="G121" s="10"/>
      <c r="H121" s="10"/>
    </row>
    <row r="122" customFormat="false" ht="15" hidden="false" customHeight="false" outlineLevel="0" collapsed="false">
      <c r="A122" s="10"/>
      <c r="B122" s="12"/>
      <c r="C122" s="10"/>
      <c r="D122" s="14" t="str">
        <f aca="false">IFERROR(IF(C122="","",INDEX(Products!$C$5:$C$504,MATCH(C122,Products!$A$5:$A$504,0))),"")</f>
        <v/>
      </c>
      <c r="E122" s="13"/>
      <c r="F122" s="10"/>
      <c r="G122" s="10"/>
      <c r="H122" s="10"/>
    </row>
    <row r="123" customFormat="false" ht="15" hidden="false" customHeight="false" outlineLevel="0" collapsed="false">
      <c r="A123" s="10"/>
      <c r="B123" s="12"/>
      <c r="C123" s="10"/>
      <c r="D123" s="14" t="str">
        <f aca="false">IFERROR(IF(C123="","",INDEX(Products!$C$5:$C$504,MATCH(C123,Products!$A$5:$A$504,0))),"")</f>
        <v/>
      </c>
      <c r="E123" s="13"/>
      <c r="F123" s="10"/>
      <c r="G123" s="10"/>
      <c r="H123" s="10"/>
    </row>
    <row r="124" customFormat="false" ht="15" hidden="false" customHeight="false" outlineLevel="0" collapsed="false">
      <c r="A124" s="10"/>
      <c r="B124" s="12"/>
      <c r="C124" s="10"/>
      <c r="D124" s="14" t="str">
        <f aca="false">IFERROR(IF(C124="","",INDEX(Products!$C$5:$C$504,MATCH(C124,Products!$A$5:$A$504,0))),"")</f>
        <v/>
      </c>
      <c r="E124" s="13"/>
      <c r="F124" s="10"/>
      <c r="G124" s="10"/>
      <c r="H124" s="10"/>
    </row>
    <row r="125" customFormat="false" ht="15" hidden="false" customHeight="false" outlineLevel="0" collapsed="false">
      <c r="A125" s="10"/>
      <c r="B125" s="12"/>
      <c r="C125" s="10"/>
      <c r="D125" s="14" t="str">
        <f aca="false">IFERROR(IF(C125="","",INDEX(Products!$C$5:$C$504,MATCH(C125,Products!$A$5:$A$504,0))),"")</f>
        <v/>
      </c>
      <c r="E125" s="13"/>
      <c r="F125" s="10"/>
      <c r="G125" s="10"/>
      <c r="H125" s="10"/>
    </row>
    <row r="126" customFormat="false" ht="15" hidden="false" customHeight="false" outlineLevel="0" collapsed="false">
      <c r="A126" s="10"/>
      <c r="B126" s="12"/>
      <c r="C126" s="10"/>
      <c r="D126" s="14" t="str">
        <f aca="false">IFERROR(IF(C126="","",INDEX(Products!$C$5:$C$504,MATCH(C126,Products!$A$5:$A$504,0))),"")</f>
        <v/>
      </c>
      <c r="E126" s="13"/>
      <c r="F126" s="10"/>
      <c r="G126" s="10"/>
      <c r="H126" s="10"/>
    </row>
    <row r="127" customFormat="false" ht="15" hidden="false" customHeight="false" outlineLevel="0" collapsed="false">
      <c r="A127" s="10"/>
      <c r="B127" s="12"/>
      <c r="C127" s="10"/>
      <c r="D127" s="14" t="str">
        <f aca="false">IFERROR(IF(C127="","",INDEX(Products!$C$5:$C$504,MATCH(C127,Products!$A$5:$A$504,0))),"")</f>
        <v/>
      </c>
      <c r="E127" s="13"/>
      <c r="F127" s="10"/>
      <c r="G127" s="10"/>
      <c r="H127" s="10"/>
    </row>
    <row r="128" customFormat="false" ht="15" hidden="false" customHeight="false" outlineLevel="0" collapsed="false">
      <c r="A128" s="10"/>
      <c r="B128" s="12"/>
      <c r="C128" s="10"/>
      <c r="D128" s="14" t="str">
        <f aca="false">IFERROR(IF(C128="","",INDEX(Products!$C$5:$C$504,MATCH(C128,Products!$A$5:$A$504,0))),"")</f>
        <v/>
      </c>
      <c r="E128" s="13"/>
      <c r="F128" s="10"/>
      <c r="G128" s="10"/>
      <c r="H128" s="10"/>
    </row>
    <row r="129" customFormat="false" ht="15" hidden="false" customHeight="false" outlineLevel="0" collapsed="false">
      <c r="A129" s="10"/>
      <c r="B129" s="12"/>
      <c r="C129" s="10"/>
      <c r="D129" s="14" t="str">
        <f aca="false">IFERROR(IF(C129="","",INDEX(Products!$C$5:$C$504,MATCH(C129,Products!$A$5:$A$504,0))),"")</f>
        <v/>
      </c>
      <c r="E129" s="13"/>
      <c r="F129" s="10"/>
      <c r="G129" s="10"/>
      <c r="H129" s="10"/>
    </row>
    <row r="130" customFormat="false" ht="15" hidden="false" customHeight="false" outlineLevel="0" collapsed="false">
      <c r="A130" s="10"/>
      <c r="B130" s="12"/>
      <c r="C130" s="10"/>
      <c r="D130" s="14" t="str">
        <f aca="false">IFERROR(IF(C130="","",INDEX(Products!$C$5:$C$504,MATCH(C130,Products!$A$5:$A$504,0))),"")</f>
        <v/>
      </c>
      <c r="E130" s="13"/>
      <c r="F130" s="10"/>
      <c r="G130" s="10"/>
      <c r="H130" s="10"/>
    </row>
    <row r="131" customFormat="false" ht="15" hidden="false" customHeight="false" outlineLevel="0" collapsed="false">
      <c r="A131" s="10"/>
      <c r="B131" s="12"/>
      <c r="C131" s="10"/>
      <c r="D131" s="14" t="str">
        <f aca="false">IFERROR(IF(C131="","",INDEX(Products!$C$5:$C$504,MATCH(C131,Products!$A$5:$A$504,0))),"")</f>
        <v/>
      </c>
      <c r="E131" s="13"/>
      <c r="F131" s="10"/>
      <c r="G131" s="10"/>
      <c r="H131" s="10"/>
    </row>
    <row r="132" customFormat="false" ht="15" hidden="false" customHeight="false" outlineLevel="0" collapsed="false">
      <c r="A132" s="10"/>
      <c r="B132" s="12"/>
      <c r="C132" s="10"/>
      <c r="D132" s="14" t="str">
        <f aca="false">IFERROR(IF(C132="","",INDEX(Products!$C$5:$C$504,MATCH(C132,Products!$A$5:$A$504,0))),"")</f>
        <v/>
      </c>
      <c r="E132" s="13"/>
      <c r="F132" s="10"/>
      <c r="G132" s="10"/>
      <c r="H132" s="10"/>
    </row>
    <row r="133" customFormat="false" ht="15" hidden="false" customHeight="false" outlineLevel="0" collapsed="false">
      <c r="A133" s="10"/>
      <c r="B133" s="12"/>
      <c r="C133" s="10"/>
      <c r="D133" s="14" t="str">
        <f aca="false">IFERROR(IF(C133="","",INDEX(Products!$C$5:$C$504,MATCH(C133,Products!$A$5:$A$504,0))),"")</f>
        <v/>
      </c>
      <c r="E133" s="13"/>
      <c r="F133" s="10"/>
      <c r="G133" s="10"/>
      <c r="H133" s="10"/>
    </row>
    <row r="134" customFormat="false" ht="15" hidden="false" customHeight="false" outlineLevel="0" collapsed="false">
      <c r="A134" s="10"/>
      <c r="B134" s="12"/>
      <c r="C134" s="10"/>
      <c r="D134" s="14" t="str">
        <f aca="false">IFERROR(IF(C134="","",INDEX(Products!$C$5:$C$504,MATCH(C134,Products!$A$5:$A$504,0))),"")</f>
        <v/>
      </c>
      <c r="E134" s="13"/>
      <c r="F134" s="10"/>
      <c r="G134" s="10"/>
      <c r="H134" s="10"/>
    </row>
    <row r="135" customFormat="false" ht="15" hidden="false" customHeight="false" outlineLevel="0" collapsed="false">
      <c r="A135" s="10"/>
      <c r="B135" s="12"/>
      <c r="C135" s="10"/>
      <c r="D135" s="14" t="str">
        <f aca="false">IFERROR(IF(C135="","",INDEX(Products!$C$5:$C$504,MATCH(C135,Products!$A$5:$A$504,0))),"")</f>
        <v/>
      </c>
      <c r="E135" s="13"/>
      <c r="F135" s="10"/>
      <c r="G135" s="10"/>
      <c r="H135" s="10"/>
    </row>
    <row r="136" customFormat="false" ht="15" hidden="false" customHeight="false" outlineLevel="0" collapsed="false">
      <c r="A136" s="10"/>
      <c r="B136" s="12"/>
      <c r="C136" s="10"/>
      <c r="D136" s="14" t="str">
        <f aca="false">IFERROR(IF(C136="","",INDEX(Products!$C$5:$C$504,MATCH(C136,Products!$A$5:$A$504,0))),"")</f>
        <v/>
      </c>
      <c r="E136" s="13"/>
      <c r="F136" s="10"/>
      <c r="G136" s="10"/>
      <c r="H136" s="10"/>
    </row>
    <row r="137" customFormat="false" ht="15" hidden="false" customHeight="false" outlineLevel="0" collapsed="false">
      <c r="A137" s="10"/>
      <c r="B137" s="12"/>
      <c r="C137" s="10"/>
      <c r="D137" s="14" t="str">
        <f aca="false">IFERROR(IF(C137="","",INDEX(Products!$C$5:$C$504,MATCH(C137,Products!$A$5:$A$504,0))),"")</f>
        <v/>
      </c>
      <c r="E137" s="13"/>
      <c r="F137" s="10"/>
      <c r="G137" s="10"/>
      <c r="H137" s="10"/>
    </row>
    <row r="138" customFormat="false" ht="15" hidden="false" customHeight="false" outlineLevel="0" collapsed="false">
      <c r="A138" s="10"/>
      <c r="B138" s="12"/>
      <c r="C138" s="10"/>
      <c r="D138" s="14" t="str">
        <f aca="false">IFERROR(IF(C138="","",INDEX(Products!$C$5:$C$504,MATCH(C138,Products!$A$5:$A$504,0))),"")</f>
        <v/>
      </c>
      <c r="E138" s="13"/>
      <c r="F138" s="10"/>
      <c r="G138" s="10"/>
      <c r="H138" s="10"/>
    </row>
    <row r="139" customFormat="false" ht="15" hidden="false" customHeight="false" outlineLevel="0" collapsed="false">
      <c r="A139" s="10"/>
      <c r="B139" s="12"/>
      <c r="C139" s="10"/>
      <c r="D139" s="14" t="str">
        <f aca="false">IFERROR(IF(C139="","",INDEX(Products!$C$5:$C$504,MATCH(C139,Products!$A$5:$A$504,0))),"")</f>
        <v/>
      </c>
      <c r="E139" s="13"/>
      <c r="F139" s="10"/>
      <c r="G139" s="10"/>
      <c r="H139" s="10"/>
    </row>
    <row r="140" customFormat="false" ht="15" hidden="false" customHeight="false" outlineLevel="0" collapsed="false">
      <c r="A140" s="10"/>
      <c r="B140" s="12"/>
      <c r="C140" s="10"/>
      <c r="D140" s="14" t="str">
        <f aca="false">IFERROR(IF(C140="","",INDEX(Products!$C$5:$C$504,MATCH(C140,Products!$A$5:$A$504,0))),"")</f>
        <v/>
      </c>
      <c r="E140" s="13"/>
      <c r="F140" s="10"/>
      <c r="G140" s="10"/>
      <c r="H140" s="10"/>
    </row>
    <row r="141" customFormat="false" ht="15" hidden="false" customHeight="false" outlineLevel="0" collapsed="false">
      <c r="A141" s="10"/>
      <c r="B141" s="12"/>
      <c r="C141" s="10"/>
      <c r="D141" s="14" t="str">
        <f aca="false">IFERROR(IF(C141="","",INDEX(Products!$C$5:$C$504,MATCH(C141,Products!$A$5:$A$504,0))),"")</f>
        <v/>
      </c>
      <c r="E141" s="13"/>
      <c r="F141" s="10"/>
      <c r="G141" s="10"/>
      <c r="H141" s="10"/>
    </row>
    <row r="142" customFormat="false" ht="15" hidden="false" customHeight="false" outlineLevel="0" collapsed="false">
      <c r="A142" s="10"/>
      <c r="B142" s="12"/>
      <c r="C142" s="10"/>
      <c r="D142" s="14" t="str">
        <f aca="false">IFERROR(IF(C142="","",INDEX(Products!$C$5:$C$504,MATCH(C142,Products!$A$5:$A$504,0))),"")</f>
        <v/>
      </c>
      <c r="E142" s="13"/>
      <c r="F142" s="10"/>
      <c r="G142" s="10"/>
      <c r="H142" s="10"/>
    </row>
    <row r="143" customFormat="false" ht="15" hidden="false" customHeight="false" outlineLevel="0" collapsed="false">
      <c r="A143" s="10"/>
      <c r="B143" s="12"/>
      <c r="C143" s="10"/>
      <c r="D143" s="14" t="str">
        <f aca="false">IFERROR(IF(C143="","",INDEX(Products!$C$5:$C$504,MATCH(C143,Products!$A$5:$A$504,0))),"")</f>
        <v/>
      </c>
      <c r="E143" s="13"/>
      <c r="F143" s="10"/>
      <c r="G143" s="10"/>
      <c r="H143" s="10"/>
    </row>
    <row r="144" customFormat="false" ht="15" hidden="false" customHeight="false" outlineLevel="0" collapsed="false">
      <c r="A144" s="10"/>
      <c r="B144" s="12"/>
      <c r="C144" s="10"/>
      <c r="D144" s="14" t="str">
        <f aca="false">IFERROR(IF(C144="","",INDEX(Products!$C$5:$C$504,MATCH(C144,Products!$A$5:$A$504,0))),"")</f>
        <v/>
      </c>
      <c r="E144" s="13"/>
      <c r="F144" s="10"/>
      <c r="G144" s="10"/>
      <c r="H144" s="10"/>
    </row>
    <row r="145" customFormat="false" ht="15" hidden="false" customHeight="false" outlineLevel="0" collapsed="false">
      <c r="A145" s="10"/>
      <c r="B145" s="12"/>
      <c r="C145" s="10"/>
      <c r="D145" s="14" t="str">
        <f aca="false">IFERROR(IF(C145="","",INDEX(Products!$C$5:$C$504,MATCH(C145,Products!$A$5:$A$504,0))),"")</f>
        <v/>
      </c>
      <c r="E145" s="13"/>
      <c r="F145" s="10"/>
      <c r="G145" s="10"/>
      <c r="H145" s="10"/>
    </row>
    <row r="146" customFormat="false" ht="15" hidden="false" customHeight="false" outlineLevel="0" collapsed="false">
      <c r="A146" s="10"/>
      <c r="B146" s="12"/>
      <c r="C146" s="10"/>
      <c r="D146" s="14" t="str">
        <f aca="false">IFERROR(IF(C146="","",INDEX(Products!$C$5:$C$504,MATCH(C146,Products!$A$5:$A$504,0))),"")</f>
        <v/>
      </c>
      <c r="E146" s="13"/>
      <c r="F146" s="10"/>
      <c r="G146" s="10"/>
      <c r="H146" s="10"/>
    </row>
    <row r="147" customFormat="false" ht="15" hidden="false" customHeight="false" outlineLevel="0" collapsed="false">
      <c r="A147" s="10"/>
      <c r="B147" s="12"/>
      <c r="C147" s="10"/>
      <c r="D147" s="14" t="str">
        <f aca="false">IFERROR(IF(C147="","",INDEX(Products!$C$5:$C$504,MATCH(C147,Products!$A$5:$A$504,0))),"")</f>
        <v/>
      </c>
      <c r="E147" s="13"/>
      <c r="F147" s="10"/>
      <c r="G147" s="10"/>
      <c r="H147" s="10"/>
    </row>
    <row r="148" customFormat="false" ht="15" hidden="false" customHeight="false" outlineLevel="0" collapsed="false">
      <c r="A148" s="10"/>
      <c r="B148" s="12"/>
      <c r="C148" s="10"/>
      <c r="D148" s="14" t="str">
        <f aca="false">IFERROR(IF(C148="","",INDEX(Products!$C$5:$C$504,MATCH(C148,Products!$A$5:$A$504,0))),"")</f>
        <v/>
      </c>
      <c r="E148" s="13"/>
      <c r="F148" s="10"/>
      <c r="G148" s="10"/>
      <c r="H148" s="10"/>
    </row>
    <row r="149" customFormat="false" ht="15" hidden="false" customHeight="false" outlineLevel="0" collapsed="false">
      <c r="A149" s="10"/>
      <c r="B149" s="12"/>
      <c r="C149" s="10"/>
      <c r="D149" s="14" t="str">
        <f aca="false">IFERROR(IF(C149="","",INDEX(Products!$C$5:$C$504,MATCH(C149,Products!$A$5:$A$504,0))),"")</f>
        <v/>
      </c>
      <c r="E149" s="13"/>
      <c r="F149" s="10"/>
      <c r="G149" s="10"/>
      <c r="H149" s="10"/>
    </row>
    <row r="150" customFormat="false" ht="15" hidden="false" customHeight="false" outlineLevel="0" collapsed="false">
      <c r="A150" s="10"/>
      <c r="B150" s="12"/>
      <c r="C150" s="10"/>
      <c r="D150" s="14" t="str">
        <f aca="false">IFERROR(IF(C150="","",INDEX(Products!$C$5:$C$504,MATCH(C150,Products!$A$5:$A$504,0))),"")</f>
        <v/>
      </c>
      <c r="E150" s="13"/>
      <c r="F150" s="10"/>
      <c r="G150" s="10"/>
      <c r="H150" s="10"/>
    </row>
    <row r="151" customFormat="false" ht="15" hidden="false" customHeight="false" outlineLevel="0" collapsed="false">
      <c r="A151" s="10"/>
      <c r="B151" s="12"/>
      <c r="C151" s="10"/>
      <c r="D151" s="14" t="str">
        <f aca="false">IFERROR(IF(C151="","",INDEX(Products!$C$5:$C$504,MATCH(C151,Products!$A$5:$A$504,0))),"")</f>
        <v/>
      </c>
      <c r="E151" s="13"/>
      <c r="F151" s="10"/>
      <c r="G151" s="10"/>
      <c r="H151" s="10"/>
    </row>
    <row r="152" customFormat="false" ht="15" hidden="false" customHeight="false" outlineLevel="0" collapsed="false">
      <c r="A152" s="10"/>
      <c r="B152" s="12"/>
      <c r="C152" s="10"/>
      <c r="D152" s="14" t="str">
        <f aca="false">IFERROR(IF(C152="","",INDEX(Products!$C$5:$C$504,MATCH(C152,Products!$A$5:$A$504,0))),"")</f>
        <v/>
      </c>
      <c r="E152" s="13"/>
      <c r="F152" s="10"/>
      <c r="G152" s="10"/>
      <c r="H152" s="10"/>
    </row>
    <row r="153" customFormat="false" ht="15" hidden="false" customHeight="false" outlineLevel="0" collapsed="false">
      <c r="A153" s="10"/>
      <c r="B153" s="12"/>
      <c r="C153" s="10"/>
      <c r="D153" s="14" t="str">
        <f aca="false">IFERROR(IF(C153="","",INDEX(Products!$C$5:$C$504,MATCH(C153,Products!$A$5:$A$504,0))),"")</f>
        <v/>
      </c>
      <c r="E153" s="13"/>
      <c r="F153" s="10"/>
      <c r="G153" s="10"/>
      <c r="H153" s="10"/>
    </row>
    <row r="154" customFormat="false" ht="15" hidden="false" customHeight="false" outlineLevel="0" collapsed="false">
      <c r="A154" s="10"/>
      <c r="B154" s="12"/>
      <c r="C154" s="10"/>
      <c r="D154" s="14" t="str">
        <f aca="false">IFERROR(IF(C154="","",INDEX(Products!$C$5:$C$504,MATCH(C154,Products!$A$5:$A$504,0))),"")</f>
        <v/>
      </c>
      <c r="E154" s="13"/>
      <c r="F154" s="10"/>
      <c r="G154" s="10"/>
      <c r="H154" s="10"/>
    </row>
    <row r="155" customFormat="false" ht="15" hidden="false" customHeight="false" outlineLevel="0" collapsed="false">
      <c r="A155" s="10"/>
      <c r="B155" s="12"/>
      <c r="C155" s="10"/>
      <c r="D155" s="14" t="str">
        <f aca="false">IFERROR(IF(C155="","",INDEX(Products!$C$5:$C$504,MATCH(C155,Products!$A$5:$A$504,0))),"")</f>
        <v/>
      </c>
      <c r="E155" s="13"/>
      <c r="F155" s="10"/>
      <c r="G155" s="10"/>
      <c r="H155" s="10"/>
    </row>
    <row r="156" customFormat="false" ht="15" hidden="false" customHeight="false" outlineLevel="0" collapsed="false">
      <c r="A156" s="10"/>
      <c r="B156" s="12"/>
      <c r="C156" s="10"/>
      <c r="D156" s="14" t="str">
        <f aca="false">IFERROR(IF(C156="","",INDEX(Products!$C$5:$C$504,MATCH(C156,Products!$A$5:$A$504,0))),"")</f>
        <v/>
      </c>
      <c r="E156" s="13"/>
      <c r="F156" s="10"/>
      <c r="G156" s="10"/>
      <c r="H156" s="10"/>
    </row>
    <row r="157" customFormat="false" ht="15" hidden="false" customHeight="false" outlineLevel="0" collapsed="false">
      <c r="A157" s="10"/>
      <c r="B157" s="12"/>
      <c r="C157" s="10"/>
      <c r="D157" s="14" t="str">
        <f aca="false">IFERROR(IF(C157="","",INDEX(Products!$C$5:$C$504,MATCH(C157,Products!$A$5:$A$504,0))),"")</f>
        <v/>
      </c>
      <c r="E157" s="13"/>
      <c r="F157" s="10"/>
      <c r="G157" s="10"/>
      <c r="H157" s="10"/>
    </row>
    <row r="158" customFormat="false" ht="15" hidden="false" customHeight="false" outlineLevel="0" collapsed="false">
      <c r="A158" s="10"/>
      <c r="B158" s="12"/>
      <c r="C158" s="10"/>
      <c r="D158" s="14" t="str">
        <f aca="false">IFERROR(IF(C158="","",INDEX(Products!$C$5:$C$504,MATCH(C158,Products!$A$5:$A$504,0))),"")</f>
        <v/>
      </c>
      <c r="E158" s="13"/>
      <c r="F158" s="10"/>
      <c r="G158" s="10"/>
      <c r="H158" s="10"/>
    </row>
    <row r="159" customFormat="false" ht="15" hidden="false" customHeight="false" outlineLevel="0" collapsed="false">
      <c r="A159" s="10"/>
      <c r="B159" s="12"/>
      <c r="C159" s="10"/>
      <c r="D159" s="14" t="str">
        <f aca="false">IFERROR(IF(C159="","",INDEX(Products!$C$5:$C$504,MATCH(C159,Products!$A$5:$A$504,0))),"")</f>
        <v/>
      </c>
      <c r="E159" s="13"/>
      <c r="F159" s="10"/>
      <c r="G159" s="10"/>
      <c r="H159" s="10"/>
    </row>
    <row r="160" customFormat="false" ht="15" hidden="false" customHeight="false" outlineLevel="0" collapsed="false">
      <c r="A160" s="10"/>
      <c r="B160" s="12"/>
      <c r="C160" s="10"/>
      <c r="D160" s="14" t="str">
        <f aca="false">IFERROR(IF(C160="","",INDEX(Products!$C$5:$C$504,MATCH(C160,Products!$A$5:$A$504,0))),"")</f>
        <v/>
      </c>
      <c r="E160" s="13"/>
      <c r="F160" s="10"/>
      <c r="G160" s="10"/>
      <c r="H160" s="10"/>
    </row>
    <row r="161" customFormat="false" ht="15" hidden="false" customHeight="false" outlineLevel="0" collapsed="false">
      <c r="A161" s="10"/>
      <c r="B161" s="12"/>
      <c r="C161" s="10"/>
      <c r="D161" s="14" t="str">
        <f aca="false">IFERROR(IF(C161="","",INDEX(Products!$C$5:$C$504,MATCH(C161,Products!$A$5:$A$504,0))),"")</f>
        <v/>
      </c>
      <c r="E161" s="13"/>
      <c r="F161" s="10"/>
      <c r="G161" s="10"/>
      <c r="H161" s="10"/>
    </row>
    <row r="162" customFormat="false" ht="15" hidden="false" customHeight="false" outlineLevel="0" collapsed="false">
      <c r="A162" s="10"/>
      <c r="B162" s="12"/>
      <c r="C162" s="10"/>
      <c r="D162" s="14" t="str">
        <f aca="false">IFERROR(IF(C162="","",INDEX(Products!$C$5:$C$504,MATCH(C162,Products!$A$5:$A$504,0))),"")</f>
        <v/>
      </c>
      <c r="E162" s="13"/>
      <c r="F162" s="10"/>
      <c r="G162" s="10"/>
      <c r="H162" s="10"/>
    </row>
    <row r="163" customFormat="false" ht="15" hidden="false" customHeight="false" outlineLevel="0" collapsed="false">
      <c r="A163" s="10"/>
      <c r="B163" s="12"/>
      <c r="C163" s="10"/>
      <c r="D163" s="14" t="str">
        <f aca="false">IFERROR(IF(C163="","",INDEX(Products!$C$5:$C$504,MATCH(C163,Products!$A$5:$A$504,0))),"")</f>
        <v/>
      </c>
      <c r="E163" s="13"/>
      <c r="F163" s="10"/>
      <c r="G163" s="10"/>
      <c r="H163" s="10"/>
    </row>
    <row r="164" customFormat="false" ht="15" hidden="false" customHeight="false" outlineLevel="0" collapsed="false">
      <c r="A164" s="10"/>
      <c r="B164" s="12"/>
      <c r="C164" s="10"/>
      <c r="D164" s="14" t="str">
        <f aca="false">IFERROR(IF(C164="","",INDEX(Products!$C$5:$C$504,MATCH(C164,Products!$A$5:$A$504,0))),"")</f>
        <v/>
      </c>
      <c r="E164" s="13"/>
      <c r="F164" s="10"/>
      <c r="G164" s="10"/>
      <c r="H164" s="10"/>
    </row>
    <row r="165" customFormat="false" ht="15" hidden="false" customHeight="false" outlineLevel="0" collapsed="false">
      <c r="A165" s="10"/>
      <c r="B165" s="12"/>
      <c r="C165" s="10"/>
      <c r="D165" s="14" t="str">
        <f aca="false">IFERROR(IF(C165="","",INDEX(Products!$C$5:$C$504,MATCH(C165,Products!$A$5:$A$504,0))),"")</f>
        <v/>
      </c>
      <c r="E165" s="13"/>
      <c r="F165" s="10"/>
      <c r="G165" s="10"/>
      <c r="H165" s="10"/>
    </row>
    <row r="166" customFormat="false" ht="15" hidden="false" customHeight="false" outlineLevel="0" collapsed="false">
      <c r="A166" s="10"/>
      <c r="B166" s="12"/>
      <c r="C166" s="10"/>
      <c r="D166" s="14" t="str">
        <f aca="false">IFERROR(IF(C166="","",INDEX(Products!$C$5:$C$504,MATCH(C166,Products!$A$5:$A$504,0))),"")</f>
        <v/>
      </c>
      <c r="E166" s="13"/>
      <c r="F166" s="10"/>
      <c r="G166" s="10"/>
      <c r="H166" s="10"/>
    </row>
    <row r="167" customFormat="false" ht="15" hidden="false" customHeight="false" outlineLevel="0" collapsed="false">
      <c r="A167" s="10"/>
      <c r="B167" s="12"/>
      <c r="C167" s="10"/>
      <c r="D167" s="14" t="str">
        <f aca="false">IFERROR(IF(C167="","",INDEX(Products!$C$5:$C$504,MATCH(C167,Products!$A$5:$A$504,0))),"")</f>
        <v/>
      </c>
      <c r="E167" s="13"/>
      <c r="F167" s="10"/>
      <c r="G167" s="10"/>
      <c r="H167" s="10"/>
    </row>
    <row r="168" customFormat="false" ht="15" hidden="false" customHeight="false" outlineLevel="0" collapsed="false">
      <c r="A168" s="10"/>
      <c r="B168" s="12"/>
      <c r="C168" s="10"/>
      <c r="D168" s="14" t="str">
        <f aca="false">IFERROR(IF(C168="","",INDEX(Products!$C$5:$C$504,MATCH(C168,Products!$A$5:$A$504,0))),"")</f>
        <v/>
      </c>
      <c r="E168" s="13"/>
      <c r="F168" s="10"/>
      <c r="G168" s="10"/>
      <c r="H168" s="10"/>
    </row>
    <row r="169" customFormat="false" ht="15" hidden="false" customHeight="false" outlineLevel="0" collapsed="false">
      <c r="A169" s="10"/>
      <c r="B169" s="12"/>
      <c r="C169" s="10"/>
      <c r="D169" s="14" t="str">
        <f aca="false">IFERROR(IF(C169="","",INDEX(Products!$C$5:$C$504,MATCH(C169,Products!$A$5:$A$504,0))),"")</f>
        <v/>
      </c>
      <c r="E169" s="13"/>
      <c r="F169" s="10"/>
      <c r="G169" s="10"/>
      <c r="H169" s="10"/>
    </row>
    <row r="170" customFormat="false" ht="15" hidden="false" customHeight="false" outlineLevel="0" collapsed="false">
      <c r="A170" s="10"/>
      <c r="B170" s="12"/>
      <c r="C170" s="10"/>
      <c r="D170" s="14" t="str">
        <f aca="false">IFERROR(IF(C170="","",INDEX(Products!$C$5:$C$504,MATCH(C170,Products!$A$5:$A$504,0))),"")</f>
        <v/>
      </c>
      <c r="E170" s="13"/>
      <c r="F170" s="10"/>
      <c r="G170" s="10"/>
      <c r="H170" s="10"/>
    </row>
    <row r="171" customFormat="false" ht="15" hidden="false" customHeight="false" outlineLevel="0" collapsed="false">
      <c r="A171" s="10"/>
      <c r="B171" s="12"/>
      <c r="C171" s="10"/>
      <c r="D171" s="14" t="str">
        <f aca="false">IFERROR(IF(C171="","",INDEX(Products!$C$5:$C$504,MATCH(C171,Products!$A$5:$A$504,0))),"")</f>
        <v/>
      </c>
      <c r="E171" s="13"/>
      <c r="F171" s="10"/>
      <c r="G171" s="10"/>
      <c r="H171" s="10"/>
    </row>
    <row r="172" customFormat="false" ht="15" hidden="false" customHeight="false" outlineLevel="0" collapsed="false">
      <c r="A172" s="10"/>
      <c r="B172" s="12"/>
      <c r="C172" s="10"/>
      <c r="D172" s="14" t="str">
        <f aca="false">IFERROR(IF(C172="","",INDEX(Products!$C$5:$C$504,MATCH(C172,Products!$A$5:$A$504,0))),"")</f>
        <v/>
      </c>
      <c r="E172" s="13"/>
      <c r="F172" s="10"/>
      <c r="G172" s="10"/>
      <c r="H172" s="10"/>
    </row>
    <row r="173" customFormat="false" ht="15" hidden="false" customHeight="false" outlineLevel="0" collapsed="false">
      <c r="A173" s="10"/>
      <c r="B173" s="12"/>
      <c r="C173" s="10"/>
      <c r="D173" s="14" t="str">
        <f aca="false">IFERROR(IF(C173="","",INDEX(Products!$C$5:$C$504,MATCH(C173,Products!$A$5:$A$504,0))),"")</f>
        <v/>
      </c>
      <c r="E173" s="13"/>
      <c r="F173" s="10"/>
      <c r="G173" s="10"/>
      <c r="H173" s="10"/>
    </row>
    <row r="174" customFormat="false" ht="15" hidden="false" customHeight="false" outlineLevel="0" collapsed="false">
      <c r="A174" s="10"/>
      <c r="B174" s="12"/>
      <c r="C174" s="10"/>
      <c r="D174" s="14" t="str">
        <f aca="false">IFERROR(IF(C174="","",INDEX(Products!$C$5:$C$504,MATCH(C174,Products!$A$5:$A$504,0))),"")</f>
        <v/>
      </c>
      <c r="E174" s="13"/>
      <c r="F174" s="10"/>
      <c r="G174" s="10"/>
      <c r="H174" s="10"/>
    </row>
    <row r="175" customFormat="false" ht="15" hidden="false" customHeight="false" outlineLevel="0" collapsed="false">
      <c r="A175" s="10"/>
      <c r="B175" s="12"/>
      <c r="C175" s="10"/>
      <c r="D175" s="14" t="str">
        <f aca="false">IFERROR(IF(C175="","",INDEX(Products!$C$5:$C$504,MATCH(C175,Products!$A$5:$A$504,0))),"")</f>
        <v/>
      </c>
      <c r="E175" s="13"/>
      <c r="F175" s="10"/>
      <c r="G175" s="10"/>
      <c r="H175" s="10"/>
    </row>
    <row r="176" customFormat="false" ht="15" hidden="false" customHeight="false" outlineLevel="0" collapsed="false">
      <c r="A176" s="10"/>
      <c r="B176" s="12"/>
      <c r="C176" s="10"/>
      <c r="D176" s="14" t="str">
        <f aca="false">IFERROR(IF(C176="","",INDEX(Products!$C$5:$C$504,MATCH(C176,Products!$A$5:$A$504,0))),"")</f>
        <v/>
      </c>
      <c r="E176" s="13"/>
      <c r="F176" s="10"/>
      <c r="G176" s="10"/>
      <c r="H176" s="10"/>
    </row>
    <row r="177" customFormat="false" ht="15" hidden="false" customHeight="false" outlineLevel="0" collapsed="false">
      <c r="A177" s="10"/>
      <c r="B177" s="12"/>
      <c r="C177" s="10"/>
      <c r="D177" s="14" t="str">
        <f aca="false">IFERROR(IF(C177="","",INDEX(Products!$C$5:$C$504,MATCH(C177,Products!$A$5:$A$504,0))),"")</f>
        <v/>
      </c>
      <c r="E177" s="13"/>
      <c r="F177" s="10"/>
      <c r="G177" s="10"/>
      <c r="H177" s="10"/>
    </row>
    <row r="178" customFormat="false" ht="15" hidden="false" customHeight="false" outlineLevel="0" collapsed="false">
      <c r="A178" s="10"/>
      <c r="B178" s="12"/>
      <c r="C178" s="10"/>
      <c r="D178" s="14" t="str">
        <f aca="false">IFERROR(IF(C178="","",INDEX(Products!$C$5:$C$504,MATCH(C178,Products!$A$5:$A$504,0))),"")</f>
        <v/>
      </c>
      <c r="E178" s="13"/>
      <c r="F178" s="10"/>
      <c r="G178" s="10"/>
      <c r="H178" s="10"/>
    </row>
    <row r="179" customFormat="false" ht="15" hidden="false" customHeight="false" outlineLevel="0" collapsed="false">
      <c r="A179" s="10"/>
      <c r="B179" s="12"/>
      <c r="C179" s="10"/>
      <c r="D179" s="14" t="str">
        <f aca="false">IFERROR(IF(C179="","",INDEX(Products!$C$5:$C$504,MATCH(C179,Products!$A$5:$A$504,0))),"")</f>
        <v/>
      </c>
      <c r="E179" s="13"/>
      <c r="F179" s="10"/>
      <c r="G179" s="10"/>
      <c r="H179" s="10"/>
    </row>
    <row r="180" customFormat="false" ht="15" hidden="false" customHeight="false" outlineLevel="0" collapsed="false">
      <c r="A180" s="10"/>
      <c r="B180" s="12"/>
      <c r="C180" s="10"/>
      <c r="D180" s="14" t="str">
        <f aca="false">IFERROR(IF(C180="","",INDEX(Products!$C$5:$C$504,MATCH(C180,Products!$A$5:$A$504,0))),"")</f>
        <v/>
      </c>
      <c r="E180" s="13"/>
      <c r="F180" s="10"/>
      <c r="G180" s="10"/>
      <c r="H180" s="10"/>
    </row>
    <row r="181" customFormat="false" ht="15" hidden="false" customHeight="false" outlineLevel="0" collapsed="false">
      <c r="A181" s="10"/>
      <c r="B181" s="12"/>
      <c r="C181" s="10"/>
      <c r="D181" s="14" t="str">
        <f aca="false">IFERROR(IF(C181="","",INDEX(Products!$C$5:$C$504,MATCH(C181,Products!$A$5:$A$504,0))),"")</f>
        <v/>
      </c>
      <c r="E181" s="13"/>
      <c r="F181" s="10"/>
      <c r="G181" s="10"/>
      <c r="H181" s="10"/>
    </row>
    <row r="182" customFormat="false" ht="15" hidden="false" customHeight="false" outlineLevel="0" collapsed="false">
      <c r="A182" s="10"/>
      <c r="B182" s="12"/>
      <c r="C182" s="10"/>
      <c r="D182" s="14" t="str">
        <f aca="false">IFERROR(IF(C182="","",INDEX(Products!$C$5:$C$504,MATCH(C182,Products!$A$5:$A$504,0))),"")</f>
        <v/>
      </c>
      <c r="E182" s="13"/>
      <c r="F182" s="10"/>
      <c r="G182" s="10"/>
      <c r="H182" s="10"/>
    </row>
    <row r="183" customFormat="false" ht="15" hidden="false" customHeight="false" outlineLevel="0" collapsed="false">
      <c r="A183" s="10"/>
      <c r="B183" s="12"/>
      <c r="C183" s="10"/>
      <c r="D183" s="14" t="str">
        <f aca="false">IFERROR(IF(C183="","",INDEX(Products!$C$5:$C$504,MATCH(C183,Products!$A$5:$A$504,0))),"")</f>
        <v/>
      </c>
      <c r="E183" s="13"/>
      <c r="F183" s="10"/>
      <c r="G183" s="10"/>
      <c r="H183" s="10"/>
    </row>
    <row r="184" customFormat="false" ht="15" hidden="false" customHeight="false" outlineLevel="0" collapsed="false">
      <c r="A184" s="10"/>
      <c r="B184" s="12"/>
      <c r="C184" s="10"/>
      <c r="D184" s="14" t="str">
        <f aca="false">IFERROR(IF(C184="","",INDEX(Products!$C$5:$C$504,MATCH(C184,Products!$A$5:$A$504,0))),"")</f>
        <v/>
      </c>
      <c r="E184" s="13"/>
      <c r="F184" s="10"/>
      <c r="G184" s="10"/>
      <c r="H184" s="10"/>
    </row>
    <row r="185" customFormat="false" ht="15" hidden="false" customHeight="false" outlineLevel="0" collapsed="false">
      <c r="A185" s="10"/>
      <c r="B185" s="12"/>
      <c r="C185" s="10"/>
      <c r="D185" s="14" t="str">
        <f aca="false">IFERROR(IF(C185="","",INDEX(Products!$C$5:$C$504,MATCH(C185,Products!$A$5:$A$504,0))),"")</f>
        <v/>
      </c>
      <c r="E185" s="13"/>
      <c r="F185" s="10"/>
      <c r="G185" s="10"/>
      <c r="H185" s="10"/>
    </row>
    <row r="186" customFormat="false" ht="15" hidden="false" customHeight="false" outlineLevel="0" collapsed="false">
      <c r="A186" s="10"/>
      <c r="B186" s="12"/>
      <c r="C186" s="10"/>
      <c r="D186" s="14" t="str">
        <f aca="false">IFERROR(IF(C186="","",INDEX(Products!$C$5:$C$504,MATCH(C186,Products!$A$5:$A$504,0))),"")</f>
        <v/>
      </c>
      <c r="E186" s="13"/>
      <c r="F186" s="10"/>
      <c r="G186" s="10"/>
      <c r="H186" s="10"/>
    </row>
    <row r="187" customFormat="false" ht="15" hidden="false" customHeight="false" outlineLevel="0" collapsed="false">
      <c r="A187" s="10"/>
      <c r="B187" s="12"/>
      <c r="C187" s="10"/>
      <c r="D187" s="14" t="str">
        <f aca="false">IFERROR(IF(C187="","",INDEX(Products!$C$5:$C$504,MATCH(C187,Products!$A$5:$A$504,0))),"")</f>
        <v/>
      </c>
      <c r="E187" s="13"/>
      <c r="F187" s="10"/>
      <c r="G187" s="10"/>
      <c r="H187" s="10"/>
    </row>
    <row r="188" customFormat="false" ht="15" hidden="false" customHeight="false" outlineLevel="0" collapsed="false">
      <c r="A188" s="10"/>
      <c r="B188" s="12"/>
      <c r="C188" s="10"/>
      <c r="D188" s="14" t="str">
        <f aca="false">IFERROR(IF(C188="","",INDEX(Products!$C$5:$C$504,MATCH(C188,Products!$A$5:$A$504,0))),"")</f>
        <v/>
      </c>
      <c r="E188" s="13"/>
      <c r="F188" s="10"/>
      <c r="G188" s="10"/>
      <c r="H188" s="10"/>
    </row>
    <row r="189" customFormat="false" ht="15" hidden="false" customHeight="false" outlineLevel="0" collapsed="false">
      <c r="A189" s="10"/>
      <c r="B189" s="12"/>
      <c r="C189" s="10"/>
      <c r="D189" s="14" t="str">
        <f aca="false">IFERROR(IF(C189="","",INDEX(Products!$C$5:$C$504,MATCH(C189,Products!$A$5:$A$504,0))),"")</f>
        <v/>
      </c>
      <c r="E189" s="13"/>
      <c r="F189" s="10"/>
      <c r="G189" s="10"/>
      <c r="H189" s="10"/>
    </row>
    <row r="190" customFormat="false" ht="15" hidden="false" customHeight="false" outlineLevel="0" collapsed="false">
      <c r="A190" s="10"/>
      <c r="B190" s="12"/>
      <c r="C190" s="10"/>
      <c r="D190" s="14" t="str">
        <f aca="false">IFERROR(IF(C190="","",INDEX(Products!$C$5:$C$504,MATCH(C190,Products!$A$5:$A$504,0))),"")</f>
        <v/>
      </c>
      <c r="E190" s="13"/>
      <c r="F190" s="10"/>
      <c r="G190" s="10"/>
      <c r="H190" s="10"/>
    </row>
    <row r="191" customFormat="false" ht="15" hidden="false" customHeight="false" outlineLevel="0" collapsed="false">
      <c r="A191" s="10"/>
      <c r="B191" s="12"/>
      <c r="C191" s="10"/>
      <c r="D191" s="14" t="str">
        <f aca="false">IFERROR(IF(C191="","",INDEX(Products!$C$5:$C$504,MATCH(C191,Products!$A$5:$A$504,0))),"")</f>
        <v/>
      </c>
      <c r="E191" s="13"/>
      <c r="F191" s="10"/>
      <c r="G191" s="10"/>
      <c r="H191" s="10"/>
    </row>
    <row r="192" customFormat="false" ht="15" hidden="false" customHeight="false" outlineLevel="0" collapsed="false">
      <c r="A192" s="10"/>
      <c r="B192" s="12"/>
      <c r="C192" s="10"/>
      <c r="D192" s="14" t="str">
        <f aca="false">IFERROR(IF(C192="","",INDEX(Products!$C$5:$C$504,MATCH(C192,Products!$A$5:$A$504,0))),"")</f>
        <v/>
      </c>
      <c r="E192" s="13"/>
      <c r="F192" s="10"/>
      <c r="G192" s="10"/>
      <c r="H192" s="10"/>
    </row>
    <row r="193" customFormat="false" ht="15" hidden="false" customHeight="false" outlineLevel="0" collapsed="false">
      <c r="A193" s="10"/>
      <c r="B193" s="12"/>
      <c r="C193" s="10"/>
      <c r="D193" s="14" t="str">
        <f aca="false">IFERROR(IF(C193="","",INDEX(Products!$C$5:$C$504,MATCH(C193,Products!$A$5:$A$504,0))),"")</f>
        <v/>
      </c>
      <c r="E193" s="13"/>
      <c r="F193" s="10"/>
      <c r="G193" s="10"/>
      <c r="H193" s="10"/>
    </row>
    <row r="194" customFormat="false" ht="15" hidden="false" customHeight="false" outlineLevel="0" collapsed="false">
      <c r="A194" s="10"/>
      <c r="B194" s="12"/>
      <c r="C194" s="10"/>
      <c r="D194" s="14" t="str">
        <f aca="false">IFERROR(IF(C194="","",INDEX(Products!$C$5:$C$504,MATCH(C194,Products!$A$5:$A$504,0))),"")</f>
        <v/>
      </c>
      <c r="E194" s="13"/>
      <c r="F194" s="10"/>
      <c r="G194" s="10"/>
      <c r="H194" s="10"/>
    </row>
    <row r="195" customFormat="false" ht="15" hidden="false" customHeight="false" outlineLevel="0" collapsed="false">
      <c r="A195" s="10"/>
      <c r="B195" s="12"/>
      <c r="C195" s="10"/>
      <c r="D195" s="14" t="str">
        <f aca="false">IFERROR(IF(C195="","",INDEX(Products!$C$5:$C$504,MATCH(C195,Products!$A$5:$A$504,0))),"")</f>
        <v/>
      </c>
      <c r="E195" s="13"/>
      <c r="F195" s="10"/>
      <c r="G195" s="10"/>
      <c r="H195" s="10"/>
    </row>
    <row r="196" customFormat="false" ht="15" hidden="false" customHeight="false" outlineLevel="0" collapsed="false">
      <c r="A196" s="10"/>
      <c r="B196" s="12"/>
      <c r="C196" s="10"/>
      <c r="D196" s="14" t="str">
        <f aca="false">IFERROR(IF(C196="","",INDEX(Products!$C$5:$C$504,MATCH(C196,Products!$A$5:$A$504,0))),"")</f>
        <v/>
      </c>
      <c r="E196" s="13"/>
      <c r="F196" s="10"/>
      <c r="G196" s="10"/>
      <c r="H196" s="10"/>
    </row>
    <row r="197" customFormat="false" ht="15" hidden="false" customHeight="false" outlineLevel="0" collapsed="false">
      <c r="A197" s="10"/>
      <c r="B197" s="12"/>
      <c r="C197" s="10"/>
      <c r="D197" s="14" t="str">
        <f aca="false">IFERROR(IF(C197="","",INDEX(Products!$C$5:$C$504,MATCH(C197,Products!$A$5:$A$504,0))),"")</f>
        <v/>
      </c>
      <c r="E197" s="13"/>
      <c r="F197" s="10"/>
      <c r="G197" s="10"/>
      <c r="H197" s="10"/>
    </row>
    <row r="198" customFormat="false" ht="15" hidden="false" customHeight="false" outlineLevel="0" collapsed="false">
      <c r="A198" s="10"/>
      <c r="B198" s="12"/>
      <c r="C198" s="10"/>
      <c r="D198" s="14" t="str">
        <f aca="false">IFERROR(IF(C198="","",INDEX(Products!$C$5:$C$504,MATCH(C198,Products!$A$5:$A$504,0))),"")</f>
        <v/>
      </c>
      <c r="E198" s="13"/>
      <c r="F198" s="10"/>
      <c r="G198" s="10"/>
      <c r="H198" s="10"/>
    </row>
    <row r="199" customFormat="false" ht="15" hidden="false" customHeight="false" outlineLevel="0" collapsed="false">
      <c r="A199" s="10"/>
      <c r="B199" s="12"/>
      <c r="C199" s="10"/>
      <c r="D199" s="14" t="str">
        <f aca="false">IFERROR(IF(C199="","",INDEX(Products!$C$5:$C$504,MATCH(C199,Products!$A$5:$A$504,0))),"")</f>
        <v/>
      </c>
      <c r="E199" s="13"/>
      <c r="F199" s="10"/>
      <c r="G199" s="10"/>
      <c r="H199" s="10"/>
    </row>
    <row r="200" customFormat="false" ht="15" hidden="false" customHeight="false" outlineLevel="0" collapsed="false">
      <c r="A200" s="10"/>
      <c r="B200" s="12"/>
      <c r="C200" s="10"/>
      <c r="D200" s="14" t="str">
        <f aca="false">IFERROR(IF(C200="","",INDEX(Products!$C$5:$C$504,MATCH(C200,Products!$A$5:$A$504,0))),"")</f>
        <v/>
      </c>
      <c r="E200" s="13"/>
      <c r="F200" s="10"/>
      <c r="G200" s="10"/>
      <c r="H200" s="10"/>
    </row>
    <row r="201" customFormat="false" ht="15" hidden="false" customHeight="false" outlineLevel="0" collapsed="false">
      <c r="A201" s="10"/>
      <c r="B201" s="12"/>
      <c r="C201" s="10"/>
      <c r="D201" s="14" t="str">
        <f aca="false">IFERROR(IF(C201="","",INDEX(Products!$C$5:$C$504,MATCH(C201,Products!$A$5:$A$504,0))),"")</f>
        <v/>
      </c>
      <c r="E201" s="13"/>
      <c r="F201" s="10"/>
      <c r="G201" s="10"/>
      <c r="H201" s="10"/>
    </row>
    <row r="202" customFormat="false" ht="15" hidden="false" customHeight="false" outlineLevel="0" collapsed="false">
      <c r="A202" s="10"/>
      <c r="B202" s="12"/>
      <c r="C202" s="10"/>
      <c r="D202" s="14" t="str">
        <f aca="false">IFERROR(IF(C202="","",INDEX(Products!$C$5:$C$504,MATCH(C202,Products!$A$5:$A$504,0))),"")</f>
        <v/>
      </c>
      <c r="E202" s="13"/>
      <c r="F202" s="10"/>
      <c r="G202" s="10"/>
      <c r="H202" s="10"/>
    </row>
    <row r="203" customFormat="false" ht="15" hidden="false" customHeight="false" outlineLevel="0" collapsed="false">
      <c r="A203" s="10"/>
      <c r="B203" s="12"/>
      <c r="C203" s="10"/>
      <c r="D203" s="14" t="str">
        <f aca="false">IFERROR(IF(C203="","",INDEX(Products!$C$5:$C$504,MATCH(C203,Products!$A$5:$A$504,0))),"")</f>
        <v/>
      </c>
      <c r="E203" s="13"/>
      <c r="F203" s="10"/>
      <c r="G203" s="10"/>
      <c r="H203" s="10"/>
    </row>
    <row r="204" customFormat="false" ht="15" hidden="false" customHeight="false" outlineLevel="0" collapsed="false">
      <c r="A204" s="10"/>
      <c r="B204" s="12"/>
      <c r="C204" s="10"/>
      <c r="D204" s="14" t="str">
        <f aca="false">IFERROR(IF(C204="","",INDEX(Products!$C$5:$C$504,MATCH(C204,Products!$A$5:$A$504,0))),"")</f>
        <v/>
      </c>
      <c r="E204" s="13"/>
      <c r="F204" s="10"/>
      <c r="G204" s="10"/>
      <c r="H204" s="10"/>
    </row>
    <row r="205" customFormat="false" ht="15" hidden="false" customHeight="false" outlineLevel="0" collapsed="false">
      <c r="A205" s="10"/>
      <c r="B205" s="12"/>
      <c r="C205" s="10"/>
      <c r="D205" s="14" t="str">
        <f aca="false">IFERROR(IF(C205="","",INDEX(Products!$C$5:$C$504,MATCH(C205,Products!$A$5:$A$504,0))),"")</f>
        <v/>
      </c>
      <c r="E205" s="13"/>
      <c r="F205" s="10"/>
      <c r="G205" s="10"/>
      <c r="H205" s="10"/>
    </row>
    <row r="206" customFormat="false" ht="15" hidden="false" customHeight="false" outlineLevel="0" collapsed="false">
      <c r="A206" s="10"/>
      <c r="B206" s="12"/>
      <c r="C206" s="10"/>
      <c r="D206" s="14" t="str">
        <f aca="false">IFERROR(IF(C206="","",INDEX(Products!$C$5:$C$504,MATCH(C206,Products!$A$5:$A$504,0))),"")</f>
        <v/>
      </c>
      <c r="E206" s="13"/>
      <c r="F206" s="10"/>
      <c r="G206" s="10"/>
      <c r="H206" s="10"/>
    </row>
    <row r="207" customFormat="false" ht="15" hidden="false" customHeight="false" outlineLevel="0" collapsed="false">
      <c r="A207" s="10"/>
      <c r="B207" s="12"/>
      <c r="C207" s="10"/>
      <c r="D207" s="14" t="str">
        <f aca="false">IFERROR(IF(C207="","",INDEX(Products!$C$5:$C$504,MATCH(C207,Products!$A$5:$A$504,0))),"")</f>
        <v/>
      </c>
      <c r="E207" s="13"/>
      <c r="F207" s="10"/>
      <c r="G207" s="10"/>
      <c r="H207" s="10"/>
    </row>
    <row r="208" customFormat="false" ht="15" hidden="false" customHeight="false" outlineLevel="0" collapsed="false">
      <c r="A208" s="10"/>
      <c r="B208" s="12"/>
      <c r="C208" s="10"/>
      <c r="D208" s="14" t="str">
        <f aca="false">IFERROR(IF(C208="","",INDEX(Products!$C$5:$C$504,MATCH(C208,Products!$A$5:$A$504,0))),"")</f>
        <v/>
      </c>
      <c r="E208" s="13"/>
      <c r="F208" s="10"/>
      <c r="G208" s="10"/>
      <c r="H208" s="10"/>
    </row>
    <row r="209" customFormat="false" ht="15" hidden="false" customHeight="false" outlineLevel="0" collapsed="false">
      <c r="A209" s="10"/>
      <c r="B209" s="12"/>
      <c r="C209" s="10"/>
      <c r="D209" s="14" t="str">
        <f aca="false">IFERROR(IF(C209="","",INDEX(Products!$C$5:$C$504,MATCH(C209,Products!$A$5:$A$504,0))),"")</f>
        <v/>
      </c>
      <c r="E209" s="13"/>
      <c r="F209" s="10"/>
      <c r="G209" s="10"/>
      <c r="H209" s="10"/>
    </row>
    <row r="210" customFormat="false" ht="15" hidden="false" customHeight="false" outlineLevel="0" collapsed="false">
      <c r="A210" s="10"/>
      <c r="B210" s="12"/>
      <c r="C210" s="10"/>
      <c r="D210" s="14" t="str">
        <f aca="false">IFERROR(IF(C210="","",INDEX(Products!$C$5:$C$504,MATCH(C210,Products!$A$5:$A$504,0))),"")</f>
        <v/>
      </c>
      <c r="E210" s="13"/>
      <c r="F210" s="10"/>
      <c r="G210" s="10"/>
      <c r="H210" s="10"/>
    </row>
    <row r="211" customFormat="false" ht="15" hidden="false" customHeight="false" outlineLevel="0" collapsed="false">
      <c r="A211" s="10"/>
      <c r="B211" s="12"/>
      <c r="C211" s="10"/>
      <c r="D211" s="14" t="str">
        <f aca="false">IFERROR(IF(C211="","",INDEX(Products!$C$5:$C$504,MATCH(C211,Products!$A$5:$A$504,0))),"")</f>
        <v/>
      </c>
      <c r="E211" s="13"/>
      <c r="F211" s="10"/>
      <c r="G211" s="10"/>
      <c r="H211" s="10"/>
    </row>
    <row r="212" customFormat="false" ht="15" hidden="false" customHeight="false" outlineLevel="0" collapsed="false">
      <c r="A212" s="10"/>
      <c r="B212" s="12"/>
      <c r="C212" s="10"/>
      <c r="D212" s="14" t="str">
        <f aca="false">IFERROR(IF(C212="","",INDEX(Products!$C$5:$C$504,MATCH(C212,Products!$A$5:$A$504,0))),"")</f>
        <v/>
      </c>
      <c r="E212" s="13"/>
      <c r="F212" s="10"/>
      <c r="G212" s="10"/>
      <c r="H212" s="10"/>
    </row>
    <row r="213" customFormat="false" ht="15" hidden="false" customHeight="false" outlineLevel="0" collapsed="false">
      <c r="A213" s="10"/>
      <c r="B213" s="12"/>
      <c r="C213" s="10"/>
      <c r="D213" s="14" t="str">
        <f aca="false">IFERROR(IF(C213="","",INDEX(Products!$C$5:$C$504,MATCH(C213,Products!$A$5:$A$504,0))),"")</f>
        <v/>
      </c>
      <c r="E213" s="13"/>
      <c r="F213" s="10"/>
      <c r="G213" s="10"/>
      <c r="H213" s="10"/>
    </row>
    <row r="214" customFormat="false" ht="15" hidden="false" customHeight="false" outlineLevel="0" collapsed="false">
      <c r="A214" s="10"/>
      <c r="B214" s="12"/>
      <c r="C214" s="10"/>
      <c r="D214" s="14" t="str">
        <f aca="false">IFERROR(IF(C214="","",INDEX(Products!$C$5:$C$504,MATCH(C214,Products!$A$5:$A$504,0))),"")</f>
        <v/>
      </c>
      <c r="E214" s="13"/>
      <c r="F214" s="10"/>
      <c r="G214" s="10"/>
      <c r="H214" s="10"/>
    </row>
    <row r="215" customFormat="false" ht="15" hidden="false" customHeight="false" outlineLevel="0" collapsed="false">
      <c r="A215" s="10"/>
      <c r="B215" s="12"/>
      <c r="C215" s="10"/>
      <c r="D215" s="14" t="str">
        <f aca="false">IFERROR(IF(C215="","",INDEX(Products!$C$5:$C$504,MATCH(C215,Products!$A$5:$A$504,0))),"")</f>
        <v/>
      </c>
      <c r="E215" s="13"/>
      <c r="F215" s="10"/>
      <c r="G215" s="10"/>
      <c r="H215" s="10"/>
    </row>
    <row r="216" customFormat="false" ht="15" hidden="false" customHeight="false" outlineLevel="0" collapsed="false">
      <c r="A216" s="10"/>
      <c r="B216" s="12"/>
      <c r="C216" s="10"/>
      <c r="D216" s="14" t="str">
        <f aca="false">IFERROR(IF(C216="","",INDEX(Products!$C$5:$C$504,MATCH(C216,Products!$A$5:$A$504,0))),"")</f>
        <v/>
      </c>
      <c r="E216" s="13"/>
      <c r="F216" s="10"/>
      <c r="G216" s="10"/>
      <c r="H216" s="10"/>
    </row>
    <row r="217" customFormat="false" ht="15" hidden="false" customHeight="false" outlineLevel="0" collapsed="false">
      <c r="A217" s="10"/>
      <c r="B217" s="12"/>
      <c r="C217" s="10"/>
      <c r="D217" s="14" t="str">
        <f aca="false">IFERROR(IF(C217="","",INDEX(Products!$C$5:$C$504,MATCH(C217,Products!$A$5:$A$504,0))),"")</f>
        <v/>
      </c>
      <c r="E217" s="13"/>
      <c r="F217" s="10"/>
      <c r="G217" s="10"/>
      <c r="H217" s="10"/>
    </row>
    <row r="218" customFormat="false" ht="15" hidden="false" customHeight="false" outlineLevel="0" collapsed="false">
      <c r="A218" s="10"/>
      <c r="B218" s="12"/>
      <c r="C218" s="10"/>
      <c r="D218" s="14" t="str">
        <f aca="false">IFERROR(IF(C218="","",INDEX(Products!$C$5:$C$504,MATCH(C218,Products!$A$5:$A$504,0))),"")</f>
        <v/>
      </c>
      <c r="E218" s="13"/>
      <c r="F218" s="10"/>
      <c r="G218" s="10"/>
      <c r="H218" s="10"/>
    </row>
    <row r="219" customFormat="false" ht="15" hidden="false" customHeight="false" outlineLevel="0" collapsed="false">
      <c r="A219" s="10"/>
      <c r="B219" s="12"/>
      <c r="C219" s="10"/>
      <c r="D219" s="14" t="str">
        <f aca="false">IFERROR(IF(C219="","",INDEX(Products!$C$5:$C$504,MATCH(C219,Products!$A$5:$A$504,0))),"")</f>
        <v/>
      </c>
      <c r="E219" s="13"/>
      <c r="F219" s="10"/>
      <c r="G219" s="10"/>
      <c r="H219" s="10"/>
    </row>
    <row r="220" customFormat="false" ht="15" hidden="false" customHeight="false" outlineLevel="0" collapsed="false">
      <c r="A220" s="10"/>
      <c r="B220" s="12"/>
      <c r="C220" s="10"/>
      <c r="D220" s="14" t="str">
        <f aca="false">IFERROR(IF(C220="","",INDEX(Products!$C$5:$C$504,MATCH(C220,Products!$A$5:$A$504,0))),"")</f>
        <v/>
      </c>
      <c r="E220" s="13"/>
      <c r="F220" s="10"/>
      <c r="G220" s="10"/>
      <c r="H220" s="10"/>
    </row>
    <row r="221" customFormat="false" ht="15" hidden="false" customHeight="false" outlineLevel="0" collapsed="false">
      <c r="A221" s="10"/>
      <c r="B221" s="12"/>
      <c r="C221" s="10"/>
      <c r="D221" s="14" t="str">
        <f aca="false">IFERROR(IF(C221="","",INDEX(Products!$C$5:$C$504,MATCH(C221,Products!$A$5:$A$504,0))),"")</f>
        <v/>
      </c>
      <c r="E221" s="13"/>
      <c r="F221" s="10"/>
      <c r="G221" s="10"/>
      <c r="H221" s="10"/>
    </row>
    <row r="222" customFormat="false" ht="15" hidden="false" customHeight="false" outlineLevel="0" collapsed="false">
      <c r="A222" s="10"/>
      <c r="B222" s="12"/>
      <c r="C222" s="10"/>
      <c r="D222" s="14" t="str">
        <f aca="false">IFERROR(IF(C222="","",INDEX(Products!$C$5:$C$504,MATCH(C222,Products!$A$5:$A$504,0))),"")</f>
        <v/>
      </c>
      <c r="E222" s="13"/>
      <c r="F222" s="10"/>
      <c r="G222" s="10"/>
      <c r="H222" s="10"/>
    </row>
    <row r="223" customFormat="false" ht="15" hidden="false" customHeight="false" outlineLevel="0" collapsed="false">
      <c r="A223" s="10"/>
      <c r="B223" s="12"/>
      <c r="C223" s="10"/>
      <c r="D223" s="14" t="str">
        <f aca="false">IFERROR(IF(C223="","",INDEX(Products!$C$5:$C$504,MATCH(C223,Products!$A$5:$A$504,0))),"")</f>
        <v/>
      </c>
      <c r="E223" s="13"/>
      <c r="F223" s="10"/>
      <c r="G223" s="10"/>
      <c r="H223" s="10"/>
    </row>
    <row r="224" customFormat="false" ht="15" hidden="false" customHeight="false" outlineLevel="0" collapsed="false">
      <c r="A224" s="10"/>
      <c r="B224" s="12"/>
      <c r="C224" s="10"/>
      <c r="D224" s="14" t="str">
        <f aca="false">IFERROR(IF(C224="","",INDEX(Products!$C$5:$C$504,MATCH(C224,Products!$A$5:$A$504,0))),"")</f>
        <v/>
      </c>
      <c r="E224" s="13"/>
      <c r="F224" s="10"/>
      <c r="G224" s="10"/>
      <c r="H224" s="10"/>
    </row>
    <row r="225" customFormat="false" ht="15" hidden="false" customHeight="false" outlineLevel="0" collapsed="false">
      <c r="A225" s="10"/>
      <c r="B225" s="12"/>
      <c r="C225" s="10"/>
      <c r="D225" s="14" t="str">
        <f aca="false">IFERROR(IF(C225="","",INDEX(Products!$C$5:$C$504,MATCH(C225,Products!$A$5:$A$504,0))),"")</f>
        <v/>
      </c>
      <c r="E225" s="13"/>
      <c r="F225" s="10"/>
      <c r="G225" s="10"/>
      <c r="H225" s="10"/>
    </row>
    <row r="226" customFormat="false" ht="15" hidden="false" customHeight="false" outlineLevel="0" collapsed="false">
      <c r="A226" s="10"/>
      <c r="B226" s="12"/>
      <c r="C226" s="10"/>
      <c r="D226" s="14" t="str">
        <f aca="false">IFERROR(IF(C226="","",INDEX(Products!$C$5:$C$504,MATCH(C226,Products!$A$5:$A$504,0))),"")</f>
        <v/>
      </c>
      <c r="E226" s="13"/>
      <c r="F226" s="10"/>
      <c r="G226" s="10"/>
      <c r="H226" s="10"/>
    </row>
    <row r="227" customFormat="false" ht="15" hidden="false" customHeight="false" outlineLevel="0" collapsed="false">
      <c r="A227" s="10"/>
      <c r="B227" s="12"/>
      <c r="C227" s="10"/>
      <c r="D227" s="14" t="str">
        <f aca="false">IFERROR(IF(C227="","",INDEX(Products!$C$5:$C$504,MATCH(C227,Products!$A$5:$A$504,0))),"")</f>
        <v/>
      </c>
      <c r="E227" s="13"/>
      <c r="F227" s="10"/>
      <c r="G227" s="10"/>
      <c r="H227" s="10"/>
    </row>
    <row r="228" customFormat="false" ht="15" hidden="false" customHeight="false" outlineLevel="0" collapsed="false">
      <c r="A228" s="10"/>
      <c r="B228" s="12"/>
      <c r="C228" s="10"/>
      <c r="D228" s="14" t="str">
        <f aca="false">IFERROR(IF(C228="","",INDEX(Products!$C$5:$C$504,MATCH(C228,Products!$A$5:$A$504,0))),"")</f>
        <v/>
      </c>
      <c r="E228" s="13"/>
      <c r="F228" s="10"/>
      <c r="G228" s="10"/>
      <c r="H228" s="10"/>
    </row>
    <row r="229" customFormat="false" ht="15" hidden="false" customHeight="false" outlineLevel="0" collapsed="false">
      <c r="A229" s="10"/>
      <c r="B229" s="12"/>
      <c r="C229" s="10"/>
      <c r="D229" s="14" t="str">
        <f aca="false">IFERROR(IF(C229="","",INDEX(Products!$C$5:$C$504,MATCH(C229,Products!$A$5:$A$504,0))),"")</f>
        <v/>
      </c>
      <c r="E229" s="13"/>
      <c r="F229" s="10"/>
      <c r="G229" s="10"/>
      <c r="H229" s="10"/>
    </row>
    <row r="230" customFormat="false" ht="15" hidden="false" customHeight="false" outlineLevel="0" collapsed="false">
      <c r="A230" s="10"/>
      <c r="B230" s="12"/>
      <c r="C230" s="10"/>
      <c r="D230" s="14" t="str">
        <f aca="false">IFERROR(IF(C230="","",INDEX(Products!$C$5:$C$504,MATCH(C230,Products!$A$5:$A$504,0))),"")</f>
        <v/>
      </c>
      <c r="E230" s="13"/>
      <c r="F230" s="10"/>
      <c r="G230" s="10"/>
      <c r="H230" s="10"/>
    </row>
    <row r="231" customFormat="false" ht="15" hidden="false" customHeight="false" outlineLevel="0" collapsed="false">
      <c r="A231" s="10"/>
      <c r="B231" s="12"/>
      <c r="C231" s="10"/>
      <c r="D231" s="14" t="str">
        <f aca="false">IFERROR(IF(C231="","",INDEX(Products!$C$5:$C$504,MATCH(C231,Products!$A$5:$A$504,0))),"")</f>
        <v/>
      </c>
      <c r="E231" s="13"/>
      <c r="F231" s="10"/>
      <c r="G231" s="10"/>
      <c r="H231" s="10"/>
    </row>
    <row r="232" customFormat="false" ht="15" hidden="false" customHeight="false" outlineLevel="0" collapsed="false">
      <c r="A232" s="10"/>
      <c r="B232" s="12"/>
      <c r="C232" s="10"/>
      <c r="D232" s="14" t="str">
        <f aca="false">IFERROR(IF(C232="","",INDEX(Products!$C$5:$C$504,MATCH(C232,Products!$A$5:$A$504,0))),"")</f>
        <v/>
      </c>
      <c r="E232" s="13"/>
      <c r="F232" s="10"/>
      <c r="G232" s="10"/>
      <c r="H232" s="10"/>
    </row>
    <row r="233" customFormat="false" ht="15" hidden="false" customHeight="false" outlineLevel="0" collapsed="false">
      <c r="A233" s="10"/>
      <c r="B233" s="12"/>
      <c r="C233" s="10"/>
      <c r="D233" s="14" t="str">
        <f aca="false">IFERROR(IF(C233="","",INDEX(Products!$C$5:$C$504,MATCH(C233,Products!$A$5:$A$504,0))),"")</f>
        <v/>
      </c>
      <c r="E233" s="13"/>
      <c r="F233" s="10"/>
      <c r="G233" s="10"/>
      <c r="H233" s="10"/>
    </row>
    <row r="234" customFormat="false" ht="15" hidden="false" customHeight="false" outlineLevel="0" collapsed="false">
      <c r="A234" s="10"/>
      <c r="B234" s="12"/>
      <c r="C234" s="10"/>
      <c r="D234" s="14" t="str">
        <f aca="false">IFERROR(IF(C234="","",INDEX(Products!$C$5:$C$504,MATCH(C234,Products!$A$5:$A$504,0))),"")</f>
        <v/>
      </c>
      <c r="E234" s="13"/>
      <c r="F234" s="10"/>
      <c r="G234" s="10"/>
      <c r="H234" s="10"/>
    </row>
    <row r="235" customFormat="false" ht="15" hidden="false" customHeight="false" outlineLevel="0" collapsed="false">
      <c r="A235" s="10"/>
      <c r="B235" s="12"/>
      <c r="C235" s="10"/>
      <c r="D235" s="14" t="str">
        <f aca="false">IFERROR(IF(C235="","",INDEX(Products!$C$5:$C$504,MATCH(C235,Products!$A$5:$A$504,0))),"")</f>
        <v/>
      </c>
      <c r="E235" s="13"/>
      <c r="F235" s="10"/>
      <c r="G235" s="10"/>
      <c r="H235" s="10"/>
    </row>
    <row r="236" customFormat="false" ht="15" hidden="false" customHeight="false" outlineLevel="0" collapsed="false">
      <c r="A236" s="10"/>
      <c r="B236" s="12"/>
      <c r="C236" s="10"/>
      <c r="D236" s="14" t="str">
        <f aca="false">IFERROR(IF(C236="","",INDEX(Products!$C$5:$C$504,MATCH(C236,Products!$A$5:$A$504,0))),"")</f>
        <v/>
      </c>
      <c r="E236" s="13"/>
      <c r="F236" s="10"/>
      <c r="G236" s="10"/>
      <c r="H236" s="10"/>
    </row>
    <row r="237" customFormat="false" ht="15" hidden="false" customHeight="false" outlineLevel="0" collapsed="false">
      <c r="A237" s="10"/>
      <c r="B237" s="12"/>
      <c r="C237" s="10"/>
      <c r="D237" s="14" t="str">
        <f aca="false">IFERROR(IF(C237="","",INDEX(Products!$C$5:$C$504,MATCH(C237,Products!$A$5:$A$504,0))),"")</f>
        <v/>
      </c>
      <c r="E237" s="13"/>
      <c r="F237" s="10"/>
      <c r="G237" s="10"/>
      <c r="H237" s="10"/>
    </row>
    <row r="238" customFormat="false" ht="15" hidden="false" customHeight="false" outlineLevel="0" collapsed="false">
      <c r="A238" s="10"/>
      <c r="B238" s="12"/>
      <c r="C238" s="10"/>
      <c r="D238" s="14" t="str">
        <f aca="false">IFERROR(IF(C238="","",INDEX(Products!$C$5:$C$504,MATCH(C238,Products!$A$5:$A$504,0))),"")</f>
        <v/>
      </c>
      <c r="E238" s="13"/>
      <c r="F238" s="10"/>
      <c r="G238" s="10"/>
      <c r="H238" s="10"/>
    </row>
    <row r="239" customFormat="false" ht="15" hidden="false" customHeight="false" outlineLevel="0" collapsed="false">
      <c r="A239" s="10"/>
      <c r="B239" s="12"/>
      <c r="C239" s="10"/>
      <c r="D239" s="14" t="str">
        <f aca="false">IFERROR(IF(C239="","",INDEX(Products!$C$5:$C$504,MATCH(C239,Products!$A$5:$A$504,0))),"")</f>
        <v/>
      </c>
      <c r="E239" s="13"/>
      <c r="F239" s="10"/>
      <c r="G239" s="10"/>
      <c r="H239" s="10"/>
    </row>
    <row r="240" customFormat="false" ht="15" hidden="false" customHeight="false" outlineLevel="0" collapsed="false">
      <c r="A240" s="10"/>
      <c r="B240" s="12"/>
      <c r="C240" s="10"/>
      <c r="D240" s="14" t="str">
        <f aca="false">IFERROR(IF(C240="","",INDEX(Products!$C$5:$C$504,MATCH(C240,Products!$A$5:$A$504,0))),"")</f>
        <v/>
      </c>
      <c r="E240" s="13"/>
      <c r="F240" s="10"/>
      <c r="G240" s="10"/>
      <c r="H240" s="10"/>
    </row>
    <row r="241" customFormat="false" ht="15" hidden="false" customHeight="false" outlineLevel="0" collapsed="false">
      <c r="A241" s="10"/>
      <c r="B241" s="12"/>
      <c r="C241" s="10"/>
      <c r="D241" s="14" t="str">
        <f aca="false">IFERROR(IF(C241="","",INDEX(Products!$C$5:$C$504,MATCH(C241,Products!$A$5:$A$504,0))),"")</f>
        <v/>
      </c>
      <c r="E241" s="13"/>
      <c r="F241" s="10"/>
      <c r="G241" s="10"/>
      <c r="H241" s="10"/>
    </row>
    <row r="242" customFormat="false" ht="15" hidden="false" customHeight="false" outlineLevel="0" collapsed="false">
      <c r="A242" s="10"/>
      <c r="B242" s="12"/>
      <c r="C242" s="10"/>
      <c r="D242" s="14" t="str">
        <f aca="false">IFERROR(IF(C242="","",INDEX(Products!$C$5:$C$504,MATCH(C242,Products!$A$5:$A$504,0))),"")</f>
        <v/>
      </c>
      <c r="E242" s="13"/>
      <c r="F242" s="10"/>
      <c r="G242" s="10"/>
      <c r="H242" s="10"/>
    </row>
    <row r="243" customFormat="false" ht="15" hidden="false" customHeight="false" outlineLevel="0" collapsed="false">
      <c r="A243" s="10"/>
      <c r="B243" s="12"/>
      <c r="C243" s="10"/>
      <c r="D243" s="14" t="str">
        <f aca="false">IFERROR(IF(C243="","",INDEX(Products!$C$5:$C$504,MATCH(C243,Products!$A$5:$A$504,0))),"")</f>
        <v/>
      </c>
      <c r="E243" s="13"/>
      <c r="F243" s="10"/>
      <c r="G243" s="10"/>
      <c r="H243" s="10"/>
    </row>
    <row r="244" customFormat="false" ht="15" hidden="false" customHeight="false" outlineLevel="0" collapsed="false">
      <c r="A244" s="10"/>
      <c r="B244" s="12"/>
      <c r="C244" s="10"/>
      <c r="D244" s="14" t="str">
        <f aca="false">IFERROR(IF(C244="","",INDEX(Products!$C$5:$C$504,MATCH(C244,Products!$A$5:$A$504,0))),"")</f>
        <v/>
      </c>
      <c r="E244" s="13"/>
      <c r="F244" s="10"/>
      <c r="G244" s="10"/>
      <c r="H244" s="10"/>
    </row>
    <row r="245" customFormat="false" ht="15" hidden="false" customHeight="false" outlineLevel="0" collapsed="false">
      <c r="A245" s="10"/>
      <c r="B245" s="12"/>
      <c r="C245" s="10"/>
      <c r="D245" s="14" t="str">
        <f aca="false">IFERROR(IF(C245="","",INDEX(Products!$C$5:$C$504,MATCH(C245,Products!$A$5:$A$504,0))),"")</f>
        <v/>
      </c>
      <c r="E245" s="13"/>
      <c r="F245" s="10"/>
      <c r="G245" s="10"/>
      <c r="H245" s="10"/>
    </row>
    <row r="246" customFormat="false" ht="15" hidden="false" customHeight="false" outlineLevel="0" collapsed="false">
      <c r="A246" s="10"/>
      <c r="B246" s="12"/>
      <c r="C246" s="10"/>
      <c r="D246" s="14" t="str">
        <f aca="false">IFERROR(IF(C246="","",INDEX(Products!$C$5:$C$504,MATCH(C246,Products!$A$5:$A$504,0))),"")</f>
        <v/>
      </c>
      <c r="E246" s="13"/>
      <c r="F246" s="10"/>
      <c r="G246" s="10"/>
      <c r="H246" s="10"/>
    </row>
    <row r="247" customFormat="false" ht="15" hidden="false" customHeight="false" outlineLevel="0" collapsed="false">
      <c r="A247" s="10"/>
      <c r="B247" s="12"/>
      <c r="C247" s="10"/>
      <c r="D247" s="14" t="str">
        <f aca="false">IFERROR(IF(C247="","",INDEX(Products!$C$5:$C$504,MATCH(C247,Products!$A$5:$A$504,0))),"")</f>
        <v/>
      </c>
      <c r="E247" s="13"/>
      <c r="F247" s="10"/>
      <c r="G247" s="10"/>
      <c r="H247" s="10"/>
    </row>
    <row r="248" customFormat="false" ht="15" hidden="false" customHeight="false" outlineLevel="0" collapsed="false">
      <c r="A248" s="10"/>
      <c r="B248" s="12"/>
      <c r="C248" s="10"/>
      <c r="D248" s="14" t="str">
        <f aca="false">IFERROR(IF(C248="","",INDEX(Products!$C$5:$C$504,MATCH(C248,Products!$A$5:$A$504,0))),"")</f>
        <v/>
      </c>
      <c r="E248" s="13"/>
      <c r="F248" s="10"/>
      <c r="G248" s="10"/>
      <c r="H248" s="10"/>
    </row>
    <row r="249" customFormat="false" ht="15" hidden="false" customHeight="false" outlineLevel="0" collapsed="false">
      <c r="A249" s="10"/>
      <c r="B249" s="12"/>
      <c r="C249" s="10"/>
      <c r="D249" s="14" t="str">
        <f aca="false">IFERROR(IF(C249="","",INDEX(Products!$C$5:$C$504,MATCH(C249,Products!$A$5:$A$504,0))),"")</f>
        <v/>
      </c>
      <c r="E249" s="13"/>
      <c r="F249" s="10"/>
      <c r="G249" s="10"/>
      <c r="H249" s="10"/>
    </row>
    <row r="250" customFormat="false" ht="15" hidden="false" customHeight="false" outlineLevel="0" collapsed="false">
      <c r="A250" s="10"/>
      <c r="B250" s="12"/>
      <c r="C250" s="10"/>
      <c r="D250" s="14" t="str">
        <f aca="false">IFERROR(IF(C250="","",INDEX(Products!$C$5:$C$504,MATCH(C250,Products!$A$5:$A$504,0))),"")</f>
        <v/>
      </c>
      <c r="E250" s="13"/>
      <c r="F250" s="10"/>
      <c r="G250" s="10"/>
      <c r="H250" s="10"/>
    </row>
    <row r="251" customFormat="false" ht="15" hidden="false" customHeight="false" outlineLevel="0" collapsed="false">
      <c r="A251" s="10"/>
      <c r="B251" s="12"/>
      <c r="C251" s="10"/>
      <c r="D251" s="14" t="str">
        <f aca="false">IFERROR(IF(C251="","",INDEX(Products!$C$5:$C$504,MATCH(C251,Products!$A$5:$A$504,0))),"")</f>
        <v/>
      </c>
      <c r="E251" s="13"/>
      <c r="F251" s="10"/>
      <c r="G251" s="10"/>
      <c r="H251" s="10"/>
    </row>
    <row r="252" customFormat="false" ht="15" hidden="false" customHeight="false" outlineLevel="0" collapsed="false">
      <c r="A252" s="10"/>
      <c r="B252" s="12"/>
      <c r="C252" s="10"/>
      <c r="D252" s="14" t="str">
        <f aca="false">IFERROR(IF(C252="","",INDEX(Products!$C$5:$C$504,MATCH(C252,Products!$A$5:$A$504,0))),"")</f>
        <v/>
      </c>
      <c r="E252" s="13"/>
      <c r="F252" s="10"/>
      <c r="G252" s="10"/>
      <c r="H252" s="10"/>
    </row>
    <row r="253" customFormat="false" ht="15" hidden="false" customHeight="false" outlineLevel="0" collapsed="false">
      <c r="A253" s="10"/>
      <c r="B253" s="12"/>
      <c r="C253" s="10"/>
      <c r="D253" s="14" t="str">
        <f aca="false">IFERROR(IF(C253="","",INDEX(Products!$C$5:$C$504,MATCH(C253,Products!$A$5:$A$504,0))),"")</f>
        <v/>
      </c>
      <c r="E253" s="13"/>
      <c r="F253" s="10"/>
      <c r="G253" s="10"/>
      <c r="H253" s="10"/>
    </row>
    <row r="254" customFormat="false" ht="15" hidden="false" customHeight="false" outlineLevel="0" collapsed="false">
      <c r="A254" s="10"/>
      <c r="B254" s="12"/>
      <c r="C254" s="10"/>
      <c r="D254" s="14" t="str">
        <f aca="false">IFERROR(IF(C254="","",INDEX(Products!$C$5:$C$504,MATCH(C254,Products!$A$5:$A$504,0))),"")</f>
        <v/>
      </c>
      <c r="E254" s="13"/>
      <c r="F254" s="10"/>
      <c r="G254" s="10"/>
      <c r="H254" s="10"/>
    </row>
    <row r="255" customFormat="false" ht="15" hidden="false" customHeight="false" outlineLevel="0" collapsed="false">
      <c r="A255" s="10"/>
      <c r="B255" s="12"/>
      <c r="C255" s="10"/>
      <c r="D255" s="14" t="str">
        <f aca="false">IFERROR(IF(C255="","",INDEX(Products!$C$5:$C$504,MATCH(C255,Products!$A$5:$A$504,0))),"")</f>
        <v/>
      </c>
      <c r="E255" s="13"/>
      <c r="F255" s="10"/>
      <c r="G255" s="10"/>
      <c r="H255" s="10"/>
    </row>
    <row r="256" customFormat="false" ht="15" hidden="false" customHeight="false" outlineLevel="0" collapsed="false">
      <c r="A256" s="10"/>
      <c r="B256" s="12"/>
      <c r="C256" s="10"/>
      <c r="D256" s="14" t="str">
        <f aca="false">IFERROR(IF(C256="","",INDEX(Products!$C$5:$C$504,MATCH(C256,Products!$A$5:$A$504,0))),"")</f>
        <v/>
      </c>
      <c r="E256" s="13"/>
      <c r="F256" s="10"/>
      <c r="G256" s="10"/>
      <c r="H256" s="10"/>
    </row>
    <row r="257" customFormat="false" ht="15" hidden="false" customHeight="false" outlineLevel="0" collapsed="false">
      <c r="A257" s="10"/>
      <c r="B257" s="12"/>
      <c r="C257" s="10"/>
      <c r="D257" s="14" t="str">
        <f aca="false">IFERROR(IF(C257="","",INDEX(Products!$C$5:$C$504,MATCH(C257,Products!$A$5:$A$504,0))),"")</f>
        <v/>
      </c>
      <c r="E257" s="13"/>
      <c r="F257" s="10"/>
      <c r="G257" s="10"/>
      <c r="H257" s="10"/>
    </row>
    <row r="258" customFormat="false" ht="15" hidden="false" customHeight="false" outlineLevel="0" collapsed="false">
      <c r="A258" s="10"/>
      <c r="B258" s="12"/>
      <c r="C258" s="10"/>
      <c r="D258" s="14" t="str">
        <f aca="false">IFERROR(IF(C258="","",INDEX(Products!$C$5:$C$504,MATCH(C258,Products!$A$5:$A$504,0))),"")</f>
        <v/>
      </c>
      <c r="E258" s="13"/>
      <c r="F258" s="10"/>
      <c r="G258" s="10"/>
      <c r="H258" s="10"/>
    </row>
    <row r="259" customFormat="false" ht="15" hidden="false" customHeight="false" outlineLevel="0" collapsed="false">
      <c r="A259" s="10"/>
      <c r="B259" s="12"/>
      <c r="C259" s="10"/>
      <c r="D259" s="14" t="str">
        <f aca="false">IFERROR(IF(C259="","",INDEX(Products!$C$5:$C$504,MATCH(C259,Products!$A$5:$A$504,0))),"")</f>
        <v/>
      </c>
      <c r="E259" s="13"/>
      <c r="F259" s="10"/>
      <c r="G259" s="10"/>
      <c r="H259" s="10"/>
    </row>
    <row r="260" customFormat="false" ht="15" hidden="false" customHeight="false" outlineLevel="0" collapsed="false">
      <c r="A260" s="10"/>
      <c r="B260" s="12"/>
      <c r="C260" s="10"/>
      <c r="D260" s="14" t="str">
        <f aca="false">IFERROR(IF(C260="","",INDEX(Products!$C$5:$C$504,MATCH(C260,Products!$A$5:$A$504,0))),"")</f>
        <v/>
      </c>
      <c r="E260" s="13"/>
      <c r="F260" s="10"/>
      <c r="G260" s="10"/>
      <c r="H260" s="10"/>
    </row>
    <row r="261" customFormat="false" ht="15" hidden="false" customHeight="false" outlineLevel="0" collapsed="false">
      <c r="A261" s="10"/>
      <c r="B261" s="12"/>
      <c r="C261" s="10"/>
      <c r="D261" s="14" t="str">
        <f aca="false">IFERROR(IF(C261="","",INDEX(Products!$C$5:$C$504,MATCH(C261,Products!$A$5:$A$504,0))),"")</f>
        <v/>
      </c>
      <c r="E261" s="13"/>
      <c r="F261" s="10"/>
      <c r="G261" s="10"/>
      <c r="H261" s="10"/>
    </row>
    <row r="262" customFormat="false" ht="15" hidden="false" customHeight="false" outlineLevel="0" collapsed="false">
      <c r="A262" s="10"/>
      <c r="B262" s="12"/>
      <c r="C262" s="10"/>
      <c r="D262" s="14" t="str">
        <f aca="false">IFERROR(IF(C262="","",INDEX(Products!$C$5:$C$504,MATCH(C262,Products!$A$5:$A$504,0))),"")</f>
        <v/>
      </c>
      <c r="E262" s="13"/>
      <c r="F262" s="10"/>
      <c r="G262" s="10"/>
      <c r="H262" s="10"/>
    </row>
    <row r="263" customFormat="false" ht="15" hidden="false" customHeight="false" outlineLevel="0" collapsed="false">
      <c r="A263" s="10"/>
      <c r="B263" s="12"/>
      <c r="C263" s="10"/>
      <c r="D263" s="14" t="str">
        <f aca="false">IFERROR(IF(C263="","",INDEX(Products!$C$5:$C$504,MATCH(C263,Products!$A$5:$A$504,0))),"")</f>
        <v/>
      </c>
      <c r="E263" s="13"/>
      <c r="F263" s="10"/>
      <c r="G263" s="10"/>
      <c r="H263" s="10"/>
    </row>
    <row r="264" customFormat="false" ht="15" hidden="false" customHeight="false" outlineLevel="0" collapsed="false">
      <c r="A264" s="10"/>
      <c r="B264" s="12"/>
      <c r="C264" s="10"/>
      <c r="D264" s="14" t="str">
        <f aca="false">IFERROR(IF(C264="","",INDEX(Products!$C$5:$C$504,MATCH(C264,Products!$A$5:$A$504,0))),"")</f>
        <v/>
      </c>
      <c r="E264" s="13"/>
      <c r="F264" s="10"/>
      <c r="G264" s="10"/>
      <c r="H264" s="10"/>
    </row>
    <row r="265" customFormat="false" ht="15" hidden="false" customHeight="false" outlineLevel="0" collapsed="false">
      <c r="A265" s="10"/>
      <c r="B265" s="12"/>
      <c r="C265" s="10"/>
      <c r="D265" s="14" t="str">
        <f aca="false">IFERROR(IF(C265="","",INDEX(Products!$C$5:$C$504,MATCH(C265,Products!$A$5:$A$504,0))),"")</f>
        <v/>
      </c>
      <c r="E265" s="13"/>
      <c r="F265" s="10"/>
      <c r="G265" s="10"/>
      <c r="H265" s="10"/>
    </row>
    <row r="266" customFormat="false" ht="15" hidden="false" customHeight="false" outlineLevel="0" collapsed="false">
      <c r="A266" s="10"/>
      <c r="B266" s="12"/>
      <c r="C266" s="10"/>
      <c r="D266" s="14" t="str">
        <f aca="false">IFERROR(IF(C266="","",INDEX(Products!$C$5:$C$504,MATCH(C266,Products!$A$5:$A$504,0))),"")</f>
        <v/>
      </c>
      <c r="E266" s="13"/>
      <c r="F266" s="10"/>
      <c r="G266" s="10"/>
      <c r="H266" s="10"/>
    </row>
    <row r="267" customFormat="false" ht="15" hidden="false" customHeight="false" outlineLevel="0" collapsed="false">
      <c r="A267" s="10"/>
      <c r="B267" s="12"/>
      <c r="C267" s="10"/>
      <c r="D267" s="14" t="str">
        <f aca="false">IFERROR(IF(C267="","",INDEX(Products!$C$5:$C$504,MATCH(C267,Products!$A$5:$A$504,0))),"")</f>
        <v/>
      </c>
      <c r="E267" s="13"/>
      <c r="F267" s="10"/>
      <c r="G267" s="10"/>
      <c r="H267" s="10"/>
    </row>
    <row r="268" customFormat="false" ht="15" hidden="false" customHeight="false" outlineLevel="0" collapsed="false">
      <c r="A268" s="10"/>
      <c r="B268" s="12"/>
      <c r="C268" s="10"/>
      <c r="D268" s="14" t="str">
        <f aca="false">IFERROR(IF(C268="","",INDEX(Products!$C$5:$C$504,MATCH(C268,Products!$A$5:$A$504,0))),"")</f>
        <v/>
      </c>
      <c r="E268" s="13"/>
      <c r="F268" s="10"/>
      <c r="G268" s="10"/>
      <c r="H268" s="10"/>
    </row>
    <row r="269" customFormat="false" ht="15" hidden="false" customHeight="false" outlineLevel="0" collapsed="false">
      <c r="A269" s="10"/>
      <c r="B269" s="12"/>
      <c r="C269" s="10"/>
      <c r="D269" s="14" t="str">
        <f aca="false">IFERROR(IF(C269="","",INDEX(Products!$C$5:$C$504,MATCH(C269,Products!$A$5:$A$504,0))),"")</f>
        <v/>
      </c>
      <c r="E269" s="13"/>
      <c r="F269" s="10"/>
      <c r="G269" s="10"/>
      <c r="H269" s="10"/>
    </row>
    <row r="270" customFormat="false" ht="15" hidden="false" customHeight="false" outlineLevel="0" collapsed="false">
      <c r="A270" s="10"/>
      <c r="B270" s="12"/>
      <c r="C270" s="10"/>
      <c r="D270" s="14" t="str">
        <f aca="false">IFERROR(IF(C270="","",INDEX(Products!$C$5:$C$504,MATCH(C270,Products!$A$5:$A$504,0))),"")</f>
        <v/>
      </c>
      <c r="E270" s="13"/>
      <c r="F270" s="10"/>
      <c r="G270" s="10"/>
      <c r="H270" s="10"/>
    </row>
    <row r="271" customFormat="false" ht="15" hidden="false" customHeight="false" outlineLevel="0" collapsed="false">
      <c r="A271" s="10"/>
      <c r="B271" s="12"/>
      <c r="C271" s="10"/>
      <c r="D271" s="14" t="str">
        <f aca="false">IFERROR(IF(C271="","",INDEX(Products!$C$5:$C$504,MATCH(C271,Products!$A$5:$A$504,0))),"")</f>
        <v/>
      </c>
      <c r="E271" s="13"/>
      <c r="F271" s="10"/>
      <c r="G271" s="10"/>
      <c r="H271" s="10"/>
    </row>
    <row r="272" customFormat="false" ht="15" hidden="false" customHeight="false" outlineLevel="0" collapsed="false">
      <c r="A272" s="10"/>
      <c r="B272" s="12"/>
      <c r="C272" s="10"/>
      <c r="D272" s="14" t="str">
        <f aca="false">IFERROR(IF(C272="","",INDEX(Products!$C$5:$C$504,MATCH(C272,Products!$A$5:$A$504,0))),"")</f>
        <v/>
      </c>
      <c r="E272" s="13"/>
      <c r="F272" s="10"/>
      <c r="G272" s="10"/>
      <c r="H272" s="10"/>
    </row>
    <row r="273" customFormat="false" ht="15" hidden="false" customHeight="false" outlineLevel="0" collapsed="false">
      <c r="A273" s="10"/>
      <c r="B273" s="12"/>
      <c r="C273" s="10"/>
      <c r="D273" s="14" t="str">
        <f aca="false">IFERROR(IF(C273="","",INDEX(Products!$C$5:$C$504,MATCH(C273,Products!$A$5:$A$504,0))),"")</f>
        <v/>
      </c>
      <c r="E273" s="13"/>
      <c r="F273" s="10"/>
      <c r="G273" s="10"/>
      <c r="H273" s="10"/>
    </row>
    <row r="274" customFormat="false" ht="15" hidden="false" customHeight="false" outlineLevel="0" collapsed="false">
      <c r="A274" s="10"/>
      <c r="B274" s="12"/>
      <c r="C274" s="10"/>
      <c r="D274" s="14" t="str">
        <f aca="false">IFERROR(IF(C274="","",INDEX(Products!$C$5:$C$504,MATCH(C274,Products!$A$5:$A$504,0))),"")</f>
        <v/>
      </c>
      <c r="E274" s="13"/>
      <c r="F274" s="10"/>
      <c r="G274" s="10"/>
      <c r="H274" s="10"/>
    </row>
    <row r="275" customFormat="false" ht="15" hidden="false" customHeight="false" outlineLevel="0" collapsed="false">
      <c r="A275" s="10"/>
      <c r="B275" s="12"/>
      <c r="C275" s="10"/>
      <c r="D275" s="14" t="str">
        <f aca="false">IFERROR(IF(C275="","",INDEX(Products!$C$5:$C$504,MATCH(C275,Products!$A$5:$A$504,0))),"")</f>
        <v/>
      </c>
      <c r="E275" s="13"/>
      <c r="F275" s="10"/>
      <c r="G275" s="10"/>
      <c r="H275" s="10"/>
    </row>
    <row r="276" customFormat="false" ht="15" hidden="false" customHeight="false" outlineLevel="0" collapsed="false">
      <c r="A276" s="10"/>
      <c r="B276" s="12"/>
      <c r="C276" s="10"/>
      <c r="D276" s="14" t="str">
        <f aca="false">IFERROR(IF(C276="","",INDEX(Products!$C$5:$C$504,MATCH(C276,Products!$A$5:$A$504,0))),"")</f>
        <v/>
      </c>
      <c r="E276" s="13"/>
      <c r="F276" s="10"/>
      <c r="G276" s="10"/>
      <c r="H276" s="10"/>
    </row>
    <row r="277" customFormat="false" ht="15" hidden="false" customHeight="false" outlineLevel="0" collapsed="false">
      <c r="A277" s="10"/>
      <c r="B277" s="12"/>
      <c r="C277" s="10"/>
      <c r="D277" s="14" t="str">
        <f aca="false">IFERROR(IF(C277="","",INDEX(Products!$C$5:$C$504,MATCH(C277,Products!$A$5:$A$504,0))),"")</f>
        <v/>
      </c>
      <c r="E277" s="13"/>
      <c r="F277" s="10"/>
      <c r="G277" s="10"/>
      <c r="H277" s="10"/>
    </row>
    <row r="278" customFormat="false" ht="15" hidden="false" customHeight="false" outlineLevel="0" collapsed="false">
      <c r="A278" s="10"/>
      <c r="B278" s="12"/>
      <c r="C278" s="10"/>
      <c r="D278" s="14" t="str">
        <f aca="false">IFERROR(IF(C278="","",INDEX(Products!$C$5:$C$504,MATCH(C278,Products!$A$5:$A$504,0))),"")</f>
        <v/>
      </c>
      <c r="E278" s="13"/>
      <c r="F278" s="10"/>
      <c r="G278" s="10"/>
      <c r="H278" s="10"/>
    </row>
    <row r="279" customFormat="false" ht="15" hidden="false" customHeight="false" outlineLevel="0" collapsed="false">
      <c r="A279" s="10"/>
      <c r="B279" s="12"/>
      <c r="C279" s="10"/>
      <c r="D279" s="14" t="str">
        <f aca="false">IFERROR(IF(C279="","",INDEX(Products!$C$5:$C$504,MATCH(C279,Products!$A$5:$A$504,0))),"")</f>
        <v/>
      </c>
      <c r="E279" s="13"/>
      <c r="F279" s="10"/>
      <c r="G279" s="10"/>
      <c r="H279" s="10"/>
    </row>
    <row r="280" customFormat="false" ht="15" hidden="false" customHeight="false" outlineLevel="0" collapsed="false">
      <c r="A280" s="10"/>
      <c r="B280" s="12"/>
      <c r="C280" s="10"/>
      <c r="D280" s="14" t="str">
        <f aca="false">IFERROR(IF(C280="","",INDEX(Products!$C$5:$C$504,MATCH(C280,Products!$A$5:$A$504,0))),"")</f>
        <v/>
      </c>
      <c r="E280" s="13"/>
      <c r="F280" s="10"/>
      <c r="G280" s="10"/>
      <c r="H280" s="10"/>
    </row>
    <row r="281" customFormat="false" ht="15" hidden="false" customHeight="false" outlineLevel="0" collapsed="false">
      <c r="A281" s="10"/>
      <c r="B281" s="12"/>
      <c r="C281" s="10"/>
      <c r="D281" s="14" t="str">
        <f aca="false">IFERROR(IF(C281="","",INDEX(Products!$C$5:$C$504,MATCH(C281,Products!$A$5:$A$504,0))),"")</f>
        <v/>
      </c>
      <c r="E281" s="13"/>
      <c r="F281" s="10"/>
      <c r="G281" s="10"/>
      <c r="H281" s="10"/>
    </row>
    <row r="282" customFormat="false" ht="15" hidden="false" customHeight="false" outlineLevel="0" collapsed="false">
      <c r="A282" s="10"/>
      <c r="B282" s="12"/>
      <c r="C282" s="10"/>
      <c r="D282" s="14" t="str">
        <f aca="false">IFERROR(IF(C282="","",INDEX(Products!$C$5:$C$504,MATCH(C282,Products!$A$5:$A$504,0))),"")</f>
        <v/>
      </c>
      <c r="E282" s="13"/>
      <c r="F282" s="10"/>
      <c r="G282" s="10"/>
      <c r="H282" s="10"/>
    </row>
    <row r="283" customFormat="false" ht="15" hidden="false" customHeight="false" outlineLevel="0" collapsed="false">
      <c r="A283" s="10"/>
      <c r="B283" s="12"/>
      <c r="C283" s="10"/>
      <c r="D283" s="14" t="str">
        <f aca="false">IFERROR(IF(C283="","",INDEX(Products!$C$5:$C$504,MATCH(C283,Products!$A$5:$A$504,0))),"")</f>
        <v/>
      </c>
      <c r="E283" s="13"/>
      <c r="F283" s="10"/>
      <c r="G283" s="10"/>
      <c r="H283" s="10"/>
    </row>
    <row r="284" customFormat="false" ht="15" hidden="false" customHeight="false" outlineLevel="0" collapsed="false">
      <c r="A284" s="10"/>
      <c r="B284" s="12"/>
      <c r="C284" s="10"/>
      <c r="D284" s="14" t="str">
        <f aca="false">IFERROR(IF(C284="","",INDEX(Products!$C$5:$C$504,MATCH(C284,Products!$A$5:$A$504,0))),"")</f>
        <v/>
      </c>
      <c r="E284" s="13"/>
      <c r="F284" s="10"/>
      <c r="G284" s="10"/>
      <c r="H284" s="10"/>
    </row>
    <row r="285" customFormat="false" ht="15" hidden="false" customHeight="false" outlineLevel="0" collapsed="false">
      <c r="A285" s="10"/>
      <c r="B285" s="12"/>
      <c r="C285" s="10"/>
      <c r="D285" s="14" t="str">
        <f aca="false">IFERROR(IF(C285="","",INDEX(Products!$C$5:$C$504,MATCH(C285,Products!$A$5:$A$504,0))),"")</f>
        <v/>
      </c>
      <c r="E285" s="13"/>
      <c r="F285" s="10"/>
      <c r="G285" s="10"/>
      <c r="H285" s="10"/>
    </row>
    <row r="286" customFormat="false" ht="15" hidden="false" customHeight="false" outlineLevel="0" collapsed="false">
      <c r="A286" s="10"/>
      <c r="B286" s="12"/>
      <c r="C286" s="10"/>
      <c r="D286" s="14" t="str">
        <f aca="false">IFERROR(IF(C286="","",INDEX(Products!$C$5:$C$504,MATCH(C286,Products!$A$5:$A$504,0))),"")</f>
        <v/>
      </c>
      <c r="E286" s="13"/>
      <c r="F286" s="10"/>
      <c r="G286" s="10"/>
      <c r="H286" s="10"/>
    </row>
    <row r="287" customFormat="false" ht="15" hidden="false" customHeight="false" outlineLevel="0" collapsed="false">
      <c r="A287" s="10"/>
      <c r="B287" s="12"/>
      <c r="C287" s="10"/>
      <c r="D287" s="14" t="str">
        <f aca="false">IFERROR(IF(C287="","",INDEX(Products!$C$5:$C$504,MATCH(C287,Products!$A$5:$A$504,0))),"")</f>
        <v/>
      </c>
      <c r="E287" s="13"/>
      <c r="F287" s="10"/>
      <c r="G287" s="10"/>
      <c r="H287" s="10"/>
    </row>
    <row r="288" customFormat="false" ht="15" hidden="false" customHeight="false" outlineLevel="0" collapsed="false">
      <c r="A288" s="10"/>
      <c r="B288" s="12"/>
      <c r="C288" s="10"/>
      <c r="D288" s="14" t="str">
        <f aca="false">IFERROR(IF(C288="","",INDEX(Products!$C$5:$C$504,MATCH(C288,Products!$A$5:$A$504,0))),"")</f>
        <v/>
      </c>
      <c r="E288" s="13"/>
      <c r="F288" s="10"/>
      <c r="G288" s="10"/>
      <c r="H288" s="10"/>
    </row>
    <row r="289" customFormat="false" ht="15" hidden="false" customHeight="false" outlineLevel="0" collapsed="false">
      <c r="A289" s="10"/>
      <c r="B289" s="12"/>
      <c r="C289" s="10"/>
      <c r="D289" s="14" t="str">
        <f aca="false">IFERROR(IF(C289="","",INDEX(Products!$C$5:$C$504,MATCH(C289,Products!$A$5:$A$504,0))),"")</f>
        <v/>
      </c>
      <c r="E289" s="13"/>
      <c r="F289" s="10"/>
      <c r="G289" s="10"/>
      <c r="H289" s="10"/>
    </row>
    <row r="290" customFormat="false" ht="15" hidden="false" customHeight="false" outlineLevel="0" collapsed="false">
      <c r="A290" s="10"/>
      <c r="B290" s="12"/>
      <c r="C290" s="10"/>
      <c r="D290" s="14" t="str">
        <f aca="false">IFERROR(IF(C290="","",INDEX(Products!$C$5:$C$504,MATCH(C290,Products!$A$5:$A$504,0))),"")</f>
        <v/>
      </c>
      <c r="E290" s="13"/>
      <c r="F290" s="10"/>
      <c r="G290" s="10"/>
      <c r="H290" s="10"/>
    </row>
    <row r="291" customFormat="false" ht="15" hidden="false" customHeight="false" outlineLevel="0" collapsed="false">
      <c r="A291" s="10"/>
      <c r="B291" s="12"/>
      <c r="C291" s="10"/>
      <c r="D291" s="14" t="str">
        <f aca="false">IFERROR(IF(C291="","",INDEX(Products!$C$5:$C$504,MATCH(C291,Products!$A$5:$A$504,0))),"")</f>
        <v/>
      </c>
      <c r="E291" s="13"/>
      <c r="F291" s="10"/>
      <c r="G291" s="10"/>
      <c r="H291" s="10"/>
    </row>
    <row r="292" customFormat="false" ht="15" hidden="false" customHeight="false" outlineLevel="0" collapsed="false">
      <c r="A292" s="10"/>
      <c r="B292" s="12"/>
      <c r="C292" s="10"/>
      <c r="D292" s="14" t="str">
        <f aca="false">IFERROR(IF(C292="","",INDEX(Products!$C$5:$C$504,MATCH(C292,Products!$A$5:$A$504,0))),"")</f>
        <v/>
      </c>
      <c r="E292" s="13"/>
      <c r="F292" s="10"/>
      <c r="G292" s="10"/>
      <c r="H292" s="10"/>
    </row>
    <row r="293" customFormat="false" ht="15" hidden="false" customHeight="false" outlineLevel="0" collapsed="false">
      <c r="A293" s="10"/>
      <c r="B293" s="12"/>
      <c r="C293" s="10"/>
      <c r="D293" s="14" t="str">
        <f aca="false">IFERROR(IF(C293="","",INDEX(Products!$C$5:$C$504,MATCH(C293,Products!$A$5:$A$504,0))),"")</f>
        <v/>
      </c>
      <c r="E293" s="13"/>
      <c r="F293" s="10"/>
      <c r="G293" s="10"/>
      <c r="H293" s="10"/>
    </row>
    <row r="294" customFormat="false" ht="15" hidden="false" customHeight="false" outlineLevel="0" collapsed="false">
      <c r="A294" s="10"/>
      <c r="B294" s="12"/>
      <c r="C294" s="10"/>
      <c r="D294" s="14" t="str">
        <f aca="false">IFERROR(IF(C294="","",INDEX(Products!$C$5:$C$504,MATCH(C294,Products!$A$5:$A$504,0))),"")</f>
        <v/>
      </c>
      <c r="E294" s="13"/>
      <c r="F294" s="10"/>
      <c r="G294" s="10"/>
      <c r="H294" s="10"/>
    </row>
    <row r="295" customFormat="false" ht="15" hidden="false" customHeight="false" outlineLevel="0" collapsed="false">
      <c r="A295" s="10"/>
      <c r="B295" s="12"/>
      <c r="C295" s="10"/>
      <c r="D295" s="14" t="str">
        <f aca="false">IFERROR(IF(C295="","",INDEX(Products!$C$5:$C$504,MATCH(C295,Products!$A$5:$A$504,0))),"")</f>
        <v/>
      </c>
      <c r="E295" s="13"/>
      <c r="F295" s="10"/>
      <c r="G295" s="10"/>
      <c r="H295" s="10"/>
    </row>
    <row r="296" customFormat="false" ht="15" hidden="false" customHeight="false" outlineLevel="0" collapsed="false">
      <c r="A296" s="10"/>
      <c r="B296" s="12"/>
      <c r="C296" s="10"/>
      <c r="D296" s="14" t="str">
        <f aca="false">IFERROR(IF(C296="","",INDEX(Products!$C$5:$C$504,MATCH(C296,Products!$A$5:$A$504,0))),"")</f>
        <v/>
      </c>
      <c r="E296" s="13"/>
      <c r="F296" s="10"/>
      <c r="G296" s="10"/>
      <c r="H296" s="10"/>
    </row>
    <row r="297" customFormat="false" ht="15" hidden="false" customHeight="false" outlineLevel="0" collapsed="false">
      <c r="A297" s="10"/>
      <c r="B297" s="12"/>
      <c r="C297" s="10"/>
      <c r="D297" s="14" t="str">
        <f aca="false">IFERROR(IF(C297="","",INDEX(Products!$C$5:$C$504,MATCH(C297,Products!$A$5:$A$504,0))),"")</f>
        <v/>
      </c>
      <c r="E297" s="13"/>
      <c r="F297" s="10"/>
      <c r="G297" s="10"/>
      <c r="H297" s="10"/>
    </row>
    <row r="298" customFormat="false" ht="15" hidden="false" customHeight="false" outlineLevel="0" collapsed="false">
      <c r="A298" s="10"/>
      <c r="B298" s="12"/>
      <c r="C298" s="10"/>
      <c r="D298" s="14" t="str">
        <f aca="false">IFERROR(IF(C298="","",INDEX(Products!$C$5:$C$504,MATCH(C298,Products!$A$5:$A$504,0))),"")</f>
        <v/>
      </c>
      <c r="E298" s="13"/>
      <c r="F298" s="10"/>
      <c r="G298" s="10"/>
      <c r="H298" s="10"/>
    </row>
    <row r="299" customFormat="false" ht="15" hidden="false" customHeight="false" outlineLevel="0" collapsed="false">
      <c r="A299" s="10"/>
      <c r="B299" s="12"/>
      <c r="C299" s="10"/>
      <c r="D299" s="14" t="str">
        <f aca="false">IFERROR(IF(C299="","",INDEX(Products!$C$5:$C$504,MATCH(C299,Products!$A$5:$A$504,0))),"")</f>
        <v/>
      </c>
      <c r="E299" s="13"/>
      <c r="F299" s="10"/>
      <c r="G299" s="10"/>
      <c r="H299" s="10"/>
    </row>
    <row r="300" customFormat="false" ht="15" hidden="false" customHeight="false" outlineLevel="0" collapsed="false">
      <c r="A300" s="10"/>
      <c r="B300" s="12"/>
      <c r="C300" s="10"/>
      <c r="D300" s="14" t="str">
        <f aca="false">IFERROR(IF(C300="","",INDEX(Products!$C$5:$C$504,MATCH(C300,Products!$A$5:$A$504,0))),"")</f>
        <v/>
      </c>
      <c r="E300" s="13"/>
      <c r="F300" s="10"/>
      <c r="G300" s="10"/>
      <c r="H300" s="10"/>
    </row>
    <row r="301" customFormat="false" ht="15" hidden="false" customHeight="false" outlineLevel="0" collapsed="false">
      <c r="A301" s="10"/>
      <c r="B301" s="12"/>
      <c r="C301" s="10"/>
      <c r="D301" s="14" t="str">
        <f aca="false">IFERROR(IF(C301="","",INDEX(Products!$C$5:$C$504,MATCH(C301,Products!$A$5:$A$504,0))),"")</f>
        <v/>
      </c>
      <c r="E301" s="13"/>
      <c r="F301" s="10"/>
      <c r="G301" s="10"/>
      <c r="H301" s="10"/>
    </row>
    <row r="302" customFormat="false" ht="15" hidden="false" customHeight="false" outlineLevel="0" collapsed="false">
      <c r="A302" s="10"/>
      <c r="B302" s="12"/>
      <c r="C302" s="10"/>
      <c r="D302" s="14" t="str">
        <f aca="false">IFERROR(IF(C302="","",INDEX(Products!$C$5:$C$504,MATCH(C302,Products!$A$5:$A$504,0))),"")</f>
        <v/>
      </c>
      <c r="E302" s="13"/>
      <c r="F302" s="10"/>
      <c r="G302" s="10"/>
      <c r="H302" s="10"/>
    </row>
    <row r="303" customFormat="false" ht="15" hidden="false" customHeight="false" outlineLevel="0" collapsed="false">
      <c r="A303" s="10"/>
      <c r="B303" s="12"/>
      <c r="C303" s="10"/>
      <c r="D303" s="14" t="str">
        <f aca="false">IFERROR(IF(C303="","",INDEX(Products!$C$5:$C$504,MATCH(C303,Products!$A$5:$A$504,0))),"")</f>
        <v/>
      </c>
      <c r="E303" s="13"/>
      <c r="F303" s="10"/>
      <c r="G303" s="10"/>
      <c r="H303" s="10"/>
    </row>
    <row r="304" customFormat="false" ht="15" hidden="false" customHeight="false" outlineLevel="0" collapsed="false">
      <c r="A304" s="10"/>
      <c r="B304" s="12"/>
      <c r="C304" s="10"/>
      <c r="D304" s="14" t="str">
        <f aca="false">IFERROR(IF(C304="","",INDEX(Products!$C$5:$C$504,MATCH(C304,Products!$A$5:$A$504,0))),"")</f>
        <v/>
      </c>
      <c r="E304" s="13"/>
      <c r="F304" s="10"/>
      <c r="G304" s="10"/>
      <c r="H304" s="10"/>
    </row>
    <row r="305" customFormat="false" ht="15" hidden="false" customHeight="false" outlineLevel="0" collapsed="false">
      <c r="A305" s="10"/>
      <c r="B305" s="12"/>
      <c r="C305" s="10"/>
      <c r="D305" s="14" t="str">
        <f aca="false">IFERROR(IF(C305="","",INDEX(Products!$C$5:$C$504,MATCH(C305,Products!$A$5:$A$504,0))),"")</f>
        <v/>
      </c>
      <c r="E305" s="13"/>
      <c r="F305" s="10"/>
      <c r="G305" s="10"/>
      <c r="H305" s="10"/>
    </row>
    <row r="306" customFormat="false" ht="15" hidden="false" customHeight="false" outlineLevel="0" collapsed="false">
      <c r="A306" s="10"/>
      <c r="B306" s="12"/>
      <c r="C306" s="10"/>
      <c r="D306" s="14" t="str">
        <f aca="false">IFERROR(IF(C306="","",INDEX(Products!$C$5:$C$504,MATCH(C306,Products!$A$5:$A$504,0))),"")</f>
        <v/>
      </c>
      <c r="E306" s="13"/>
      <c r="F306" s="10"/>
      <c r="G306" s="10"/>
      <c r="H306" s="10"/>
    </row>
    <row r="307" customFormat="false" ht="15" hidden="false" customHeight="false" outlineLevel="0" collapsed="false">
      <c r="A307" s="10"/>
      <c r="B307" s="12"/>
      <c r="C307" s="10"/>
      <c r="D307" s="14" t="str">
        <f aca="false">IFERROR(IF(C307="","",INDEX(Products!$C$5:$C$504,MATCH(C307,Products!$A$5:$A$504,0))),"")</f>
        <v/>
      </c>
      <c r="E307" s="13"/>
      <c r="F307" s="10"/>
      <c r="G307" s="10"/>
      <c r="H307" s="10"/>
    </row>
    <row r="308" customFormat="false" ht="15" hidden="false" customHeight="false" outlineLevel="0" collapsed="false">
      <c r="A308" s="10"/>
      <c r="B308" s="12"/>
      <c r="C308" s="10"/>
      <c r="D308" s="14" t="str">
        <f aca="false">IFERROR(IF(C308="","",INDEX(Products!$C$5:$C$504,MATCH(C308,Products!$A$5:$A$504,0))),"")</f>
        <v/>
      </c>
      <c r="E308" s="13"/>
      <c r="F308" s="10"/>
      <c r="G308" s="10"/>
      <c r="H308" s="10"/>
    </row>
    <row r="309" customFormat="false" ht="15" hidden="false" customHeight="false" outlineLevel="0" collapsed="false">
      <c r="A309" s="10"/>
      <c r="B309" s="12"/>
      <c r="C309" s="10"/>
      <c r="D309" s="14" t="str">
        <f aca="false">IFERROR(IF(C309="","",INDEX(Products!$C$5:$C$504,MATCH(C309,Products!$A$5:$A$504,0))),"")</f>
        <v/>
      </c>
      <c r="E309" s="13"/>
      <c r="F309" s="10"/>
      <c r="G309" s="10"/>
      <c r="H309" s="10"/>
    </row>
    <row r="310" customFormat="false" ht="15" hidden="false" customHeight="false" outlineLevel="0" collapsed="false">
      <c r="A310" s="10"/>
      <c r="B310" s="12"/>
      <c r="C310" s="10"/>
      <c r="D310" s="14" t="str">
        <f aca="false">IFERROR(IF(C310="","",INDEX(Products!$C$5:$C$504,MATCH(C310,Products!$A$5:$A$504,0))),"")</f>
        <v/>
      </c>
      <c r="E310" s="13"/>
      <c r="F310" s="10"/>
      <c r="G310" s="10"/>
      <c r="H310" s="10"/>
    </row>
    <row r="311" customFormat="false" ht="15" hidden="false" customHeight="false" outlineLevel="0" collapsed="false">
      <c r="A311" s="10"/>
      <c r="B311" s="12"/>
      <c r="C311" s="10"/>
      <c r="D311" s="14" t="str">
        <f aca="false">IFERROR(IF(C311="","",INDEX(Products!$C$5:$C$504,MATCH(C311,Products!$A$5:$A$504,0))),"")</f>
        <v/>
      </c>
      <c r="E311" s="13"/>
      <c r="F311" s="10"/>
      <c r="G311" s="10"/>
      <c r="H311" s="10"/>
    </row>
    <row r="312" customFormat="false" ht="15" hidden="false" customHeight="false" outlineLevel="0" collapsed="false">
      <c r="A312" s="10"/>
      <c r="B312" s="12"/>
      <c r="C312" s="10"/>
      <c r="D312" s="14" t="str">
        <f aca="false">IFERROR(IF(C312="","",INDEX(Products!$C$5:$C$504,MATCH(C312,Products!$A$5:$A$504,0))),"")</f>
        <v/>
      </c>
      <c r="E312" s="13"/>
      <c r="F312" s="10"/>
      <c r="G312" s="10"/>
      <c r="H312" s="10"/>
    </row>
    <row r="313" customFormat="false" ht="15" hidden="false" customHeight="false" outlineLevel="0" collapsed="false">
      <c r="A313" s="10"/>
      <c r="B313" s="12"/>
      <c r="C313" s="10"/>
      <c r="D313" s="14" t="str">
        <f aca="false">IFERROR(IF(C313="","",INDEX(Products!$C$5:$C$504,MATCH(C313,Products!$A$5:$A$504,0))),"")</f>
        <v/>
      </c>
      <c r="E313" s="13"/>
      <c r="F313" s="10"/>
      <c r="G313" s="10"/>
      <c r="H313" s="10"/>
    </row>
    <row r="314" customFormat="false" ht="15" hidden="false" customHeight="false" outlineLevel="0" collapsed="false">
      <c r="A314" s="10"/>
      <c r="B314" s="12"/>
      <c r="C314" s="10"/>
      <c r="D314" s="14" t="str">
        <f aca="false">IFERROR(IF(C314="","",INDEX(Products!$C$5:$C$504,MATCH(C314,Products!$A$5:$A$504,0))),"")</f>
        <v/>
      </c>
      <c r="E314" s="13"/>
      <c r="F314" s="10"/>
      <c r="G314" s="10"/>
      <c r="H314" s="10"/>
    </row>
    <row r="315" customFormat="false" ht="15" hidden="false" customHeight="false" outlineLevel="0" collapsed="false">
      <c r="A315" s="10"/>
      <c r="B315" s="12"/>
      <c r="C315" s="10"/>
      <c r="D315" s="14" t="str">
        <f aca="false">IFERROR(IF(C315="","",INDEX(Products!$C$5:$C$504,MATCH(C315,Products!$A$5:$A$504,0))),"")</f>
        <v/>
      </c>
      <c r="E315" s="13"/>
      <c r="F315" s="10"/>
      <c r="G315" s="10"/>
      <c r="H315" s="10"/>
    </row>
    <row r="316" customFormat="false" ht="15" hidden="false" customHeight="false" outlineLevel="0" collapsed="false">
      <c r="A316" s="10"/>
      <c r="B316" s="12"/>
      <c r="C316" s="10"/>
      <c r="D316" s="14" t="str">
        <f aca="false">IFERROR(IF(C316="","",INDEX(Products!$C$5:$C$504,MATCH(C316,Products!$A$5:$A$504,0))),"")</f>
        <v/>
      </c>
      <c r="E316" s="13"/>
      <c r="F316" s="10"/>
      <c r="G316" s="10"/>
      <c r="H316" s="10"/>
    </row>
    <row r="317" customFormat="false" ht="15" hidden="false" customHeight="false" outlineLevel="0" collapsed="false">
      <c r="A317" s="10"/>
      <c r="B317" s="12"/>
      <c r="C317" s="10"/>
      <c r="D317" s="14" t="str">
        <f aca="false">IFERROR(IF(C317="","",INDEX(Products!$C$5:$C$504,MATCH(C317,Products!$A$5:$A$504,0))),"")</f>
        <v/>
      </c>
      <c r="E317" s="13"/>
      <c r="F317" s="10"/>
      <c r="G317" s="10"/>
      <c r="H317" s="10"/>
    </row>
    <row r="318" customFormat="false" ht="15" hidden="false" customHeight="false" outlineLevel="0" collapsed="false">
      <c r="A318" s="10"/>
      <c r="B318" s="12"/>
      <c r="C318" s="10"/>
      <c r="D318" s="14" t="str">
        <f aca="false">IFERROR(IF(C318="","",INDEX(Products!$C$5:$C$504,MATCH(C318,Products!$A$5:$A$504,0))),"")</f>
        <v/>
      </c>
      <c r="E318" s="13"/>
      <c r="F318" s="10"/>
      <c r="G318" s="10"/>
      <c r="H318" s="10"/>
    </row>
    <row r="319" customFormat="false" ht="15" hidden="false" customHeight="false" outlineLevel="0" collapsed="false">
      <c r="A319" s="10"/>
      <c r="B319" s="12"/>
      <c r="C319" s="10"/>
      <c r="D319" s="14" t="str">
        <f aca="false">IFERROR(IF(C319="","",INDEX(Products!$C$5:$C$504,MATCH(C319,Products!$A$5:$A$504,0))),"")</f>
        <v/>
      </c>
      <c r="E319" s="13"/>
      <c r="F319" s="10"/>
      <c r="G319" s="10"/>
      <c r="H319" s="10"/>
    </row>
    <row r="320" customFormat="false" ht="15" hidden="false" customHeight="false" outlineLevel="0" collapsed="false">
      <c r="A320" s="10"/>
      <c r="B320" s="12"/>
      <c r="C320" s="10"/>
      <c r="D320" s="14" t="str">
        <f aca="false">IFERROR(IF(C320="","",INDEX(Products!$C$5:$C$504,MATCH(C320,Products!$A$5:$A$504,0))),"")</f>
        <v/>
      </c>
      <c r="E320" s="13"/>
      <c r="F320" s="10"/>
      <c r="G320" s="10"/>
      <c r="H320" s="10"/>
    </row>
    <row r="321" customFormat="false" ht="15" hidden="false" customHeight="false" outlineLevel="0" collapsed="false">
      <c r="A321" s="10"/>
      <c r="B321" s="12"/>
      <c r="C321" s="10"/>
      <c r="D321" s="14" t="str">
        <f aca="false">IFERROR(IF(C321="","",INDEX(Products!$C$5:$C$504,MATCH(C321,Products!$A$5:$A$504,0))),"")</f>
        <v/>
      </c>
      <c r="E321" s="13"/>
      <c r="F321" s="10"/>
      <c r="G321" s="10"/>
      <c r="H321" s="10"/>
    </row>
    <row r="322" customFormat="false" ht="15" hidden="false" customHeight="false" outlineLevel="0" collapsed="false">
      <c r="A322" s="10"/>
      <c r="B322" s="12"/>
      <c r="C322" s="10"/>
      <c r="D322" s="14" t="str">
        <f aca="false">IFERROR(IF(C322="","",INDEX(Products!$C$5:$C$504,MATCH(C322,Products!$A$5:$A$504,0))),"")</f>
        <v/>
      </c>
      <c r="E322" s="13"/>
      <c r="F322" s="10"/>
      <c r="G322" s="10"/>
      <c r="H322" s="10"/>
    </row>
    <row r="323" customFormat="false" ht="15" hidden="false" customHeight="false" outlineLevel="0" collapsed="false">
      <c r="A323" s="10"/>
      <c r="B323" s="12"/>
      <c r="C323" s="10"/>
      <c r="D323" s="14" t="str">
        <f aca="false">IFERROR(IF(C323="","",INDEX(Products!$C$5:$C$504,MATCH(C323,Products!$A$5:$A$504,0))),"")</f>
        <v/>
      </c>
      <c r="E323" s="13"/>
      <c r="F323" s="10"/>
      <c r="G323" s="10"/>
      <c r="H323" s="10"/>
    </row>
    <row r="324" customFormat="false" ht="15" hidden="false" customHeight="false" outlineLevel="0" collapsed="false">
      <c r="A324" s="10"/>
      <c r="B324" s="12"/>
      <c r="C324" s="10"/>
      <c r="D324" s="14" t="str">
        <f aca="false">IFERROR(IF(C324="","",INDEX(Products!$C$5:$C$504,MATCH(C324,Products!$A$5:$A$504,0))),"")</f>
        <v/>
      </c>
      <c r="E324" s="13"/>
      <c r="F324" s="10"/>
      <c r="G324" s="10"/>
      <c r="H324" s="10"/>
    </row>
    <row r="325" customFormat="false" ht="15" hidden="false" customHeight="false" outlineLevel="0" collapsed="false">
      <c r="A325" s="10"/>
      <c r="B325" s="12"/>
      <c r="C325" s="10"/>
      <c r="D325" s="14" t="str">
        <f aca="false">IFERROR(IF(C325="","",INDEX(Products!$C$5:$C$504,MATCH(C325,Products!$A$5:$A$504,0))),"")</f>
        <v/>
      </c>
      <c r="E325" s="13"/>
      <c r="F325" s="10"/>
      <c r="G325" s="10"/>
      <c r="H325" s="10"/>
    </row>
    <row r="326" customFormat="false" ht="15" hidden="false" customHeight="false" outlineLevel="0" collapsed="false">
      <c r="A326" s="10"/>
      <c r="B326" s="12"/>
      <c r="C326" s="10"/>
      <c r="D326" s="14" t="str">
        <f aca="false">IFERROR(IF(C326="","",INDEX(Products!$C$5:$C$504,MATCH(C326,Products!$A$5:$A$504,0))),"")</f>
        <v/>
      </c>
      <c r="E326" s="13"/>
      <c r="F326" s="10"/>
      <c r="G326" s="10"/>
      <c r="H326" s="10"/>
    </row>
    <row r="327" customFormat="false" ht="15" hidden="false" customHeight="false" outlineLevel="0" collapsed="false">
      <c r="A327" s="10"/>
      <c r="B327" s="12"/>
      <c r="C327" s="10"/>
      <c r="D327" s="14" t="str">
        <f aca="false">IFERROR(IF(C327="","",INDEX(Products!$C$5:$C$504,MATCH(C327,Products!$A$5:$A$504,0))),"")</f>
        <v/>
      </c>
      <c r="E327" s="13"/>
      <c r="F327" s="10"/>
      <c r="G327" s="10"/>
      <c r="H327" s="10"/>
    </row>
    <row r="328" customFormat="false" ht="15" hidden="false" customHeight="false" outlineLevel="0" collapsed="false">
      <c r="A328" s="10"/>
      <c r="B328" s="12"/>
      <c r="C328" s="10"/>
      <c r="D328" s="14" t="str">
        <f aca="false">IFERROR(IF(C328="","",INDEX(Products!$C$5:$C$504,MATCH(C328,Products!$A$5:$A$504,0))),"")</f>
        <v/>
      </c>
      <c r="E328" s="13"/>
      <c r="F328" s="10"/>
      <c r="G328" s="10"/>
      <c r="H328" s="10"/>
    </row>
    <row r="329" customFormat="false" ht="15" hidden="false" customHeight="false" outlineLevel="0" collapsed="false">
      <c r="A329" s="10"/>
      <c r="B329" s="12"/>
      <c r="C329" s="10"/>
      <c r="D329" s="14" t="str">
        <f aca="false">IFERROR(IF(C329="","",INDEX(Products!$C$5:$C$504,MATCH(C329,Products!$A$5:$A$504,0))),"")</f>
        <v/>
      </c>
      <c r="E329" s="13"/>
      <c r="F329" s="10"/>
      <c r="G329" s="10"/>
      <c r="H329" s="10"/>
    </row>
    <row r="330" customFormat="false" ht="15" hidden="false" customHeight="false" outlineLevel="0" collapsed="false">
      <c r="A330" s="10"/>
      <c r="B330" s="12"/>
      <c r="C330" s="10"/>
      <c r="D330" s="14" t="str">
        <f aca="false">IFERROR(IF(C330="","",INDEX(Products!$C$5:$C$504,MATCH(C330,Products!$A$5:$A$504,0))),"")</f>
        <v/>
      </c>
      <c r="E330" s="13"/>
      <c r="F330" s="10"/>
      <c r="G330" s="10"/>
      <c r="H330" s="10"/>
    </row>
    <row r="331" customFormat="false" ht="15" hidden="false" customHeight="false" outlineLevel="0" collapsed="false">
      <c r="A331" s="10"/>
      <c r="B331" s="12"/>
      <c r="C331" s="10"/>
      <c r="D331" s="14" t="str">
        <f aca="false">IFERROR(IF(C331="","",INDEX(Products!$C$5:$C$504,MATCH(C331,Products!$A$5:$A$504,0))),"")</f>
        <v/>
      </c>
      <c r="E331" s="13"/>
      <c r="F331" s="10"/>
      <c r="G331" s="10"/>
      <c r="H331" s="10"/>
    </row>
    <row r="332" customFormat="false" ht="15" hidden="false" customHeight="false" outlineLevel="0" collapsed="false">
      <c r="A332" s="10"/>
      <c r="B332" s="12"/>
      <c r="C332" s="10"/>
      <c r="D332" s="14" t="str">
        <f aca="false">IFERROR(IF(C332="","",INDEX(Products!$C$5:$C$504,MATCH(C332,Products!$A$5:$A$504,0))),"")</f>
        <v/>
      </c>
      <c r="E332" s="13"/>
      <c r="F332" s="10"/>
      <c r="G332" s="10"/>
      <c r="H332" s="10"/>
    </row>
    <row r="333" customFormat="false" ht="15" hidden="false" customHeight="false" outlineLevel="0" collapsed="false">
      <c r="A333" s="10"/>
      <c r="B333" s="12"/>
      <c r="C333" s="10"/>
      <c r="D333" s="14" t="str">
        <f aca="false">IFERROR(IF(C333="","",INDEX(Products!$C$5:$C$504,MATCH(C333,Products!$A$5:$A$504,0))),"")</f>
        <v/>
      </c>
      <c r="E333" s="13"/>
      <c r="F333" s="10"/>
      <c r="G333" s="10"/>
      <c r="H333" s="10"/>
    </row>
    <row r="334" customFormat="false" ht="15" hidden="false" customHeight="false" outlineLevel="0" collapsed="false">
      <c r="A334" s="10"/>
      <c r="B334" s="12"/>
      <c r="C334" s="10"/>
      <c r="D334" s="14" t="str">
        <f aca="false">IFERROR(IF(C334="","",INDEX(Products!$C$5:$C$504,MATCH(C334,Products!$A$5:$A$504,0))),"")</f>
        <v/>
      </c>
      <c r="E334" s="13"/>
      <c r="F334" s="10"/>
      <c r="G334" s="10"/>
      <c r="H334" s="10"/>
    </row>
    <row r="335" customFormat="false" ht="15" hidden="false" customHeight="false" outlineLevel="0" collapsed="false">
      <c r="A335" s="10"/>
      <c r="B335" s="12"/>
      <c r="C335" s="10"/>
      <c r="D335" s="14" t="str">
        <f aca="false">IFERROR(IF(C335="","",INDEX(Products!$C$5:$C$504,MATCH(C335,Products!$A$5:$A$504,0))),"")</f>
        <v/>
      </c>
      <c r="E335" s="13"/>
      <c r="F335" s="10"/>
      <c r="G335" s="10"/>
      <c r="H335" s="10"/>
    </row>
    <row r="336" customFormat="false" ht="15" hidden="false" customHeight="false" outlineLevel="0" collapsed="false">
      <c r="A336" s="10"/>
      <c r="B336" s="12"/>
      <c r="C336" s="10"/>
      <c r="D336" s="14" t="str">
        <f aca="false">IFERROR(IF(C336="","",INDEX(Products!$C$5:$C$504,MATCH(C336,Products!$A$5:$A$504,0))),"")</f>
        <v/>
      </c>
      <c r="E336" s="13"/>
      <c r="F336" s="10"/>
      <c r="G336" s="10"/>
      <c r="H336" s="10"/>
    </row>
    <row r="337" customFormat="false" ht="15" hidden="false" customHeight="false" outlineLevel="0" collapsed="false">
      <c r="A337" s="10"/>
      <c r="B337" s="12"/>
      <c r="C337" s="10"/>
      <c r="D337" s="14" t="str">
        <f aca="false">IFERROR(IF(C337="","",INDEX(Products!$C$5:$C$504,MATCH(C337,Products!$A$5:$A$504,0))),"")</f>
        <v/>
      </c>
      <c r="E337" s="13"/>
      <c r="F337" s="10"/>
      <c r="G337" s="10"/>
      <c r="H337" s="10"/>
    </row>
    <row r="338" customFormat="false" ht="15" hidden="false" customHeight="false" outlineLevel="0" collapsed="false">
      <c r="A338" s="10"/>
      <c r="B338" s="12"/>
      <c r="C338" s="10"/>
      <c r="D338" s="14" t="str">
        <f aca="false">IFERROR(IF(C338="","",INDEX(Products!$C$5:$C$504,MATCH(C338,Products!$A$5:$A$504,0))),"")</f>
        <v/>
      </c>
      <c r="E338" s="13"/>
      <c r="F338" s="10"/>
      <c r="G338" s="10"/>
      <c r="H338" s="10"/>
    </row>
    <row r="339" customFormat="false" ht="15" hidden="false" customHeight="false" outlineLevel="0" collapsed="false">
      <c r="A339" s="10"/>
      <c r="B339" s="12"/>
      <c r="C339" s="10"/>
      <c r="D339" s="14" t="str">
        <f aca="false">IFERROR(IF(C339="","",INDEX(Products!$C$5:$C$504,MATCH(C339,Products!$A$5:$A$504,0))),"")</f>
        <v/>
      </c>
      <c r="E339" s="13"/>
      <c r="F339" s="10"/>
      <c r="G339" s="10"/>
      <c r="H339" s="10"/>
    </row>
    <row r="340" customFormat="false" ht="15" hidden="false" customHeight="false" outlineLevel="0" collapsed="false">
      <c r="A340" s="10"/>
      <c r="B340" s="12"/>
      <c r="C340" s="10"/>
      <c r="D340" s="14" t="str">
        <f aca="false">IFERROR(IF(C340="","",INDEX(Products!$C$5:$C$504,MATCH(C340,Products!$A$5:$A$504,0))),"")</f>
        <v/>
      </c>
      <c r="E340" s="13"/>
      <c r="F340" s="10"/>
      <c r="G340" s="10"/>
      <c r="H340" s="10"/>
    </row>
    <row r="341" customFormat="false" ht="15" hidden="false" customHeight="false" outlineLevel="0" collapsed="false">
      <c r="A341" s="10"/>
      <c r="B341" s="12"/>
      <c r="C341" s="10"/>
      <c r="D341" s="14" t="str">
        <f aca="false">IFERROR(IF(C341="","",INDEX(Products!$C$5:$C$504,MATCH(C341,Products!$A$5:$A$504,0))),"")</f>
        <v/>
      </c>
      <c r="E341" s="13"/>
      <c r="F341" s="10"/>
      <c r="G341" s="10"/>
      <c r="H341" s="10"/>
    </row>
    <row r="342" customFormat="false" ht="15" hidden="false" customHeight="false" outlineLevel="0" collapsed="false">
      <c r="A342" s="10"/>
      <c r="B342" s="12"/>
      <c r="C342" s="10"/>
      <c r="D342" s="14" t="str">
        <f aca="false">IFERROR(IF(C342="","",INDEX(Products!$C$5:$C$504,MATCH(C342,Products!$A$5:$A$504,0))),"")</f>
        <v/>
      </c>
      <c r="E342" s="13"/>
      <c r="F342" s="10"/>
      <c r="G342" s="10"/>
      <c r="H342" s="10"/>
    </row>
    <row r="343" customFormat="false" ht="15" hidden="false" customHeight="false" outlineLevel="0" collapsed="false">
      <c r="A343" s="10"/>
      <c r="B343" s="12"/>
      <c r="C343" s="10"/>
      <c r="D343" s="14" t="str">
        <f aca="false">IFERROR(IF(C343="","",INDEX(Products!$C$5:$C$504,MATCH(C343,Products!$A$5:$A$504,0))),"")</f>
        <v/>
      </c>
      <c r="E343" s="13"/>
      <c r="F343" s="10"/>
      <c r="G343" s="10"/>
      <c r="H343" s="10"/>
    </row>
    <row r="344" customFormat="false" ht="15" hidden="false" customHeight="false" outlineLevel="0" collapsed="false">
      <c r="A344" s="10"/>
      <c r="B344" s="12"/>
      <c r="C344" s="10"/>
      <c r="D344" s="14" t="str">
        <f aca="false">IFERROR(IF(C344="","",INDEX(Products!$C$5:$C$504,MATCH(C344,Products!$A$5:$A$504,0))),"")</f>
        <v/>
      </c>
      <c r="E344" s="13"/>
      <c r="F344" s="10"/>
      <c r="G344" s="10"/>
      <c r="H344" s="10"/>
    </row>
    <row r="345" customFormat="false" ht="15" hidden="false" customHeight="false" outlineLevel="0" collapsed="false">
      <c r="A345" s="10"/>
      <c r="B345" s="12"/>
      <c r="C345" s="10"/>
      <c r="D345" s="14" t="str">
        <f aca="false">IFERROR(IF(C345="","",INDEX(Products!$C$5:$C$504,MATCH(C345,Products!$A$5:$A$504,0))),"")</f>
        <v/>
      </c>
      <c r="E345" s="13"/>
      <c r="F345" s="10"/>
      <c r="G345" s="10"/>
      <c r="H345" s="10"/>
    </row>
    <row r="346" customFormat="false" ht="15" hidden="false" customHeight="false" outlineLevel="0" collapsed="false">
      <c r="A346" s="10"/>
      <c r="B346" s="12"/>
      <c r="C346" s="10"/>
      <c r="D346" s="14" t="str">
        <f aca="false">IFERROR(IF(C346="","",INDEX(Products!$C$5:$C$504,MATCH(C346,Products!$A$5:$A$504,0))),"")</f>
        <v/>
      </c>
      <c r="E346" s="13"/>
      <c r="F346" s="10"/>
      <c r="G346" s="10"/>
      <c r="H346" s="10"/>
    </row>
    <row r="347" customFormat="false" ht="15" hidden="false" customHeight="false" outlineLevel="0" collapsed="false">
      <c r="A347" s="10"/>
      <c r="B347" s="12"/>
      <c r="C347" s="10"/>
      <c r="D347" s="14" t="str">
        <f aca="false">IFERROR(IF(C347="","",INDEX(Products!$C$5:$C$504,MATCH(C347,Products!$A$5:$A$504,0))),"")</f>
        <v/>
      </c>
      <c r="E347" s="13"/>
      <c r="F347" s="10"/>
      <c r="G347" s="10"/>
      <c r="H347" s="10"/>
    </row>
    <row r="348" customFormat="false" ht="15" hidden="false" customHeight="false" outlineLevel="0" collapsed="false">
      <c r="A348" s="10"/>
      <c r="B348" s="12"/>
      <c r="C348" s="10"/>
      <c r="D348" s="14" t="str">
        <f aca="false">IFERROR(IF(C348="","",INDEX(Products!$C$5:$C$504,MATCH(C348,Products!$A$5:$A$504,0))),"")</f>
        <v/>
      </c>
      <c r="E348" s="13"/>
      <c r="F348" s="10"/>
      <c r="G348" s="10"/>
      <c r="H348" s="10"/>
    </row>
    <row r="349" customFormat="false" ht="15" hidden="false" customHeight="false" outlineLevel="0" collapsed="false">
      <c r="A349" s="10"/>
      <c r="B349" s="12"/>
      <c r="C349" s="10"/>
      <c r="D349" s="14" t="str">
        <f aca="false">IFERROR(IF(C349="","",INDEX(Products!$C$5:$C$504,MATCH(C349,Products!$A$5:$A$504,0))),"")</f>
        <v/>
      </c>
      <c r="E349" s="13"/>
      <c r="F349" s="10"/>
      <c r="G349" s="10"/>
      <c r="H349" s="10"/>
    </row>
    <row r="350" customFormat="false" ht="15" hidden="false" customHeight="false" outlineLevel="0" collapsed="false">
      <c r="A350" s="10"/>
      <c r="B350" s="12"/>
      <c r="C350" s="10"/>
      <c r="D350" s="14" t="str">
        <f aca="false">IFERROR(IF(C350="","",INDEX(Products!$C$5:$C$504,MATCH(C350,Products!$A$5:$A$504,0))),"")</f>
        <v/>
      </c>
      <c r="E350" s="13"/>
      <c r="F350" s="10"/>
      <c r="G350" s="10"/>
      <c r="H350" s="10"/>
    </row>
    <row r="351" customFormat="false" ht="15" hidden="false" customHeight="false" outlineLevel="0" collapsed="false">
      <c r="A351" s="10"/>
      <c r="B351" s="12"/>
      <c r="C351" s="10"/>
      <c r="D351" s="14" t="str">
        <f aca="false">IFERROR(IF(C351="","",INDEX(Products!$C$5:$C$504,MATCH(C351,Products!$A$5:$A$504,0))),"")</f>
        <v/>
      </c>
      <c r="E351" s="13"/>
      <c r="F351" s="10"/>
      <c r="G351" s="10"/>
      <c r="H351" s="10"/>
    </row>
    <row r="352" customFormat="false" ht="15" hidden="false" customHeight="false" outlineLevel="0" collapsed="false">
      <c r="A352" s="10"/>
      <c r="B352" s="12"/>
      <c r="C352" s="10"/>
      <c r="D352" s="14" t="str">
        <f aca="false">IFERROR(IF(C352="","",INDEX(Products!$C$5:$C$504,MATCH(C352,Products!$A$5:$A$504,0))),"")</f>
        <v/>
      </c>
      <c r="E352" s="13"/>
      <c r="F352" s="10"/>
      <c r="G352" s="10"/>
      <c r="H352" s="10"/>
    </row>
    <row r="353" customFormat="false" ht="15" hidden="false" customHeight="false" outlineLevel="0" collapsed="false">
      <c r="A353" s="10"/>
      <c r="B353" s="12"/>
      <c r="C353" s="10"/>
      <c r="D353" s="14" t="str">
        <f aca="false">IFERROR(IF(C353="","",INDEX(Products!$C$5:$C$504,MATCH(C353,Products!$A$5:$A$504,0))),"")</f>
        <v/>
      </c>
      <c r="E353" s="13"/>
      <c r="F353" s="10"/>
      <c r="G353" s="10"/>
      <c r="H353" s="10"/>
    </row>
    <row r="354" customFormat="false" ht="15" hidden="false" customHeight="false" outlineLevel="0" collapsed="false">
      <c r="A354" s="10"/>
      <c r="B354" s="12"/>
      <c r="C354" s="10"/>
      <c r="D354" s="14" t="str">
        <f aca="false">IFERROR(IF(C354="","",INDEX(Products!$C$5:$C$504,MATCH(C354,Products!$A$5:$A$504,0))),"")</f>
        <v/>
      </c>
      <c r="E354" s="13"/>
      <c r="F354" s="10"/>
      <c r="G354" s="10"/>
      <c r="H354" s="10"/>
    </row>
    <row r="355" customFormat="false" ht="15" hidden="false" customHeight="false" outlineLevel="0" collapsed="false">
      <c r="A355" s="10"/>
      <c r="B355" s="12"/>
      <c r="C355" s="10"/>
      <c r="D355" s="14" t="str">
        <f aca="false">IFERROR(IF(C355="","",INDEX(Products!$C$5:$C$504,MATCH(C355,Products!$A$5:$A$504,0))),"")</f>
        <v/>
      </c>
      <c r="E355" s="13"/>
      <c r="F355" s="10"/>
      <c r="G355" s="10"/>
      <c r="H355" s="10"/>
    </row>
    <row r="356" customFormat="false" ht="15" hidden="false" customHeight="false" outlineLevel="0" collapsed="false">
      <c r="A356" s="10"/>
      <c r="B356" s="12"/>
      <c r="C356" s="10"/>
      <c r="D356" s="14" t="str">
        <f aca="false">IFERROR(IF(C356="","",INDEX(Products!$C$5:$C$504,MATCH(C356,Products!$A$5:$A$504,0))),"")</f>
        <v/>
      </c>
      <c r="E356" s="13"/>
      <c r="F356" s="10"/>
      <c r="G356" s="10"/>
      <c r="H356" s="10"/>
    </row>
    <row r="357" customFormat="false" ht="15" hidden="false" customHeight="false" outlineLevel="0" collapsed="false">
      <c r="A357" s="10"/>
      <c r="B357" s="12"/>
      <c r="C357" s="10"/>
      <c r="D357" s="14" t="str">
        <f aca="false">IFERROR(IF(C357="","",INDEX(Products!$C$5:$C$504,MATCH(C357,Products!$A$5:$A$504,0))),"")</f>
        <v/>
      </c>
      <c r="E357" s="13"/>
      <c r="F357" s="10"/>
      <c r="G357" s="10"/>
      <c r="H357" s="10"/>
    </row>
    <row r="358" customFormat="false" ht="15" hidden="false" customHeight="false" outlineLevel="0" collapsed="false">
      <c r="A358" s="10"/>
      <c r="B358" s="12"/>
      <c r="C358" s="10"/>
      <c r="D358" s="14" t="str">
        <f aca="false">IFERROR(IF(C358="","",INDEX(Products!$C$5:$C$504,MATCH(C358,Products!$A$5:$A$504,0))),"")</f>
        <v/>
      </c>
      <c r="E358" s="13"/>
      <c r="F358" s="10"/>
      <c r="G358" s="10"/>
      <c r="H358" s="10"/>
    </row>
    <row r="359" customFormat="false" ht="15" hidden="false" customHeight="false" outlineLevel="0" collapsed="false">
      <c r="A359" s="10"/>
      <c r="B359" s="12"/>
      <c r="C359" s="10"/>
      <c r="D359" s="14" t="str">
        <f aca="false">IFERROR(IF(C359="","",INDEX(Products!$C$5:$C$504,MATCH(C359,Products!$A$5:$A$504,0))),"")</f>
        <v/>
      </c>
      <c r="E359" s="13"/>
      <c r="F359" s="10"/>
      <c r="G359" s="10"/>
      <c r="H359" s="10"/>
    </row>
    <row r="360" customFormat="false" ht="15" hidden="false" customHeight="false" outlineLevel="0" collapsed="false">
      <c r="A360" s="10"/>
      <c r="B360" s="12"/>
      <c r="C360" s="10"/>
      <c r="D360" s="14" t="str">
        <f aca="false">IFERROR(IF(C360="","",INDEX(Products!$C$5:$C$504,MATCH(C360,Products!$A$5:$A$504,0))),"")</f>
        <v/>
      </c>
      <c r="E360" s="13"/>
      <c r="F360" s="10"/>
      <c r="G360" s="10"/>
      <c r="H360" s="10"/>
    </row>
    <row r="361" customFormat="false" ht="15" hidden="false" customHeight="false" outlineLevel="0" collapsed="false">
      <c r="A361" s="10"/>
      <c r="B361" s="12"/>
      <c r="C361" s="10"/>
      <c r="D361" s="14" t="str">
        <f aca="false">IFERROR(IF(C361="","",INDEX(Products!$C$5:$C$504,MATCH(C361,Products!$A$5:$A$504,0))),"")</f>
        <v/>
      </c>
      <c r="E361" s="13"/>
      <c r="F361" s="10"/>
      <c r="G361" s="10"/>
      <c r="H361" s="10"/>
    </row>
    <row r="362" customFormat="false" ht="15" hidden="false" customHeight="false" outlineLevel="0" collapsed="false">
      <c r="A362" s="10"/>
      <c r="B362" s="12"/>
      <c r="C362" s="10"/>
      <c r="D362" s="14" t="str">
        <f aca="false">IFERROR(IF(C362="","",INDEX(Products!$C$5:$C$504,MATCH(C362,Products!$A$5:$A$504,0))),"")</f>
        <v/>
      </c>
      <c r="E362" s="13"/>
      <c r="F362" s="10"/>
      <c r="G362" s="10"/>
      <c r="H362" s="10"/>
    </row>
    <row r="363" customFormat="false" ht="15" hidden="false" customHeight="false" outlineLevel="0" collapsed="false">
      <c r="A363" s="10"/>
      <c r="B363" s="12"/>
      <c r="C363" s="10"/>
      <c r="D363" s="14" t="str">
        <f aca="false">IFERROR(IF(C363="","",INDEX(Products!$C$5:$C$504,MATCH(C363,Products!$A$5:$A$504,0))),"")</f>
        <v/>
      </c>
      <c r="E363" s="13"/>
      <c r="F363" s="10"/>
      <c r="G363" s="10"/>
      <c r="H363" s="10"/>
    </row>
    <row r="364" customFormat="false" ht="15" hidden="false" customHeight="false" outlineLevel="0" collapsed="false">
      <c r="A364" s="10"/>
      <c r="B364" s="12"/>
      <c r="C364" s="10"/>
      <c r="D364" s="14" t="str">
        <f aca="false">IFERROR(IF(C364="","",INDEX(Products!$C$5:$C$504,MATCH(C364,Products!$A$5:$A$504,0))),"")</f>
        <v/>
      </c>
      <c r="E364" s="13"/>
      <c r="F364" s="10"/>
      <c r="G364" s="10"/>
      <c r="H364" s="10"/>
    </row>
    <row r="365" customFormat="false" ht="15" hidden="false" customHeight="false" outlineLevel="0" collapsed="false">
      <c r="A365" s="10"/>
      <c r="B365" s="12"/>
      <c r="C365" s="10"/>
      <c r="D365" s="14" t="str">
        <f aca="false">IFERROR(IF(C365="","",INDEX(Products!$C$5:$C$504,MATCH(C365,Products!$A$5:$A$504,0))),"")</f>
        <v/>
      </c>
      <c r="E365" s="13"/>
      <c r="F365" s="10"/>
      <c r="G365" s="10"/>
      <c r="H365" s="10"/>
    </row>
    <row r="366" customFormat="false" ht="15" hidden="false" customHeight="false" outlineLevel="0" collapsed="false">
      <c r="A366" s="10"/>
      <c r="B366" s="12"/>
      <c r="C366" s="10"/>
      <c r="D366" s="14" t="str">
        <f aca="false">IFERROR(IF(C366="","",INDEX(Products!$C$5:$C$504,MATCH(C366,Products!$A$5:$A$504,0))),"")</f>
        <v/>
      </c>
      <c r="E366" s="13"/>
      <c r="F366" s="10"/>
      <c r="G366" s="10"/>
      <c r="H366" s="10"/>
    </row>
    <row r="367" customFormat="false" ht="15" hidden="false" customHeight="false" outlineLevel="0" collapsed="false">
      <c r="A367" s="10"/>
      <c r="B367" s="12"/>
      <c r="C367" s="10"/>
      <c r="D367" s="14" t="str">
        <f aca="false">IFERROR(IF(C367="","",INDEX(Products!$C$5:$C$504,MATCH(C367,Products!$A$5:$A$504,0))),"")</f>
        <v/>
      </c>
      <c r="E367" s="13"/>
      <c r="F367" s="10"/>
      <c r="G367" s="10"/>
      <c r="H367" s="10"/>
    </row>
    <row r="368" customFormat="false" ht="15" hidden="false" customHeight="false" outlineLevel="0" collapsed="false">
      <c r="A368" s="10"/>
      <c r="B368" s="12"/>
      <c r="C368" s="10"/>
      <c r="D368" s="14" t="str">
        <f aca="false">IFERROR(IF(C368="","",INDEX(Products!$C$5:$C$504,MATCH(C368,Products!$A$5:$A$504,0))),"")</f>
        <v/>
      </c>
      <c r="E368" s="13"/>
      <c r="F368" s="10"/>
      <c r="G368" s="10"/>
      <c r="H368" s="10"/>
    </row>
    <row r="369" customFormat="false" ht="15" hidden="false" customHeight="false" outlineLevel="0" collapsed="false">
      <c r="A369" s="10"/>
      <c r="B369" s="12"/>
      <c r="C369" s="10"/>
      <c r="D369" s="14" t="str">
        <f aca="false">IFERROR(IF(C369="","",INDEX(Products!$C$5:$C$504,MATCH(C369,Products!$A$5:$A$504,0))),"")</f>
        <v/>
      </c>
      <c r="E369" s="13"/>
      <c r="F369" s="10"/>
      <c r="G369" s="10"/>
      <c r="H369" s="10"/>
    </row>
    <row r="370" customFormat="false" ht="15" hidden="false" customHeight="false" outlineLevel="0" collapsed="false">
      <c r="A370" s="10"/>
      <c r="B370" s="12"/>
      <c r="C370" s="10"/>
      <c r="D370" s="14" t="str">
        <f aca="false">IFERROR(IF(C370="","",INDEX(Products!$C$5:$C$504,MATCH(C370,Products!$A$5:$A$504,0))),"")</f>
        <v/>
      </c>
      <c r="E370" s="13"/>
      <c r="F370" s="10"/>
      <c r="G370" s="10"/>
      <c r="H370" s="10"/>
    </row>
    <row r="371" customFormat="false" ht="15" hidden="false" customHeight="false" outlineLevel="0" collapsed="false">
      <c r="A371" s="10"/>
      <c r="B371" s="12"/>
      <c r="C371" s="10"/>
      <c r="D371" s="14" t="str">
        <f aca="false">IFERROR(IF(C371="","",INDEX(Products!$C$5:$C$504,MATCH(C371,Products!$A$5:$A$504,0))),"")</f>
        <v/>
      </c>
      <c r="E371" s="13"/>
      <c r="F371" s="10"/>
      <c r="G371" s="10"/>
      <c r="H371" s="10"/>
    </row>
    <row r="372" customFormat="false" ht="15" hidden="false" customHeight="false" outlineLevel="0" collapsed="false">
      <c r="A372" s="10"/>
      <c r="B372" s="12"/>
      <c r="C372" s="10"/>
      <c r="D372" s="14" t="str">
        <f aca="false">IFERROR(IF(C372="","",INDEX(Products!$C$5:$C$504,MATCH(C372,Products!$A$5:$A$504,0))),"")</f>
        <v/>
      </c>
      <c r="E372" s="13"/>
      <c r="F372" s="10"/>
      <c r="G372" s="10"/>
      <c r="H372" s="10"/>
    </row>
    <row r="373" customFormat="false" ht="15" hidden="false" customHeight="false" outlineLevel="0" collapsed="false">
      <c r="A373" s="10"/>
      <c r="B373" s="12"/>
      <c r="C373" s="10"/>
      <c r="D373" s="14" t="str">
        <f aca="false">IFERROR(IF(C373="","",INDEX(Products!$C$5:$C$504,MATCH(C373,Products!$A$5:$A$504,0))),"")</f>
        <v/>
      </c>
      <c r="E373" s="13"/>
      <c r="F373" s="10"/>
      <c r="G373" s="10"/>
      <c r="H373" s="10"/>
    </row>
    <row r="374" customFormat="false" ht="15" hidden="false" customHeight="false" outlineLevel="0" collapsed="false">
      <c r="A374" s="10"/>
      <c r="B374" s="12"/>
      <c r="C374" s="10"/>
      <c r="D374" s="14" t="str">
        <f aca="false">IFERROR(IF(C374="","",INDEX(Products!$C$5:$C$504,MATCH(C374,Products!$A$5:$A$504,0))),"")</f>
        <v/>
      </c>
      <c r="E374" s="13"/>
      <c r="F374" s="10"/>
      <c r="G374" s="10"/>
      <c r="H374" s="10"/>
    </row>
    <row r="375" customFormat="false" ht="15" hidden="false" customHeight="false" outlineLevel="0" collapsed="false">
      <c r="A375" s="10"/>
      <c r="B375" s="12"/>
      <c r="C375" s="10"/>
      <c r="D375" s="14" t="str">
        <f aca="false">IFERROR(IF(C375="","",INDEX(Products!$C$5:$C$504,MATCH(C375,Products!$A$5:$A$504,0))),"")</f>
        <v/>
      </c>
      <c r="E375" s="13"/>
      <c r="F375" s="10"/>
      <c r="G375" s="10"/>
      <c r="H375" s="10"/>
    </row>
    <row r="376" customFormat="false" ht="15" hidden="false" customHeight="false" outlineLevel="0" collapsed="false">
      <c r="A376" s="10"/>
      <c r="B376" s="12"/>
      <c r="C376" s="10"/>
      <c r="D376" s="14" t="str">
        <f aca="false">IFERROR(IF(C376="","",INDEX(Products!$C$5:$C$504,MATCH(C376,Products!$A$5:$A$504,0))),"")</f>
        <v/>
      </c>
      <c r="E376" s="13"/>
      <c r="F376" s="10"/>
      <c r="G376" s="10"/>
      <c r="H376" s="10"/>
    </row>
    <row r="377" customFormat="false" ht="15" hidden="false" customHeight="false" outlineLevel="0" collapsed="false">
      <c r="A377" s="10"/>
      <c r="B377" s="12"/>
      <c r="C377" s="10"/>
      <c r="D377" s="14" t="str">
        <f aca="false">IFERROR(IF(C377="","",INDEX(Products!$C$5:$C$504,MATCH(C377,Products!$A$5:$A$504,0))),"")</f>
        <v/>
      </c>
      <c r="E377" s="13"/>
      <c r="F377" s="10"/>
      <c r="G377" s="10"/>
      <c r="H377" s="10"/>
    </row>
    <row r="378" customFormat="false" ht="15" hidden="false" customHeight="false" outlineLevel="0" collapsed="false">
      <c r="A378" s="10"/>
      <c r="B378" s="12"/>
      <c r="C378" s="10"/>
      <c r="D378" s="14" t="str">
        <f aca="false">IFERROR(IF(C378="","",INDEX(Products!$C$5:$C$504,MATCH(C378,Products!$A$5:$A$504,0))),"")</f>
        <v/>
      </c>
      <c r="E378" s="13"/>
      <c r="F378" s="10"/>
      <c r="G378" s="10"/>
      <c r="H378" s="10"/>
    </row>
    <row r="379" customFormat="false" ht="15" hidden="false" customHeight="false" outlineLevel="0" collapsed="false">
      <c r="A379" s="10"/>
      <c r="B379" s="12"/>
      <c r="C379" s="10"/>
      <c r="D379" s="14" t="str">
        <f aca="false">IFERROR(IF(C379="","",INDEX(Products!$C$5:$C$504,MATCH(C379,Products!$A$5:$A$504,0))),"")</f>
        <v/>
      </c>
      <c r="E379" s="13"/>
      <c r="F379" s="10"/>
      <c r="G379" s="10"/>
      <c r="H379" s="10"/>
    </row>
    <row r="380" customFormat="false" ht="15" hidden="false" customHeight="false" outlineLevel="0" collapsed="false">
      <c r="A380" s="10"/>
      <c r="B380" s="12"/>
      <c r="C380" s="10"/>
      <c r="D380" s="14" t="str">
        <f aca="false">IFERROR(IF(C380="","",INDEX(Products!$C$5:$C$504,MATCH(C380,Products!$A$5:$A$504,0))),"")</f>
        <v/>
      </c>
      <c r="E380" s="13"/>
      <c r="F380" s="10"/>
      <c r="G380" s="10"/>
      <c r="H380" s="10"/>
    </row>
    <row r="381" customFormat="false" ht="15" hidden="false" customHeight="false" outlineLevel="0" collapsed="false">
      <c r="A381" s="10"/>
      <c r="B381" s="12"/>
      <c r="C381" s="10"/>
      <c r="D381" s="14" t="str">
        <f aca="false">IFERROR(IF(C381="","",INDEX(Products!$C$5:$C$504,MATCH(C381,Products!$A$5:$A$504,0))),"")</f>
        <v/>
      </c>
      <c r="E381" s="13"/>
      <c r="F381" s="10"/>
      <c r="G381" s="10"/>
      <c r="H381" s="10"/>
    </row>
    <row r="382" customFormat="false" ht="15" hidden="false" customHeight="false" outlineLevel="0" collapsed="false">
      <c r="A382" s="10"/>
      <c r="B382" s="12"/>
      <c r="C382" s="10"/>
      <c r="D382" s="14" t="str">
        <f aca="false">IFERROR(IF(C382="","",INDEX(Products!$C$5:$C$504,MATCH(C382,Products!$A$5:$A$504,0))),"")</f>
        <v/>
      </c>
      <c r="E382" s="13"/>
      <c r="F382" s="10"/>
      <c r="G382" s="10"/>
      <c r="H382" s="10"/>
    </row>
    <row r="383" customFormat="false" ht="15" hidden="false" customHeight="false" outlineLevel="0" collapsed="false">
      <c r="A383" s="10"/>
      <c r="B383" s="12"/>
      <c r="C383" s="10"/>
      <c r="D383" s="14" t="str">
        <f aca="false">IFERROR(IF(C383="","",INDEX(Products!$C$5:$C$504,MATCH(C383,Products!$A$5:$A$504,0))),"")</f>
        <v/>
      </c>
      <c r="E383" s="13"/>
      <c r="F383" s="10"/>
      <c r="G383" s="10"/>
      <c r="H383" s="10"/>
    </row>
    <row r="384" customFormat="false" ht="15" hidden="false" customHeight="false" outlineLevel="0" collapsed="false">
      <c r="A384" s="10"/>
      <c r="B384" s="12"/>
      <c r="C384" s="10"/>
      <c r="D384" s="14" t="str">
        <f aca="false">IFERROR(IF(C384="","",INDEX(Products!$C$5:$C$504,MATCH(C384,Products!$A$5:$A$504,0))),"")</f>
        <v/>
      </c>
      <c r="E384" s="13"/>
      <c r="F384" s="10"/>
      <c r="G384" s="10"/>
      <c r="H384" s="10"/>
    </row>
    <row r="385" customFormat="false" ht="15" hidden="false" customHeight="false" outlineLevel="0" collapsed="false">
      <c r="A385" s="10"/>
      <c r="B385" s="12"/>
      <c r="C385" s="10"/>
      <c r="D385" s="14" t="str">
        <f aca="false">IFERROR(IF(C385="","",INDEX(Products!$C$5:$C$504,MATCH(C385,Products!$A$5:$A$504,0))),"")</f>
        <v/>
      </c>
      <c r="E385" s="13"/>
      <c r="F385" s="10"/>
      <c r="G385" s="10"/>
      <c r="H385" s="10"/>
    </row>
    <row r="386" customFormat="false" ht="15" hidden="false" customHeight="false" outlineLevel="0" collapsed="false">
      <c r="A386" s="10"/>
      <c r="B386" s="12"/>
      <c r="C386" s="10"/>
      <c r="D386" s="14" t="str">
        <f aca="false">IFERROR(IF(C386="","",INDEX(Products!$C$5:$C$504,MATCH(C386,Products!$A$5:$A$504,0))),"")</f>
        <v/>
      </c>
      <c r="E386" s="13"/>
      <c r="F386" s="10"/>
      <c r="G386" s="10"/>
      <c r="H386" s="10"/>
    </row>
    <row r="387" customFormat="false" ht="15" hidden="false" customHeight="false" outlineLevel="0" collapsed="false">
      <c r="A387" s="10"/>
      <c r="B387" s="12"/>
      <c r="C387" s="10"/>
      <c r="D387" s="14" t="str">
        <f aca="false">IFERROR(IF(C387="","",INDEX(Products!$C$5:$C$504,MATCH(C387,Products!$A$5:$A$504,0))),"")</f>
        <v/>
      </c>
      <c r="E387" s="13"/>
      <c r="F387" s="10"/>
      <c r="G387" s="10"/>
      <c r="H387" s="10"/>
    </row>
    <row r="388" customFormat="false" ht="15" hidden="false" customHeight="false" outlineLevel="0" collapsed="false">
      <c r="A388" s="10"/>
      <c r="B388" s="12"/>
      <c r="C388" s="10"/>
      <c r="D388" s="14" t="str">
        <f aca="false">IFERROR(IF(C388="","",INDEX(Products!$C$5:$C$504,MATCH(C388,Products!$A$5:$A$504,0))),"")</f>
        <v/>
      </c>
      <c r="E388" s="13"/>
      <c r="F388" s="10"/>
      <c r="G388" s="10"/>
      <c r="H388" s="10"/>
    </row>
    <row r="389" customFormat="false" ht="15" hidden="false" customHeight="false" outlineLevel="0" collapsed="false">
      <c r="A389" s="10"/>
      <c r="B389" s="12"/>
      <c r="C389" s="10"/>
      <c r="D389" s="14" t="str">
        <f aca="false">IFERROR(IF(C389="","",INDEX(Products!$C$5:$C$504,MATCH(C389,Products!$A$5:$A$504,0))),"")</f>
        <v/>
      </c>
      <c r="E389" s="13"/>
      <c r="F389" s="10"/>
      <c r="G389" s="10"/>
      <c r="H389" s="10"/>
    </row>
    <row r="390" customFormat="false" ht="15" hidden="false" customHeight="false" outlineLevel="0" collapsed="false">
      <c r="A390" s="10"/>
      <c r="B390" s="12"/>
      <c r="C390" s="10"/>
      <c r="D390" s="14" t="str">
        <f aca="false">IFERROR(IF(C390="","",INDEX(Products!$C$5:$C$504,MATCH(C390,Products!$A$5:$A$504,0))),"")</f>
        <v/>
      </c>
      <c r="E390" s="13"/>
      <c r="F390" s="10"/>
      <c r="G390" s="10"/>
      <c r="H390" s="10"/>
    </row>
    <row r="391" customFormat="false" ht="15" hidden="false" customHeight="false" outlineLevel="0" collapsed="false">
      <c r="A391" s="10"/>
      <c r="B391" s="12"/>
      <c r="C391" s="10"/>
      <c r="D391" s="14" t="str">
        <f aca="false">IFERROR(IF(C391="","",INDEX(Products!$C$5:$C$504,MATCH(C391,Products!$A$5:$A$504,0))),"")</f>
        <v/>
      </c>
      <c r="E391" s="13"/>
      <c r="F391" s="10"/>
      <c r="G391" s="10"/>
      <c r="H391" s="10"/>
    </row>
    <row r="392" customFormat="false" ht="15" hidden="false" customHeight="false" outlineLevel="0" collapsed="false">
      <c r="A392" s="10"/>
      <c r="B392" s="12"/>
      <c r="C392" s="10"/>
      <c r="D392" s="14" t="str">
        <f aca="false">IFERROR(IF(C392="","",INDEX(Products!$C$5:$C$504,MATCH(C392,Products!$A$5:$A$504,0))),"")</f>
        <v/>
      </c>
      <c r="E392" s="13"/>
      <c r="F392" s="10"/>
      <c r="G392" s="10"/>
      <c r="H392" s="10"/>
    </row>
    <row r="393" customFormat="false" ht="15" hidden="false" customHeight="false" outlineLevel="0" collapsed="false">
      <c r="A393" s="10"/>
      <c r="B393" s="12"/>
      <c r="C393" s="10"/>
      <c r="D393" s="14" t="str">
        <f aca="false">IFERROR(IF(C393="","",INDEX(Products!$C$5:$C$504,MATCH(C393,Products!$A$5:$A$504,0))),"")</f>
        <v/>
      </c>
      <c r="E393" s="13"/>
      <c r="F393" s="10"/>
      <c r="G393" s="10"/>
      <c r="H393" s="10"/>
    </row>
    <row r="394" customFormat="false" ht="15" hidden="false" customHeight="false" outlineLevel="0" collapsed="false">
      <c r="A394" s="10"/>
      <c r="B394" s="12"/>
      <c r="C394" s="10"/>
      <c r="D394" s="14" t="str">
        <f aca="false">IFERROR(IF(C394="","",INDEX(Products!$C$5:$C$504,MATCH(C394,Products!$A$5:$A$504,0))),"")</f>
        <v/>
      </c>
      <c r="E394" s="13"/>
      <c r="F394" s="10"/>
      <c r="G394" s="10"/>
      <c r="H394" s="10"/>
    </row>
    <row r="395" customFormat="false" ht="15" hidden="false" customHeight="false" outlineLevel="0" collapsed="false">
      <c r="A395" s="10"/>
      <c r="B395" s="12"/>
      <c r="C395" s="10"/>
      <c r="D395" s="14" t="str">
        <f aca="false">IFERROR(IF(C395="","",INDEX(Products!$C$5:$C$504,MATCH(C395,Products!$A$5:$A$504,0))),"")</f>
        <v/>
      </c>
      <c r="E395" s="13"/>
      <c r="F395" s="10"/>
      <c r="G395" s="10"/>
      <c r="H395" s="10"/>
    </row>
    <row r="396" customFormat="false" ht="15" hidden="false" customHeight="false" outlineLevel="0" collapsed="false">
      <c r="A396" s="10"/>
      <c r="B396" s="12"/>
      <c r="C396" s="10"/>
      <c r="D396" s="14" t="str">
        <f aca="false">IFERROR(IF(C396="","",INDEX(Products!$C$5:$C$504,MATCH(C396,Products!$A$5:$A$504,0))),"")</f>
        <v/>
      </c>
      <c r="E396" s="13"/>
      <c r="F396" s="10"/>
      <c r="G396" s="10"/>
      <c r="H396" s="10"/>
    </row>
    <row r="397" customFormat="false" ht="15" hidden="false" customHeight="false" outlineLevel="0" collapsed="false">
      <c r="A397" s="10"/>
      <c r="B397" s="12"/>
      <c r="C397" s="10"/>
      <c r="D397" s="14" t="str">
        <f aca="false">IFERROR(IF(C397="","",INDEX(Products!$C$5:$C$504,MATCH(C397,Products!$A$5:$A$504,0))),"")</f>
        <v/>
      </c>
      <c r="E397" s="13"/>
      <c r="F397" s="10"/>
      <c r="G397" s="10"/>
      <c r="H397" s="10"/>
    </row>
    <row r="398" customFormat="false" ht="15" hidden="false" customHeight="false" outlineLevel="0" collapsed="false">
      <c r="A398" s="10"/>
      <c r="B398" s="12"/>
      <c r="C398" s="10"/>
      <c r="D398" s="14" t="str">
        <f aca="false">IFERROR(IF(C398="","",INDEX(Products!$C$5:$C$504,MATCH(C398,Products!$A$5:$A$504,0))),"")</f>
        <v/>
      </c>
      <c r="E398" s="13"/>
      <c r="F398" s="10"/>
      <c r="G398" s="10"/>
      <c r="H398" s="10"/>
    </row>
    <row r="399" customFormat="false" ht="15" hidden="false" customHeight="false" outlineLevel="0" collapsed="false">
      <c r="A399" s="10"/>
      <c r="B399" s="12"/>
      <c r="C399" s="10"/>
      <c r="D399" s="14" t="str">
        <f aca="false">IFERROR(IF(C399="","",INDEX(Products!$C$5:$C$504,MATCH(C399,Products!$A$5:$A$504,0))),"")</f>
        <v/>
      </c>
      <c r="E399" s="13"/>
      <c r="F399" s="10"/>
      <c r="G399" s="10"/>
      <c r="H399" s="10"/>
    </row>
    <row r="400" customFormat="false" ht="15" hidden="false" customHeight="false" outlineLevel="0" collapsed="false">
      <c r="A400" s="10"/>
      <c r="B400" s="12"/>
      <c r="C400" s="10"/>
      <c r="D400" s="14" t="str">
        <f aca="false">IFERROR(IF(C400="","",INDEX(Products!$C$5:$C$504,MATCH(C400,Products!$A$5:$A$504,0))),"")</f>
        <v/>
      </c>
      <c r="E400" s="13"/>
      <c r="F400" s="10"/>
      <c r="G400" s="10"/>
      <c r="H400" s="10"/>
    </row>
    <row r="401" customFormat="false" ht="15" hidden="false" customHeight="false" outlineLevel="0" collapsed="false">
      <c r="A401" s="10"/>
      <c r="B401" s="12"/>
      <c r="C401" s="10"/>
      <c r="D401" s="14" t="str">
        <f aca="false">IFERROR(IF(C401="","",INDEX(Products!$C$5:$C$504,MATCH(C401,Products!$A$5:$A$504,0))),"")</f>
        <v/>
      </c>
      <c r="E401" s="13"/>
      <c r="F401" s="10"/>
      <c r="G401" s="10"/>
      <c r="H401" s="10"/>
    </row>
    <row r="402" customFormat="false" ht="15" hidden="false" customHeight="false" outlineLevel="0" collapsed="false">
      <c r="A402" s="10"/>
      <c r="B402" s="12"/>
      <c r="C402" s="10"/>
      <c r="D402" s="14" t="str">
        <f aca="false">IFERROR(IF(C402="","",INDEX(Products!$C$5:$C$504,MATCH(C402,Products!$A$5:$A$504,0))),"")</f>
        <v/>
      </c>
      <c r="E402" s="13"/>
      <c r="F402" s="10"/>
      <c r="G402" s="10"/>
      <c r="H402" s="10"/>
    </row>
    <row r="403" customFormat="false" ht="15" hidden="false" customHeight="false" outlineLevel="0" collapsed="false">
      <c r="A403" s="10"/>
      <c r="B403" s="12"/>
      <c r="C403" s="10"/>
      <c r="D403" s="14" t="str">
        <f aca="false">IFERROR(IF(C403="","",INDEX(Products!$C$5:$C$504,MATCH(C403,Products!$A$5:$A$504,0))),"")</f>
        <v/>
      </c>
      <c r="E403" s="13"/>
      <c r="F403" s="10"/>
      <c r="G403" s="10"/>
      <c r="H403" s="10"/>
    </row>
    <row r="404" customFormat="false" ht="15" hidden="false" customHeight="false" outlineLevel="0" collapsed="false">
      <c r="A404" s="10"/>
      <c r="B404" s="12"/>
      <c r="C404" s="10"/>
      <c r="D404" s="14" t="str">
        <f aca="false">IFERROR(IF(C404="","",INDEX(Products!$C$5:$C$504,MATCH(C404,Products!$A$5:$A$504,0))),"")</f>
        <v/>
      </c>
      <c r="E404" s="13"/>
      <c r="F404" s="10"/>
      <c r="G404" s="10"/>
      <c r="H404" s="10"/>
    </row>
    <row r="405" customFormat="false" ht="15" hidden="false" customHeight="false" outlineLevel="0" collapsed="false">
      <c r="A405" s="10"/>
      <c r="B405" s="12"/>
      <c r="C405" s="10"/>
      <c r="D405" s="14" t="str">
        <f aca="false">IFERROR(IF(C405="","",INDEX(Products!$C$5:$C$504,MATCH(C405,Products!$A$5:$A$504,0))),"")</f>
        <v/>
      </c>
      <c r="E405" s="13"/>
      <c r="F405" s="10"/>
      <c r="G405" s="10"/>
      <c r="H405" s="10"/>
    </row>
    <row r="406" customFormat="false" ht="15" hidden="false" customHeight="false" outlineLevel="0" collapsed="false">
      <c r="A406" s="10"/>
      <c r="B406" s="12"/>
      <c r="C406" s="10"/>
      <c r="D406" s="14" t="str">
        <f aca="false">IFERROR(IF(C406="","",INDEX(Products!$C$5:$C$504,MATCH(C406,Products!$A$5:$A$504,0))),"")</f>
        <v/>
      </c>
      <c r="E406" s="13"/>
      <c r="F406" s="10"/>
      <c r="G406" s="10"/>
      <c r="H406" s="10"/>
    </row>
    <row r="407" customFormat="false" ht="15" hidden="false" customHeight="false" outlineLevel="0" collapsed="false">
      <c r="A407" s="10"/>
      <c r="B407" s="12"/>
      <c r="C407" s="10"/>
      <c r="D407" s="14" t="str">
        <f aca="false">IFERROR(IF(C407="","",INDEX(Products!$C$5:$C$504,MATCH(C407,Products!$A$5:$A$504,0))),"")</f>
        <v/>
      </c>
      <c r="E407" s="13"/>
      <c r="F407" s="10"/>
      <c r="G407" s="10"/>
      <c r="H407" s="10"/>
    </row>
    <row r="408" customFormat="false" ht="15" hidden="false" customHeight="false" outlineLevel="0" collapsed="false">
      <c r="A408" s="10"/>
      <c r="B408" s="12"/>
      <c r="C408" s="10"/>
      <c r="D408" s="14" t="str">
        <f aca="false">IFERROR(IF(C408="","",INDEX(Products!$C$5:$C$504,MATCH(C408,Products!$A$5:$A$504,0))),"")</f>
        <v/>
      </c>
      <c r="E408" s="13"/>
      <c r="F408" s="10"/>
      <c r="G408" s="10"/>
      <c r="H408" s="10"/>
    </row>
    <row r="409" customFormat="false" ht="15" hidden="false" customHeight="false" outlineLevel="0" collapsed="false">
      <c r="A409" s="10"/>
      <c r="B409" s="12"/>
      <c r="C409" s="10"/>
      <c r="D409" s="14" t="str">
        <f aca="false">IFERROR(IF(C409="","",INDEX(Products!$C$5:$C$504,MATCH(C409,Products!$A$5:$A$504,0))),"")</f>
        <v/>
      </c>
      <c r="E409" s="13"/>
      <c r="F409" s="10"/>
      <c r="G409" s="10"/>
      <c r="H409" s="10"/>
    </row>
    <row r="410" customFormat="false" ht="15" hidden="false" customHeight="false" outlineLevel="0" collapsed="false">
      <c r="A410" s="10"/>
      <c r="B410" s="12"/>
      <c r="C410" s="10"/>
      <c r="D410" s="14" t="str">
        <f aca="false">IFERROR(IF(C410="","",INDEX(Products!$C$5:$C$504,MATCH(C410,Products!$A$5:$A$504,0))),"")</f>
        <v/>
      </c>
      <c r="E410" s="13"/>
      <c r="F410" s="10"/>
      <c r="G410" s="10"/>
      <c r="H410" s="10"/>
    </row>
    <row r="411" customFormat="false" ht="15" hidden="false" customHeight="false" outlineLevel="0" collapsed="false">
      <c r="A411" s="10"/>
      <c r="B411" s="12"/>
      <c r="C411" s="10"/>
      <c r="D411" s="14" t="str">
        <f aca="false">IFERROR(IF(C411="","",INDEX(Products!$C$5:$C$504,MATCH(C411,Products!$A$5:$A$504,0))),"")</f>
        <v/>
      </c>
      <c r="E411" s="13"/>
      <c r="F411" s="10"/>
      <c r="G411" s="10"/>
      <c r="H411" s="10"/>
    </row>
    <row r="412" customFormat="false" ht="15" hidden="false" customHeight="false" outlineLevel="0" collapsed="false">
      <c r="A412" s="10"/>
      <c r="B412" s="12"/>
      <c r="C412" s="10"/>
      <c r="D412" s="14" t="str">
        <f aca="false">IFERROR(IF(C412="","",INDEX(Products!$C$5:$C$504,MATCH(C412,Products!$A$5:$A$504,0))),"")</f>
        <v/>
      </c>
      <c r="E412" s="13"/>
      <c r="F412" s="10"/>
      <c r="G412" s="10"/>
      <c r="H412" s="10"/>
    </row>
    <row r="413" customFormat="false" ht="15" hidden="false" customHeight="false" outlineLevel="0" collapsed="false">
      <c r="A413" s="10"/>
      <c r="B413" s="12"/>
      <c r="C413" s="10"/>
      <c r="D413" s="14" t="str">
        <f aca="false">IFERROR(IF(C413="","",INDEX(Products!$C$5:$C$504,MATCH(C413,Products!$A$5:$A$504,0))),"")</f>
        <v/>
      </c>
      <c r="E413" s="13"/>
      <c r="F413" s="10"/>
      <c r="G413" s="10"/>
      <c r="H413" s="10"/>
    </row>
    <row r="414" customFormat="false" ht="15" hidden="false" customHeight="false" outlineLevel="0" collapsed="false">
      <c r="A414" s="10"/>
      <c r="B414" s="12"/>
      <c r="C414" s="10"/>
      <c r="D414" s="14" t="str">
        <f aca="false">IFERROR(IF(C414="","",INDEX(Products!$C$5:$C$504,MATCH(C414,Products!$A$5:$A$504,0))),"")</f>
        <v/>
      </c>
      <c r="E414" s="13"/>
      <c r="F414" s="10"/>
      <c r="G414" s="10"/>
      <c r="H414" s="10"/>
    </row>
    <row r="415" customFormat="false" ht="15" hidden="false" customHeight="false" outlineLevel="0" collapsed="false">
      <c r="A415" s="10"/>
      <c r="B415" s="12"/>
      <c r="C415" s="10"/>
      <c r="D415" s="14" t="str">
        <f aca="false">IFERROR(IF(C415="","",INDEX(Products!$C$5:$C$504,MATCH(C415,Products!$A$5:$A$504,0))),"")</f>
        <v/>
      </c>
      <c r="E415" s="13"/>
      <c r="F415" s="10"/>
      <c r="G415" s="10"/>
      <c r="H415" s="10"/>
    </row>
    <row r="416" customFormat="false" ht="15" hidden="false" customHeight="false" outlineLevel="0" collapsed="false">
      <c r="A416" s="10"/>
      <c r="B416" s="12"/>
      <c r="C416" s="10"/>
      <c r="D416" s="14" t="str">
        <f aca="false">IFERROR(IF(C416="","",INDEX(Products!$C$5:$C$504,MATCH(C416,Products!$A$5:$A$504,0))),"")</f>
        <v/>
      </c>
      <c r="E416" s="13"/>
      <c r="F416" s="10"/>
      <c r="G416" s="10"/>
      <c r="H416" s="10"/>
    </row>
    <row r="417" customFormat="false" ht="15" hidden="false" customHeight="false" outlineLevel="0" collapsed="false">
      <c r="A417" s="10"/>
      <c r="B417" s="12"/>
      <c r="C417" s="10"/>
      <c r="D417" s="14" t="str">
        <f aca="false">IFERROR(IF(C417="","",INDEX(Products!$C$5:$C$504,MATCH(C417,Products!$A$5:$A$504,0))),"")</f>
        <v/>
      </c>
      <c r="E417" s="13"/>
      <c r="F417" s="10"/>
      <c r="G417" s="10"/>
      <c r="H417" s="10"/>
    </row>
    <row r="418" customFormat="false" ht="15" hidden="false" customHeight="false" outlineLevel="0" collapsed="false">
      <c r="A418" s="10"/>
      <c r="B418" s="12"/>
      <c r="C418" s="10"/>
      <c r="D418" s="14" t="str">
        <f aca="false">IFERROR(IF(C418="","",INDEX(Products!$C$5:$C$504,MATCH(C418,Products!$A$5:$A$504,0))),"")</f>
        <v/>
      </c>
      <c r="E418" s="13"/>
      <c r="F418" s="10"/>
      <c r="G418" s="10"/>
      <c r="H418" s="10"/>
    </row>
    <row r="419" customFormat="false" ht="15" hidden="false" customHeight="false" outlineLevel="0" collapsed="false">
      <c r="A419" s="10"/>
      <c r="B419" s="12"/>
      <c r="C419" s="10"/>
      <c r="D419" s="14" t="str">
        <f aca="false">IFERROR(IF(C419="","",INDEX(Products!$C$5:$C$504,MATCH(C419,Products!$A$5:$A$504,0))),"")</f>
        <v/>
      </c>
      <c r="E419" s="13"/>
      <c r="F419" s="10"/>
      <c r="G419" s="10"/>
      <c r="H419" s="10"/>
    </row>
    <row r="420" customFormat="false" ht="15" hidden="false" customHeight="false" outlineLevel="0" collapsed="false">
      <c r="A420" s="10"/>
      <c r="B420" s="12"/>
      <c r="C420" s="10"/>
      <c r="D420" s="14" t="str">
        <f aca="false">IFERROR(IF(C420="","",INDEX(Products!$C$5:$C$504,MATCH(C420,Products!$A$5:$A$504,0))),"")</f>
        <v/>
      </c>
      <c r="E420" s="13"/>
      <c r="F420" s="10"/>
      <c r="G420" s="10"/>
      <c r="H420" s="10"/>
    </row>
    <row r="421" customFormat="false" ht="15" hidden="false" customHeight="false" outlineLevel="0" collapsed="false">
      <c r="A421" s="10"/>
      <c r="B421" s="12"/>
      <c r="C421" s="10"/>
      <c r="D421" s="14" t="str">
        <f aca="false">IFERROR(IF(C421="","",INDEX(Products!$C$5:$C$504,MATCH(C421,Products!$A$5:$A$504,0))),"")</f>
        <v/>
      </c>
      <c r="E421" s="13"/>
      <c r="F421" s="10"/>
      <c r="G421" s="10"/>
      <c r="H421" s="10"/>
    </row>
    <row r="422" customFormat="false" ht="15" hidden="false" customHeight="false" outlineLevel="0" collapsed="false">
      <c r="A422" s="10"/>
      <c r="B422" s="12"/>
      <c r="C422" s="10"/>
      <c r="D422" s="14" t="str">
        <f aca="false">IFERROR(IF(C422="","",INDEX(Products!$C$5:$C$504,MATCH(C422,Products!$A$5:$A$504,0))),"")</f>
        <v/>
      </c>
      <c r="E422" s="13"/>
      <c r="F422" s="10"/>
      <c r="G422" s="10"/>
      <c r="H422" s="10"/>
    </row>
    <row r="423" customFormat="false" ht="15" hidden="false" customHeight="false" outlineLevel="0" collapsed="false">
      <c r="A423" s="10"/>
      <c r="B423" s="12"/>
      <c r="C423" s="10"/>
      <c r="D423" s="14" t="str">
        <f aca="false">IFERROR(IF(C423="","",INDEX(Products!$C$5:$C$504,MATCH(C423,Products!$A$5:$A$504,0))),"")</f>
        <v/>
      </c>
      <c r="E423" s="13"/>
      <c r="F423" s="10"/>
      <c r="G423" s="10"/>
      <c r="H423" s="10"/>
    </row>
    <row r="424" customFormat="false" ht="15" hidden="false" customHeight="false" outlineLevel="0" collapsed="false">
      <c r="A424" s="10"/>
      <c r="B424" s="12"/>
      <c r="C424" s="10"/>
      <c r="D424" s="14" t="str">
        <f aca="false">IFERROR(IF(C424="","",INDEX(Products!$C$5:$C$504,MATCH(C424,Products!$A$5:$A$504,0))),"")</f>
        <v/>
      </c>
      <c r="E424" s="13"/>
      <c r="F424" s="10"/>
      <c r="G424" s="10"/>
      <c r="H424" s="10"/>
    </row>
    <row r="425" customFormat="false" ht="15" hidden="false" customHeight="false" outlineLevel="0" collapsed="false">
      <c r="A425" s="10"/>
      <c r="B425" s="12"/>
      <c r="C425" s="10"/>
      <c r="D425" s="14" t="str">
        <f aca="false">IFERROR(IF(C425="","",INDEX(Products!$C$5:$C$504,MATCH(C425,Products!$A$5:$A$504,0))),"")</f>
        <v/>
      </c>
      <c r="E425" s="13"/>
      <c r="F425" s="10"/>
      <c r="G425" s="10"/>
      <c r="H425" s="10"/>
    </row>
    <row r="426" customFormat="false" ht="15" hidden="false" customHeight="false" outlineLevel="0" collapsed="false">
      <c r="A426" s="10"/>
      <c r="B426" s="12"/>
      <c r="C426" s="10"/>
      <c r="D426" s="14" t="str">
        <f aca="false">IFERROR(IF(C426="","",INDEX(Products!$C$5:$C$504,MATCH(C426,Products!$A$5:$A$504,0))),"")</f>
        <v/>
      </c>
      <c r="E426" s="13"/>
      <c r="F426" s="10"/>
      <c r="G426" s="10"/>
      <c r="H426" s="10"/>
    </row>
    <row r="427" customFormat="false" ht="15" hidden="false" customHeight="false" outlineLevel="0" collapsed="false">
      <c r="A427" s="10"/>
      <c r="B427" s="12"/>
      <c r="C427" s="10"/>
      <c r="D427" s="14" t="str">
        <f aca="false">IFERROR(IF(C427="","",INDEX(Products!$C$5:$C$504,MATCH(C427,Products!$A$5:$A$504,0))),"")</f>
        <v/>
      </c>
      <c r="E427" s="13"/>
      <c r="F427" s="10"/>
      <c r="G427" s="10"/>
      <c r="H427" s="10"/>
    </row>
    <row r="428" customFormat="false" ht="15" hidden="false" customHeight="false" outlineLevel="0" collapsed="false">
      <c r="A428" s="10"/>
      <c r="B428" s="12"/>
      <c r="C428" s="10"/>
      <c r="D428" s="14" t="str">
        <f aca="false">IFERROR(IF(C428="","",INDEX(Products!$C$5:$C$504,MATCH(C428,Products!$A$5:$A$504,0))),"")</f>
        <v/>
      </c>
      <c r="E428" s="13"/>
      <c r="F428" s="10"/>
      <c r="G428" s="10"/>
      <c r="H428" s="10"/>
    </row>
    <row r="429" customFormat="false" ht="15" hidden="false" customHeight="false" outlineLevel="0" collapsed="false">
      <c r="A429" s="10"/>
      <c r="B429" s="12"/>
      <c r="C429" s="10"/>
      <c r="D429" s="14" t="str">
        <f aca="false">IFERROR(IF(C429="","",INDEX(Products!$C$5:$C$504,MATCH(C429,Products!$A$5:$A$504,0))),"")</f>
        <v/>
      </c>
      <c r="E429" s="13"/>
      <c r="F429" s="10"/>
      <c r="G429" s="10"/>
      <c r="H429" s="10"/>
    </row>
    <row r="430" customFormat="false" ht="15" hidden="false" customHeight="false" outlineLevel="0" collapsed="false">
      <c r="A430" s="10"/>
      <c r="B430" s="12"/>
      <c r="C430" s="10"/>
      <c r="D430" s="14" t="str">
        <f aca="false">IFERROR(IF(C430="","",INDEX(Products!$C$5:$C$504,MATCH(C430,Products!$A$5:$A$504,0))),"")</f>
        <v/>
      </c>
      <c r="E430" s="13"/>
      <c r="F430" s="10"/>
      <c r="G430" s="10"/>
      <c r="H430" s="10"/>
    </row>
    <row r="431" customFormat="false" ht="15" hidden="false" customHeight="false" outlineLevel="0" collapsed="false">
      <c r="A431" s="10"/>
      <c r="B431" s="12"/>
      <c r="C431" s="10"/>
      <c r="D431" s="14" t="str">
        <f aca="false">IFERROR(IF(C431="","",INDEX(Products!$C$5:$C$504,MATCH(C431,Products!$A$5:$A$504,0))),"")</f>
        <v/>
      </c>
      <c r="E431" s="13"/>
      <c r="F431" s="10"/>
      <c r="G431" s="10"/>
      <c r="H431" s="10"/>
    </row>
    <row r="432" customFormat="false" ht="15" hidden="false" customHeight="false" outlineLevel="0" collapsed="false">
      <c r="A432" s="10"/>
      <c r="B432" s="12"/>
      <c r="C432" s="10"/>
      <c r="D432" s="14" t="str">
        <f aca="false">IFERROR(IF(C432="","",INDEX(Products!$C$5:$C$504,MATCH(C432,Products!$A$5:$A$504,0))),"")</f>
        <v/>
      </c>
      <c r="E432" s="13"/>
      <c r="F432" s="10"/>
      <c r="G432" s="10"/>
      <c r="H432" s="10"/>
    </row>
    <row r="433" customFormat="false" ht="15" hidden="false" customHeight="false" outlineLevel="0" collapsed="false">
      <c r="A433" s="10"/>
      <c r="B433" s="12"/>
      <c r="C433" s="10"/>
      <c r="D433" s="14" t="str">
        <f aca="false">IFERROR(IF(C433="","",INDEX(Products!$C$5:$C$504,MATCH(C433,Products!$A$5:$A$504,0))),"")</f>
        <v/>
      </c>
      <c r="E433" s="13"/>
      <c r="F433" s="10"/>
      <c r="G433" s="10"/>
      <c r="H433" s="10"/>
    </row>
    <row r="434" customFormat="false" ht="15" hidden="false" customHeight="false" outlineLevel="0" collapsed="false">
      <c r="A434" s="10"/>
      <c r="B434" s="12"/>
      <c r="C434" s="10"/>
      <c r="D434" s="14" t="str">
        <f aca="false">IFERROR(IF(C434="","",INDEX(Products!$C$5:$C$504,MATCH(C434,Products!$A$5:$A$504,0))),"")</f>
        <v/>
      </c>
      <c r="E434" s="13"/>
      <c r="F434" s="10"/>
      <c r="G434" s="10"/>
      <c r="H434" s="10"/>
    </row>
    <row r="435" customFormat="false" ht="15" hidden="false" customHeight="false" outlineLevel="0" collapsed="false">
      <c r="A435" s="10"/>
      <c r="B435" s="12"/>
      <c r="C435" s="10"/>
      <c r="D435" s="14" t="str">
        <f aca="false">IFERROR(IF(C435="","",INDEX(Products!$C$5:$C$504,MATCH(C435,Products!$A$5:$A$504,0))),"")</f>
        <v/>
      </c>
      <c r="E435" s="13"/>
      <c r="F435" s="10"/>
      <c r="G435" s="10"/>
      <c r="H435" s="10"/>
    </row>
    <row r="436" customFormat="false" ht="15" hidden="false" customHeight="false" outlineLevel="0" collapsed="false">
      <c r="A436" s="10"/>
      <c r="B436" s="12"/>
      <c r="C436" s="10"/>
      <c r="D436" s="14" t="str">
        <f aca="false">IFERROR(IF(C436="","",INDEX(Products!$C$5:$C$504,MATCH(C436,Products!$A$5:$A$504,0))),"")</f>
        <v/>
      </c>
      <c r="E436" s="13"/>
      <c r="F436" s="10"/>
      <c r="G436" s="10"/>
      <c r="H436" s="10"/>
    </row>
    <row r="437" customFormat="false" ht="15" hidden="false" customHeight="false" outlineLevel="0" collapsed="false">
      <c r="A437" s="10"/>
      <c r="B437" s="12"/>
      <c r="C437" s="10"/>
      <c r="D437" s="14" t="str">
        <f aca="false">IFERROR(IF(C437="","",INDEX(Products!$C$5:$C$504,MATCH(C437,Products!$A$5:$A$504,0))),"")</f>
        <v/>
      </c>
      <c r="E437" s="13"/>
      <c r="F437" s="10"/>
      <c r="G437" s="10"/>
      <c r="H437" s="10"/>
    </row>
    <row r="438" customFormat="false" ht="15" hidden="false" customHeight="false" outlineLevel="0" collapsed="false">
      <c r="A438" s="10"/>
      <c r="B438" s="12"/>
      <c r="C438" s="10"/>
      <c r="D438" s="14" t="str">
        <f aca="false">IFERROR(IF(C438="","",INDEX(Products!$C$5:$C$504,MATCH(C438,Products!$A$5:$A$504,0))),"")</f>
        <v/>
      </c>
      <c r="E438" s="13"/>
      <c r="F438" s="10"/>
      <c r="G438" s="10"/>
      <c r="H438" s="10"/>
    </row>
    <row r="439" customFormat="false" ht="15" hidden="false" customHeight="false" outlineLevel="0" collapsed="false">
      <c r="A439" s="10"/>
      <c r="B439" s="12"/>
      <c r="C439" s="10"/>
      <c r="D439" s="14" t="str">
        <f aca="false">IFERROR(IF(C439="","",INDEX(Products!$C$5:$C$504,MATCH(C439,Products!$A$5:$A$504,0))),"")</f>
        <v/>
      </c>
      <c r="E439" s="13"/>
      <c r="F439" s="10"/>
      <c r="G439" s="10"/>
      <c r="H439" s="10"/>
    </row>
    <row r="440" customFormat="false" ht="15" hidden="false" customHeight="false" outlineLevel="0" collapsed="false">
      <c r="A440" s="10"/>
      <c r="B440" s="12"/>
      <c r="C440" s="10"/>
      <c r="D440" s="14" t="str">
        <f aca="false">IFERROR(IF(C440="","",INDEX(Products!$C$5:$C$504,MATCH(C440,Products!$A$5:$A$504,0))),"")</f>
        <v/>
      </c>
      <c r="E440" s="13"/>
      <c r="F440" s="10"/>
      <c r="G440" s="10"/>
      <c r="H440" s="10"/>
    </row>
    <row r="441" customFormat="false" ht="15" hidden="false" customHeight="false" outlineLevel="0" collapsed="false">
      <c r="A441" s="10"/>
      <c r="B441" s="12"/>
      <c r="C441" s="10"/>
      <c r="D441" s="14" t="str">
        <f aca="false">IFERROR(IF(C441="","",INDEX(Products!$C$5:$C$504,MATCH(C441,Products!$A$5:$A$504,0))),"")</f>
        <v/>
      </c>
      <c r="E441" s="13"/>
      <c r="F441" s="10"/>
      <c r="G441" s="10"/>
      <c r="H441" s="10"/>
    </row>
    <row r="442" customFormat="false" ht="15" hidden="false" customHeight="false" outlineLevel="0" collapsed="false">
      <c r="A442" s="10"/>
      <c r="B442" s="12"/>
      <c r="C442" s="10"/>
      <c r="D442" s="14" t="str">
        <f aca="false">IFERROR(IF(C442="","",INDEX(Products!$C$5:$C$504,MATCH(C442,Products!$A$5:$A$504,0))),"")</f>
        <v/>
      </c>
      <c r="E442" s="13"/>
      <c r="F442" s="10"/>
      <c r="G442" s="10"/>
      <c r="H442" s="10"/>
    </row>
    <row r="443" customFormat="false" ht="15" hidden="false" customHeight="false" outlineLevel="0" collapsed="false">
      <c r="A443" s="10"/>
      <c r="B443" s="12"/>
      <c r="C443" s="10"/>
      <c r="D443" s="14" t="str">
        <f aca="false">IFERROR(IF(C443="","",INDEX(Products!$C$5:$C$504,MATCH(C443,Products!$A$5:$A$504,0))),"")</f>
        <v/>
      </c>
      <c r="E443" s="13"/>
      <c r="F443" s="10"/>
      <c r="G443" s="10"/>
      <c r="H443" s="10"/>
    </row>
    <row r="444" customFormat="false" ht="15" hidden="false" customHeight="false" outlineLevel="0" collapsed="false">
      <c r="A444" s="10"/>
      <c r="B444" s="12"/>
      <c r="C444" s="10"/>
      <c r="D444" s="14" t="str">
        <f aca="false">IFERROR(IF(C444="","",INDEX(Products!$C$5:$C$504,MATCH(C444,Products!$A$5:$A$504,0))),"")</f>
        <v/>
      </c>
      <c r="E444" s="13"/>
      <c r="F444" s="10"/>
      <c r="G444" s="10"/>
      <c r="H444" s="10"/>
    </row>
    <row r="445" customFormat="false" ht="15" hidden="false" customHeight="false" outlineLevel="0" collapsed="false">
      <c r="A445" s="10"/>
      <c r="B445" s="12"/>
      <c r="C445" s="10"/>
      <c r="D445" s="14" t="str">
        <f aca="false">IFERROR(IF(C445="","",INDEX(Products!$C$5:$C$504,MATCH(C445,Products!$A$5:$A$504,0))),"")</f>
        <v/>
      </c>
      <c r="E445" s="13"/>
      <c r="F445" s="10"/>
      <c r="G445" s="10"/>
      <c r="H445" s="10"/>
    </row>
    <row r="446" customFormat="false" ht="15" hidden="false" customHeight="false" outlineLevel="0" collapsed="false">
      <c r="A446" s="10"/>
      <c r="B446" s="12"/>
      <c r="C446" s="10"/>
      <c r="D446" s="14" t="str">
        <f aca="false">IFERROR(IF(C446="","",INDEX(Products!$C$5:$C$504,MATCH(C446,Products!$A$5:$A$504,0))),"")</f>
        <v/>
      </c>
      <c r="E446" s="13"/>
      <c r="F446" s="10"/>
      <c r="G446" s="10"/>
      <c r="H446" s="10"/>
    </row>
    <row r="447" customFormat="false" ht="15" hidden="false" customHeight="false" outlineLevel="0" collapsed="false">
      <c r="A447" s="10"/>
      <c r="B447" s="12"/>
      <c r="C447" s="10"/>
      <c r="D447" s="14" t="str">
        <f aca="false">IFERROR(IF(C447="","",INDEX(Products!$C$5:$C$504,MATCH(C447,Products!$A$5:$A$504,0))),"")</f>
        <v/>
      </c>
      <c r="E447" s="13"/>
      <c r="F447" s="10"/>
      <c r="G447" s="10"/>
      <c r="H447" s="10"/>
    </row>
    <row r="448" customFormat="false" ht="15" hidden="false" customHeight="false" outlineLevel="0" collapsed="false">
      <c r="A448" s="10"/>
      <c r="B448" s="12"/>
      <c r="C448" s="10"/>
      <c r="D448" s="14" t="str">
        <f aca="false">IFERROR(IF(C448="","",INDEX(Products!$C$5:$C$504,MATCH(C448,Products!$A$5:$A$504,0))),"")</f>
        <v/>
      </c>
      <c r="E448" s="13"/>
      <c r="F448" s="10"/>
      <c r="G448" s="10"/>
      <c r="H448" s="10"/>
    </row>
    <row r="449" customFormat="false" ht="15" hidden="false" customHeight="false" outlineLevel="0" collapsed="false">
      <c r="A449" s="10"/>
      <c r="B449" s="12"/>
      <c r="C449" s="10"/>
      <c r="D449" s="14" t="str">
        <f aca="false">IFERROR(IF(C449="","",INDEX(Products!$C$5:$C$504,MATCH(C449,Products!$A$5:$A$504,0))),"")</f>
        <v/>
      </c>
      <c r="E449" s="13"/>
      <c r="F449" s="10"/>
      <c r="G449" s="10"/>
      <c r="H449" s="10"/>
    </row>
    <row r="450" customFormat="false" ht="15" hidden="false" customHeight="false" outlineLevel="0" collapsed="false">
      <c r="A450" s="10"/>
      <c r="B450" s="12"/>
      <c r="C450" s="10"/>
      <c r="D450" s="14" t="str">
        <f aca="false">IFERROR(IF(C450="","",INDEX(Products!$C$5:$C$504,MATCH(C450,Products!$A$5:$A$504,0))),"")</f>
        <v/>
      </c>
      <c r="E450" s="13"/>
      <c r="F450" s="10"/>
      <c r="G450" s="10"/>
      <c r="H450" s="10"/>
    </row>
    <row r="451" customFormat="false" ht="15" hidden="false" customHeight="false" outlineLevel="0" collapsed="false">
      <c r="A451" s="10"/>
      <c r="B451" s="12"/>
      <c r="C451" s="10"/>
      <c r="D451" s="14" t="str">
        <f aca="false">IFERROR(IF(C451="","",INDEX(Products!$C$5:$C$504,MATCH(C451,Products!$A$5:$A$504,0))),"")</f>
        <v/>
      </c>
      <c r="E451" s="13"/>
      <c r="F451" s="10"/>
      <c r="G451" s="10"/>
      <c r="H451" s="10"/>
    </row>
    <row r="452" customFormat="false" ht="15" hidden="false" customHeight="false" outlineLevel="0" collapsed="false">
      <c r="A452" s="10"/>
      <c r="B452" s="12"/>
      <c r="C452" s="10"/>
      <c r="D452" s="14" t="str">
        <f aca="false">IFERROR(IF(C452="","",INDEX(Products!$C$5:$C$504,MATCH(C452,Products!$A$5:$A$504,0))),"")</f>
        <v/>
      </c>
      <c r="E452" s="13"/>
      <c r="F452" s="10"/>
      <c r="G452" s="10"/>
      <c r="H452" s="10"/>
    </row>
    <row r="453" customFormat="false" ht="15" hidden="false" customHeight="false" outlineLevel="0" collapsed="false">
      <c r="A453" s="10"/>
      <c r="B453" s="12"/>
      <c r="C453" s="10"/>
      <c r="D453" s="14" t="str">
        <f aca="false">IFERROR(IF(C453="","",INDEX(Products!$C$5:$C$504,MATCH(C453,Products!$A$5:$A$504,0))),"")</f>
        <v/>
      </c>
      <c r="E453" s="13"/>
      <c r="F453" s="10"/>
      <c r="G453" s="10"/>
      <c r="H453" s="10"/>
    </row>
    <row r="454" customFormat="false" ht="15" hidden="false" customHeight="false" outlineLevel="0" collapsed="false">
      <c r="A454" s="10"/>
      <c r="B454" s="12"/>
      <c r="C454" s="10"/>
      <c r="D454" s="14" t="str">
        <f aca="false">IFERROR(IF(C454="","",INDEX(Products!$C$5:$C$504,MATCH(C454,Products!$A$5:$A$504,0))),"")</f>
        <v/>
      </c>
      <c r="E454" s="13"/>
      <c r="F454" s="10"/>
      <c r="G454" s="10"/>
      <c r="H454" s="10"/>
    </row>
    <row r="455" customFormat="false" ht="15" hidden="false" customHeight="false" outlineLevel="0" collapsed="false">
      <c r="A455" s="10"/>
      <c r="B455" s="12"/>
      <c r="C455" s="10"/>
      <c r="D455" s="14" t="str">
        <f aca="false">IFERROR(IF(C455="","",INDEX(Products!$C$5:$C$504,MATCH(C455,Products!$A$5:$A$504,0))),"")</f>
        <v/>
      </c>
      <c r="E455" s="13"/>
      <c r="F455" s="10"/>
      <c r="G455" s="10"/>
      <c r="H455" s="10"/>
    </row>
    <row r="456" customFormat="false" ht="15" hidden="false" customHeight="false" outlineLevel="0" collapsed="false">
      <c r="A456" s="10"/>
      <c r="B456" s="12"/>
      <c r="C456" s="10"/>
      <c r="D456" s="14" t="str">
        <f aca="false">IFERROR(IF(C456="","",INDEX(Products!$C$5:$C$504,MATCH(C456,Products!$A$5:$A$504,0))),"")</f>
        <v/>
      </c>
      <c r="E456" s="13"/>
      <c r="F456" s="10"/>
      <c r="G456" s="10"/>
      <c r="H456" s="10"/>
    </row>
    <row r="457" customFormat="false" ht="15" hidden="false" customHeight="false" outlineLevel="0" collapsed="false">
      <c r="A457" s="10"/>
      <c r="B457" s="12"/>
      <c r="C457" s="10"/>
      <c r="D457" s="14" t="str">
        <f aca="false">IFERROR(IF(C457="","",INDEX(Products!$C$5:$C$504,MATCH(C457,Products!$A$5:$A$504,0))),"")</f>
        <v/>
      </c>
      <c r="E457" s="13"/>
      <c r="F457" s="10"/>
      <c r="G457" s="10"/>
      <c r="H457" s="10"/>
    </row>
    <row r="458" customFormat="false" ht="15" hidden="false" customHeight="false" outlineLevel="0" collapsed="false">
      <c r="A458" s="10"/>
      <c r="B458" s="12"/>
      <c r="C458" s="10"/>
      <c r="D458" s="14" t="str">
        <f aca="false">IFERROR(IF(C458="","",INDEX(Products!$C$5:$C$504,MATCH(C458,Products!$A$5:$A$504,0))),"")</f>
        <v/>
      </c>
      <c r="E458" s="13"/>
      <c r="F458" s="10"/>
      <c r="G458" s="10"/>
      <c r="H458" s="10"/>
    </row>
    <row r="459" customFormat="false" ht="15" hidden="false" customHeight="false" outlineLevel="0" collapsed="false">
      <c r="A459" s="10"/>
      <c r="B459" s="12"/>
      <c r="C459" s="10"/>
      <c r="D459" s="14" t="str">
        <f aca="false">IFERROR(IF(C459="","",INDEX(Products!$C$5:$C$504,MATCH(C459,Products!$A$5:$A$504,0))),"")</f>
        <v/>
      </c>
      <c r="E459" s="13"/>
      <c r="F459" s="10"/>
      <c r="G459" s="10"/>
      <c r="H459" s="10"/>
    </row>
    <row r="460" customFormat="false" ht="15" hidden="false" customHeight="false" outlineLevel="0" collapsed="false">
      <c r="A460" s="10"/>
      <c r="B460" s="12"/>
      <c r="C460" s="10"/>
      <c r="D460" s="14" t="str">
        <f aca="false">IFERROR(IF(C460="","",INDEX(Products!$C$5:$C$504,MATCH(C460,Products!$A$5:$A$504,0))),"")</f>
        <v/>
      </c>
      <c r="E460" s="13"/>
      <c r="F460" s="10"/>
      <c r="G460" s="10"/>
      <c r="H460" s="10"/>
    </row>
    <row r="461" customFormat="false" ht="15" hidden="false" customHeight="false" outlineLevel="0" collapsed="false">
      <c r="A461" s="10"/>
      <c r="B461" s="12"/>
      <c r="C461" s="10"/>
      <c r="D461" s="14" t="str">
        <f aca="false">IFERROR(IF(C461="","",INDEX(Products!$C$5:$C$504,MATCH(C461,Products!$A$5:$A$504,0))),"")</f>
        <v/>
      </c>
      <c r="E461" s="13"/>
      <c r="F461" s="10"/>
      <c r="G461" s="10"/>
      <c r="H461" s="10"/>
    </row>
    <row r="462" customFormat="false" ht="15" hidden="false" customHeight="false" outlineLevel="0" collapsed="false">
      <c r="A462" s="10"/>
      <c r="B462" s="12"/>
      <c r="C462" s="10"/>
      <c r="D462" s="14" t="str">
        <f aca="false">IFERROR(IF(C462="","",INDEX(Products!$C$5:$C$504,MATCH(C462,Products!$A$5:$A$504,0))),"")</f>
        <v/>
      </c>
      <c r="E462" s="13"/>
      <c r="F462" s="10"/>
      <c r="G462" s="10"/>
      <c r="H462" s="10"/>
    </row>
    <row r="463" customFormat="false" ht="15" hidden="false" customHeight="false" outlineLevel="0" collapsed="false">
      <c r="A463" s="10"/>
      <c r="B463" s="12"/>
      <c r="C463" s="10"/>
      <c r="D463" s="14" t="str">
        <f aca="false">IFERROR(IF(C463="","",INDEX(Products!$C$5:$C$504,MATCH(C463,Products!$A$5:$A$504,0))),"")</f>
        <v/>
      </c>
      <c r="E463" s="13"/>
      <c r="F463" s="10"/>
      <c r="G463" s="10"/>
      <c r="H463" s="10"/>
    </row>
    <row r="464" customFormat="false" ht="15" hidden="false" customHeight="false" outlineLevel="0" collapsed="false">
      <c r="A464" s="10"/>
      <c r="B464" s="12"/>
      <c r="C464" s="10"/>
      <c r="D464" s="14" t="str">
        <f aca="false">IFERROR(IF(C464="","",INDEX(Products!$C$5:$C$504,MATCH(C464,Products!$A$5:$A$504,0))),"")</f>
        <v/>
      </c>
      <c r="E464" s="13"/>
      <c r="F464" s="10"/>
      <c r="G464" s="10"/>
      <c r="H464" s="10"/>
    </row>
    <row r="465" customFormat="false" ht="15" hidden="false" customHeight="false" outlineLevel="0" collapsed="false">
      <c r="A465" s="10"/>
      <c r="B465" s="12"/>
      <c r="C465" s="10"/>
      <c r="D465" s="14" t="str">
        <f aca="false">IFERROR(IF(C465="","",INDEX(Products!$C$5:$C$504,MATCH(C465,Products!$A$5:$A$504,0))),"")</f>
        <v/>
      </c>
      <c r="E465" s="13"/>
      <c r="F465" s="10"/>
      <c r="G465" s="10"/>
      <c r="H465" s="10"/>
    </row>
    <row r="466" customFormat="false" ht="15" hidden="false" customHeight="false" outlineLevel="0" collapsed="false">
      <c r="A466" s="10"/>
      <c r="B466" s="12"/>
      <c r="C466" s="10"/>
      <c r="D466" s="14" t="str">
        <f aca="false">IFERROR(IF(C466="","",INDEX(Products!$C$5:$C$504,MATCH(C466,Products!$A$5:$A$504,0))),"")</f>
        <v/>
      </c>
      <c r="E466" s="13"/>
      <c r="F466" s="10"/>
      <c r="G466" s="10"/>
      <c r="H466" s="10"/>
    </row>
    <row r="467" customFormat="false" ht="15" hidden="false" customHeight="false" outlineLevel="0" collapsed="false">
      <c r="A467" s="10"/>
      <c r="B467" s="12"/>
      <c r="C467" s="10"/>
      <c r="D467" s="14" t="str">
        <f aca="false">IFERROR(IF(C467="","",INDEX(Products!$C$5:$C$504,MATCH(C467,Products!$A$5:$A$504,0))),"")</f>
        <v/>
      </c>
      <c r="E467" s="13"/>
      <c r="F467" s="10"/>
      <c r="G467" s="10"/>
      <c r="H467" s="10"/>
    </row>
    <row r="468" customFormat="false" ht="15" hidden="false" customHeight="false" outlineLevel="0" collapsed="false">
      <c r="A468" s="10"/>
      <c r="B468" s="12"/>
      <c r="C468" s="10"/>
      <c r="D468" s="14" t="str">
        <f aca="false">IFERROR(IF(C468="","",INDEX(Products!$C$5:$C$504,MATCH(C468,Products!$A$5:$A$504,0))),"")</f>
        <v/>
      </c>
      <c r="E468" s="13"/>
      <c r="F468" s="10"/>
      <c r="G468" s="10"/>
      <c r="H468" s="10"/>
    </row>
    <row r="469" customFormat="false" ht="15" hidden="false" customHeight="false" outlineLevel="0" collapsed="false">
      <c r="A469" s="10"/>
      <c r="B469" s="12"/>
      <c r="C469" s="10"/>
      <c r="D469" s="14" t="str">
        <f aca="false">IFERROR(IF(C469="","",INDEX(Products!$C$5:$C$504,MATCH(C469,Products!$A$5:$A$504,0))),"")</f>
        <v/>
      </c>
      <c r="E469" s="13"/>
      <c r="F469" s="10"/>
      <c r="G469" s="10"/>
      <c r="H469" s="10"/>
    </row>
    <row r="470" customFormat="false" ht="15" hidden="false" customHeight="false" outlineLevel="0" collapsed="false">
      <c r="A470" s="10"/>
      <c r="B470" s="12"/>
      <c r="C470" s="10"/>
      <c r="D470" s="14" t="str">
        <f aca="false">IFERROR(IF(C470="","",INDEX(Products!$C$5:$C$504,MATCH(C470,Products!$A$5:$A$504,0))),"")</f>
        <v/>
      </c>
      <c r="E470" s="13"/>
      <c r="F470" s="10"/>
      <c r="G470" s="10"/>
      <c r="H470" s="10"/>
    </row>
    <row r="471" customFormat="false" ht="15" hidden="false" customHeight="false" outlineLevel="0" collapsed="false">
      <c r="A471" s="10"/>
      <c r="B471" s="12"/>
      <c r="C471" s="10"/>
      <c r="D471" s="14" t="str">
        <f aca="false">IFERROR(IF(C471="","",INDEX(Products!$C$5:$C$504,MATCH(C471,Products!$A$5:$A$504,0))),"")</f>
        <v/>
      </c>
      <c r="E471" s="13"/>
      <c r="F471" s="10"/>
      <c r="G471" s="10"/>
      <c r="H471" s="10"/>
    </row>
    <row r="472" customFormat="false" ht="15" hidden="false" customHeight="false" outlineLevel="0" collapsed="false">
      <c r="A472" s="10"/>
      <c r="B472" s="12"/>
      <c r="C472" s="10"/>
      <c r="D472" s="14" t="str">
        <f aca="false">IFERROR(IF(C472="","",INDEX(Products!$C$5:$C$504,MATCH(C472,Products!$A$5:$A$504,0))),"")</f>
        <v/>
      </c>
      <c r="E472" s="13"/>
      <c r="F472" s="10"/>
      <c r="G472" s="10"/>
      <c r="H472" s="10"/>
    </row>
    <row r="473" customFormat="false" ht="15" hidden="false" customHeight="false" outlineLevel="0" collapsed="false">
      <c r="A473" s="10"/>
      <c r="B473" s="12"/>
      <c r="C473" s="10"/>
      <c r="D473" s="14" t="str">
        <f aca="false">IFERROR(IF(C473="","",INDEX(Products!$C$5:$C$504,MATCH(C473,Products!$A$5:$A$504,0))),"")</f>
        <v/>
      </c>
      <c r="E473" s="13"/>
      <c r="F473" s="10"/>
      <c r="G473" s="10"/>
      <c r="H473" s="10"/>
    </row>
    <row r="474" customFormat="false" ht="15" hidden="false" customHeight="false" outlineLevel="0" collapsed="false">
      <c r="A474" s="10"/>
      <c r="B474" s="12"/>
      <c r="C474" s="10"/>
      <c r="D474" s="14" t="str">
        <f aca="false">IFERROR(IF(C474="","",INDEX(Products!$C$5:$C$504,MATCH(C474,Products!$A$5:$A$504,0))),"")</f>
        <v/>
      </c>
      <c r="E474" s="13"/>
      <c r="F474" s="10"/>
      <c r="G474" s="10"/>
      <c r="H474" s="10"/>
    </row>
    <row r="475" customFormat="false" ht="15" hidden="false" customHeight="false" outlineLevel="0" collapsed="false">
      <c r="A475" s="10"/>
      <c r="B475" s="12"/>
      <c r="C475" s="10"/>
      <c r="D475" s="14" t="str">
        <f aca="false">IFERROR(IF(C475="","",INDEX(Products!$C$5:$C$504,MATCH(C475,Products!$A$5:$A$504,0))),"")</f>
        <v/>
      </c>
      <c r="E475" s="13"/>
      <c r="F475" s="10"/>
      <c r="G475" s="10"/>
      <c r="H475" s="10"/>
    </row>
    <row r="476" customFormat="false" ht="15" hidden="false" customHeight="false" outlineLevel="0" collapsed="false">
      <c r="A476" s="10"/>
      <c r="B476" s="12"/>
      <c r="C476" s="10"/>
      <c r="D476" s="14" t="str">
        <f aca="false">IFERROR(IF(C476="","",INDEX(Products!$C$5:$C$504,MATCH(C476,Products!$A$5:$A$504,0))),"")</f>
        <v/>
      </c>
      <c r="E476" s="13"/>
      <c r="F476" s="10"/>
      <c r="G476" s="10"/>
      <c r="H476" s="10"/>
    </row>
    <row r="477" customFormat="false" ht="15" hidden="false" customHeight="false" outlineLevel="0" collapsed="false">
      <c r="A477" s="10"/>
      <c r="B477" s="12"/>
      <c r="C477" s="10"/>
      <c r="D477" s="14" t="str">
        <f aca="false">IFERROR(IF(C477="","",INDEX(Products!$C$5:$C$504,MATCH(C477,Products!$A$5:$A$504,0))),"")</f>
        <v/>
      </c>
      <c r="E477" s="13"/>
      <c r="F477" s="10"/>
      <c r="G477" s="10"/>
      <c r="H477" s="10"/>
    </row>
    <row r="478" customFormat="false" ht="15" hidden="false" customHeight="false" outlineLevel="0" collapsed="false">
      <c r="A478" s="10"/>
      <c r="B478" s="12"/>
      <c r="C478" s="10"/>
      <c r="D478" s="14" t="str">
        <f aca="false">IFERROR(IF(C478="","",INDEX(Products!$C$5:$C$504,MATCH(C478,Products!$A$5:$A$504,0))),"")</f>
        <v/>
      </c>
      <c r="E478" s="13"/>
      <c r="F478" s="10"/>
      <c r="G478" s="10"/>
      <c r="H478" s="10"/>
    </row>
    <row r="479" customFormat="false" ht="15" hidden="false" customHeight="false" outlineLevel="0" collapsed="false">
      <c r="A479" s="10"/>
      <c r="B479" s="12"/>
      <c r="C479" s="10"/>
      <c r="D479" s="14" t="str">
        <f aca="false">IFERROR(IF(C479="","",INDEX(Products!$C$5:$C$504,MATCH(C479,Products!$A$5:$A$504,0))),"")</f>
        <v/>
      </c>
      <c r="E479" s="13"/>
      <c r="F479" s="10"/>
      <c r="G479" s="10"/>
      <c r="H479" s="10"/>
    </row>
    <row r="480" customFormat="false" ht="15" hidden="false" customHeight="false" outlineLevel="0" collapsed="false">
      <c r="A480" s="10"/>
      <c r="B480" s="12"/>
      <c r="C480" s="10"/>
      <c r="D480" s="14" t="str">
        <f aca="false">IFERROR(IF(C480="","",INDEX(Products!$C$5:$C$504,MATCH(C480,Products!$A$5:$A$504,0))),"")</f>
        <v/>
      </c>
      <c r="E480" s="13"/>
      <c r="F480" s="10"/>
      <c r="G480" s="10"/>
      <c r="H480" s="10"/>
    </row>
    <row r="481" customFormat="false" ht="15" hidden="false" customHeight="false" outlineLevel="0" collapsed="false">
      <c r="A481" s="10"/>
      <c r="B481" s="12"/>
      <c r="C481" s="10"/>
      <c r="D481" s="14" t="str">
        <f aca="false">IFERROR(IF(C481="","",INDEX(Products!$C$5:$C$504,MATCH(C481,Products!$A$5:$A$504,0))),"")</f>
        <v/>
      </c>
      <c r="E481" s="13"/>
      <c r="F481" s="10"/>
      <c r="G481" s="10"/>
      <c r="H481" s="10"/>
    </row>
    <row r="482" customFormat="false" ht="15" hidden="false" customHeight="false" outlineLevel="0" collapsed="false">
      <c r="A482" s="10"/>
      <c r="B482" s="12"/>
      <c r="C482" s="10"/>
      <c r="D482" s="14" t="str">
        <f aca="false">IFERROR(IF(C482="","",INDEX(Products!$C$5:$C$504,MATCH(C482,Products!$A$5:$A$504,0))),"")</f>
        <v/>
      </c>
      <c r="E482" s="13"/>
      <c r="F482" s="10"/>
      <c r="G482" s="10"/>
      <c r="H482" s="10"/>
    </row>
    <row r="483" customFormat="false" ht="15" hidden="false" customHeight="false" outlineLevel="0" collapsed="false">
      <c r="A483" s="10"/>
      <c r="B483" s="12"/>
      <c r="C483" s="10"/>
      <c r="D483" s="14" t="str">
        <f aca="false">IFERROR(IF(C483="","",INDEX(Products!$C$5:$C$504,MATCH(C483,Products!$A$5:$A$504,0))),"")</f>
        <v/>
      </c>
      <c r="E483" s="13"/>
      <c r="F483" s="10"/>
      <c r="G483" s="10"/>
      <c r="H483" s="10"/>
    </row>
    <row r="484" customFormat="false" ht="15" hidden="false" customHeight="false" outlineLevel="0" collapsed="false">
      <c r="A484" s="10"/>
      <c r="B484" s="12"/>
      <c r="C484" s="10"/>
      <c r="D484" s="14" t="str">
        <f aca="false">IFERROR(IF(C484="","",INDEX(Products!$C$5:$C$504,MATCH(C484,Products!$A$5:$A$504,0))),"")</f>
        <v/>
      </c>
      <c r="E484" s="13"/>
      <c r="F484" s="10"/>
      <c r="G484" s="10"/>
      <c r="H484" s="10"/>
    </row>
    <row r="485" customFormat="false" ht="15" hidden="false" customHeight="false" outlineLevel="0" collapsed="false">
      <c r="A485" s="10"/>
      <c r="B485" s="12"/>
      <c r="C485" s="10"/>
      <c r="D485" s="14" t="str">
        <f aca="false">IFERROR(IF(C485="","",INDEX(Products!$C$5:$C$504,MATCH(C485,Products!$A$5:$A$504,0))),"")</f>
        <v/>
      </c>
      <c r="E485" s="13"/>
      <c r="F485" s="10"/>
      <c r="G485" s="10"/>
      <c r="H485" s="10"/>
    </row>
    <row r="486" customFormat="false" ht="15" hidden="false" customHeight="false" outlineLevel="0" collapsed="false">
      <c r="A486" s="10"/>
      <c r="B486" s="12"/>
      <c r="C486" s="10"/>
      <c r="D486" s="14" t="str">
        <f aca="false">IFERROR(IF(C486="","",INDEX(Products!$C$5:$C$504,MATCH(C486,Products!$A$5:$A$504,0))),"")</f>
        <v/>
      </c>
      <c r="E486" s="13"/>
      <c r="F486" s="10"/>
      <c r="G486" s="10"/>
      <c r="H486" s="10"/>
    </row>
    <row r="487" customFormat="false" ht="15" hidden="false" customHeight="false" outlineLevel="0" collapsed="false">
      <c r="A487" s="10"/>
      <c r="B487" s="12"/>
      <c r="C487" s="10"/>
      <c r="D487" s="14" t="str">
        <f aca="false">IFERROR(IF(C487="","",INDEX(Products!$C$5:$C$504,MATCH(C487,Products!$A$5:$A$504,0))),"")</f>
        <v/>
      </c>
      <c r="E487" s="13"/>
      <c r="F487" s="10"/>
      <c r="G487" s="10"/>
      <c r="H487" s="10"/>
    </row>
    <row r="488" customFormat="false" ht="15" hidden="false" customHeight="false" outlineLevel="0" collapsed="false">
      <c r="A488" s="10"/>
      <c r="B488" s="12"/>
      <c r="C488" s="10"/>
      <c r="D488" s="14" t="str">
        <f aca="false">IFERROR(IF(C488="","",INDEX(Products!$C$5:$C$504,MATCH(C488,Products!$A$5:$A$504,0))),"")</f>
        <v/>
      </c>
      <c r="E488" s="13"/>
      <c r="F488" s="10"/>
      <c r="G488" s="10"/>
      <c r="H488" s="10"/>
    </row>
    <row r="489" customFormat="false" ht="15" hidden="false" customHeight="false" outlineLevel="0" collapsed="false">
      <c r="A489" s="10"/>
      <c r="B489" s="12"/>
      <c r="C489" s="10"/>
      <c r="D489" s="14" t="str">
        <f aca="false">IFERROR(IF(C489="","",INDEX(Products!$C$5:$C$504,MATCH(C489,Products!$A$5:$A$504,0))),"")</f>
        <v/>
      </c>
      <c r="E489" s="13"/>
      <c r="F489" s="10"/>
      <c r="G489" s="10"/>
      <c r="H489" s="10"/>
    </row>
    <row r="490" customFormat="false" ht="15" hidden="false" customHeight="false" outlineLevel="0" collapsed="false">
      <c r="A490" s="10"/>
      <c r="B490" s="12"/>
      <c r="C490" s="10"/>
      <c r="D490" s="14" t="str">
        <f aca="false">IFERROR(IF(C490="","",INDEX(Products!$C$5:$C$504,MATCH(C490,Products!$A$5:$A$504,0))),"")</f>
        <v/>
      </c>
      <c r="E490" s="13"/>
      <c r="F490" s="10"/>
      <c r="G490" s="10"/>
      <c r="H490" s="10"/>
    </row>
    <row r="491" customFormat="false" ht="15" hidden="false" customHeight="false" outlineLevel="0" collapsed="false">
      <c r="A491" s="10"/>
      <c r="B491" s="12"/>
      <c r="C491" s="10"/>
      <c r="D491" s="14" t="str">
        <f aca="false">IFERROR(IF(C491="","",INDEX(Products!$C$5:$C$504,MATCH(C491,Products!$A$5:$A$504,0))),"")</f>
        <v/>
      </c>
      <c r="E491" s="13"/>
      <c r="F491" s="10"/>
      <c r="G491" s="10"/>
      <c r="H491" s="10"/>
    </row>
    <row r="492" customFormat="false" ht="15" hidden="false" customHeight="false" outlineLevel="0" collapsed="false">
      <c r="A492" s="10"/>
      <c r="B492" s="12"/>
      <c r="C492" s="10"/>
      <c r="D492" s="14" t="str">
        <f aca="false">IFERROR(IF(C492="","",INDEX(Products!$C$5:$C$504,MATCH(C492,Products!$A$5:$A$504,0))),"")</f>
        <v/>
      </c>
      <c r="E492" s="13"/>
      <c r="F492" s="10"/>
      <c r="G492" s="10"/>
      <c r="H492" s="10"/>
    </row>
    <row r="493" customFormat="false" ht="15" hidden="false" customHeight="false" outlineLevel="0" collapsed="false">
      <c r="A493" s="10"/>
      <c r="B493" s="12"/>
      <c r="C493" s="10"/>
      <c r="D493" s="14" t="str">
        <f aca="false">IFERROR(IF(C493="","",INDEX(Products!$C$5:$C$504,MATCH(C493,Products!$A$5:$A$504,0))),"")</f>
        <v/>
      </c>
      <c r="E493" s="13"/>
      <c r="F493" s="10"/>
      <c r="G493" s="10"/>
      <c r="H493" s="10"/>
    </row>
    <row r="494" customFormat="false" ht="15" hidden="false" customHeight="false" outlineLevel="0" collapsed="false">
      <c r="A494" s="10"/>
      <c r="B494" s="12"/>
      <c r="C494" s="10"/>
      <c r="D494" s="14" t="str">
        <f aca="false">IFERROR(IF(C494="","",INDEX(Products!$C$5:$C$504,MATCH(C494,Products!$A$5:$A$504,0))),"")</f>
        <v/>
      </c>
      <c r="E494" s="13"/>
      <c r="F494" s="10"/>
      <c r="G494" s="10"/>
      <c r="H494" s="10"/>
    </row>
    <row r="495" customFormat="false" ht="15" hidden="false" customHeight="false" outlineLevel="0" collapsed="false">
      <c r="A495" s="10"/>
      <c r="B495" s="12"/>
      <c r="C495" s="10"/>
      <c r="D495" s="14" t="str">
        <f aca="false">IFERROR(IF(C495="","",INDEX(Products!$C$5:$C$504,MATCH(C495,Products!$A$5:$A$504,0))),"")</f>
        <v/>
      </c>
      <c r="E495" s="13"/>
      <c r="F495" s="10"/>
      <c r="G495" s="10"/>
      <c r="H495" s="10"/>
    </row>
    <row r="496" customFormat="false" ht="15" hidden="false" customHeight="false" outlineLevel="0" collapsed="false">
      <c r="A496" s="10"/>
      <c r="B496" s="12"/>
      <c r="C496" s="10"/>
      <c r="D496" s="14" t="str">
        <f aca="false">IFERROR(IF(C496="","",INDEX(Products!$C$5:$C$504,MATCH(C496,Products!$A$5:$A$504,0))),"")</f>
        <v/>
      </c>
      <c r="E496" s="13"/>
      <c r="F496" s="10"/>
      <c r="G496" s="10"/>
      <c r="H496" s="10"/>
    </row>
    <row r="497" customFormat="false" ht="15" hidden="false" customHeight="false" outlineLevel="0" collapsed="false">
      <c r="A497" s="10"/>
      <c r="B497" s="12"/>
      <c r="C497" s="10"/>
      <c r="D497" s="14" t="str">
        <f aca="false">IFERROR(IF(C497="","",INDEX(Products!$C$5:$C$504,MATCH(C497,Products!$A$5:$A$504,0))),"")</f>
        <v/>
      </c>
      <c r="E497" s="13"/>
      <c r="F497" s="10"/>
      <c r="G497" s="10"/>
      <c r="H497" s="10"/>
    </row>
    <row r="498" customFormat="false" ht="15" hidden="false" customHeight="false" outlineLevel="0" collapsed="false">
      <c r="A498" s="10"/>
      <c r="B498" s="12"/>
      <c r="C498" s="10"/>
      <c r="D498" s="14" t="str">
        <f aca="false">IFERROR(IF(C498="","",INDEX(Products!$C$5:$C$504,MATCH(C498,Products!$A$5:$A$504,0))),"")</f>
        <v/>
      </c>
      <c r="E498" s="13"/>
      <c r="F498" s="10"/>
      <c r="G498" s="10"/>
      <c r="H498" s="10"/>
    </row>
    <row r="499" customFormat="false" ht="15" hidden="false" customHeight="false" outlineLevel="0" collapsed="false">
      <c r="A499" s="10"/>
      <c r="B499" s="12"/>
      <c r="C499" s="10"/>
      <c r="D499" s="14" t="str">
        <f aca="false">IFERROR(IF(C499="","",INDEX(Products!$C$5:$C$504,MATCH(C499,Products!$A$5:$A$504,0))),"")</f>
        <v/>
      </c>
      <c r="E499" s="13"/>
      <c r="F499" s="10"/>
      <c r="G499" s="10"/>
      <c r="H499" s="10"/>
    </row>
    <row r="500" customFormat="false" ht="15" hidden="false" customHeight="false" outlineLevel="0" collapsed="false">
      <c r="A500" s="10"/>
      <c r="B500" s="12"/>
      <c r="C500" s="10"/>
      <c r="D500" s="14" t="str">
        <f aca="false">IFERROR(IF(C500="","",INDEX(Products!$C$5:$C$504,MATCH(C500,Products!$A$5:$A$504,0))),"")</f>
        <v/>
      </c>
      <c r="E500" s="13"/>
      <c r="F500" s="10"/>
      <c r="G500" s="10"/>
      <c r="H500" s="10"/>
    </row>
    <row r="501" customFormat="false" ht="15" hidden="false" customHeight="false" outlineLevel="0" collapsed="false">
      <c r="A501" s="10"/>
      <c r="B501" s="12"/>
      <c r="C501" s="10"/>
      <c r="D501" s="14" t="str">
        <f aca="false">IFERROR(IF(C501="","",INDEX(Products!$C$5:$C$504,MATCH(C501,Products!$A$5:$A$504,0))),"")</f>
        <v/>
      </c>
      <c r="E501" s="13"/>
      <c r="F501" s="10"/>
      <c r="G501" s="10"/>
      <c r="H501" s="10"/>
    </row>
    <row r="502" customFormat="false" ht="15" hidden="false" customHeight="false" outlineLevel="0" collapsed="false">
      <c r="A502" s="10"/>
      <c r="B502" s="12"/>
      <c r="C502" s="10"/>
      <c r="D502" s="14" t="str">
        <f aca="false">IFERROR(IF(C502="","",INDEX(Products!$C$5:$C$504,MATCH(C502,Products!$A$5:$A$504,0))),"")</f>
        <v/>
      </c>
      <c r="E502" s="13"/>
      <c r="F502" s="10"/>
      <c r="G502" s="10"/>
      <c r="H502" s="10"/>
    </row>
    <row r="503" customFormat="false" ht="15" hidden="false" customHeight="false" outlineLevel="0" collapsed="false">
      <c r="A503" s="10"/>
      <c r="B503" s="12"/>
      <c r="C503" s="10"/>
      <c r="D503" s="14" t="str">
        <f aca="false">IFERROR(IF(C503="","",INDEX(Products!$C$5:$C$504,MATCH(C503,Products!$A$5:$A$504,0))),"")</f>
        <v/>
      </c>
      <c r="E503" s="13"/>
      <c r="F503" s="10"/>
      <c r="G503" s="10"/>
      <c r="H503" s="10"/>
    </row>
    <row r="504" customFormat="false" ht="15" hidden="false" customHeight="false" outlineLevel="0" collapsed="false">
      <c r="A504" s="10"/>
      <c r="B504" s="12"/>
      <c r="C504" s="10"/>
      <c r="D504" s="14" t="str">
        <f aca="false">IFERROR(IF(C504="","",INDEX(Products!$C$5:$C$504,MATCH(C504,Products!$A$5:$A$504,0))),"")</f>
        <v/>
      </c>
      <c r="E504" s="13"/>
      <c r="F504" s="10"/>
      <c r="G504" s="10"/>
      <c r="H504" s="10"/>
    </row>
  </sheetData>
  <dataValidations count="1">
    <dataValidation allowBlank="true" error="Must match an existing Products record" errorStyle="stop" errorTitle="Invalid foreign key" operator="between" showDropDown="false" showErrorMessage="false" showInputMessage="false" sqref="C5:C504" type="list">
      <formula1>Products!$A$5:$A$504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false"/>
  </sheetPr>
  <dimension ref="A1:E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246</v>
      </c>
    </row>
    <row r="2" customFormat="false" ht="15" hidden="false" customHeight="false" outlineLevel="0" collapsed="false">
      <c r="A2" s="2" t="s">
        <v>247</v>
      </c>
    </row>
    <row r="4" customFormat="false" ht="15" hidden="false" customHeight="false" outlineLevel="0" collapsed="false">
      <c r="A4" s="6" t="s">
        <v>99</v>
      </c>
      <c r="B4" s="6" t="s">
        <v>34</v>
      </c>
      <c r="C4" s="6" t="s">
        <v>248</v>
      </c>
      <c r="D4" s="6" t="s">
        <v>107</v>
      </c>
      <c r="E4" s="6" t="s">
        <v>249</v>
      </c>
    </row>
    <row r="5" customFormat="false" ht="15" hidden="false" customHeight="false" outlineLevel="0" collapsed="false">
      <c r="A5" s="16" t="str">
        <f aca="false">IF(Products!A5="","",Products!A5)</f>
        <v>PROD-0001</v>
      </c>
      <c r="B5" s="16" t="str">
        <f aca="false">IF(Products!A5="","",Products!C5)</f>
        <v>Standard Widget (Type A)</v>
      </c>
      <c r="C5" s="8" t="n">
        <f aca="false">IF(A5="","",SUMIFS(InventoryMovements!$E$5:$E$504,InventoryMovements!$C$5:$C$504,A5))</f>
        <v>376</v>
      </c>
      <c r="D5" s="17" t="n">
        <f aca="false">IF(A5="","",Products!J5)</f>
        <v>50</v>
      </c>
      <c r="E5" s="18" t="str">
        <f aca="false">IF(A5="","",IF(C5&lt;=D5,"REORDER","OK"))</f>
        <v>OK</v>
      </c>
    </row>
    <row r="6" customFormat="false" ht="15" hidden="false" customHeight="false" outlineLevel="0" collapsed="false">
      <c r="A6" s="16" t="str">
        <f aca="false">IF(Products!A6="","",Products!A6)</f>
        <v>PROD-0002</v>
      </c>
      <c r="B6" s="16" t="str">
        <f aca="false">IF(Products!A6="","",Products!C6)</f>
        <v>Premium Widget (Type B)</v>
      </c>
      <c r="C6" s="8" t="n">
        <f aca="false">IF(A6="","",SUMIFS(InventoryMovements!$E$5:$E$504,InventoryMovements!$C$5:$C$504,A6))</f>
        <v>150</v>
      </c>
      <c r="D6" s="17" t="n">
        <f aca="false">IF(A6="","",Products!J6)</f>
        <v>30</v>
      </c>
      <c r="E6" s="18" t="str">
        <f aca="false">IF(A6="","",IF(C6&lt;=D6,"REORDER","OK"))</f>
        <v>OK</v>
      </c>
    </row>
    <row r="7" customFormat="false" ht="15" hidden="false" customHeight="false" outlineLevel="0" collapsed="false">
      <c r="A7" s="16" t="str">
        <f aca="false">IF(Products!A7="","",Products!A7)</f>
        <v>PROD-0003</v>
      </c>
      <c r="B7" s="16" t="str">
        <f aca="false">IF(Products!A7="","",Products!C7)</f>
        <v>Small Packaging Box</v>
      </c>
      <c r="C7" s="8" t="n">
        <f aca="false">IF(A7="","",SUMIFS(InventoryMovements!$E$5:$E$504,InventoryMovements!$C$5:$C$504,A7))</f>
        <v>1990</v>
      </c>
      <c r="D7" s="17" t="n">
        <f aca="false">IF(A7="","",Products!J7)</f>
        <v>500</v>
      </c>
      <c r="E7" s="18" t="str">
        <f aca="false">IF(A7="","",IF(C7&lt;=D7,"REORDER","OK"))</f>
        <v>OK</v>
      </c>
    </row>
    <row r="8" customFormat="false" ht="15" hidden="false" customHeight="false" outlineLevel="0" collapsed="false">
      <c r="A8" s="16" t="str">
        <f aca="false">IF(Products!A8="","",Products!A8)</f>
        <v>PROD-0004</v>
      </c>
      <c r="B8" s="16" t="str">
        <f aca="false">IF(Products!A8="","",Products!C8)</f>
        <v>Installation Service</v>
      </c>
      <c r="C8" s="8" t="n">
        <f aca="false">IF(A8="","",SUMIFS(InventoryMovements!$E$5:$E$504,InventoryMovements!$C$5:$C$504,A8))</f>
        <v>0</v>
      </c>
      <c r="D8" s="17" t="n">
        <f aca="false">IF(A8="","",Products!J8)</f>
        <v>0</v>
      </c>
      <c r="E8" s="18" t="str">
        <f aca="false">IF(A8="","",IF(C8&lt;=D8,"REORDER","OK"))</f>
        <v>REORDER</v>
      </c>
    </row>
    <row r="9" customFormat="false" ht="15" hidden="false" customHeight="false" outlineLevel="0" collapsed="false">
      <c r="A9" s="16" t="str">
        <f aca="false">IF(Products!A9="","",Products!A9)</f>
        <v>PROD-0005</v>
      </c>
      <c r="B9" s="16" t="str">
        <f aca="false">IF(Products!A9="","",Products!C9)</f>
        <v>Raw Steel Sheet</v>
      </c>
      <c r="C9" s="8" t="n">
        <f aca="false">IF(A9="","",SUMIFS(InventoryMovements!$E$5:$E$504,InventoryMovements!$C$5:$C$504,A9))</f>
        <v>40</v>
      </c>
      <c r="D9" s="17" t="n">
        <f aca="false">IF(A9="","",Products!J9)</f>
        <v>20</v>
      </c>
      <c r="E9" s="18" t="str">
        <f aca="false">IF(A9="","",IF(C9&lt;=D9,"REORDER","OK"))</f>
        <v>OK</v>
      </c>
    </row>
    <row r="10" customFormat="false" ht="15" hidden="false" customHeight="false" outlineLevel="0" collapsed="false">
      <c r="A10" s="16" t="str">
        <f aca="false">IF(Products!A10="","",Products!A10)</f>
        <v>PROD-0006</v>
      </c>
      <c r="B10" s="16" t="str">
        <f aca="false">IF(Products!A10="","",Products!C10)</f>
        <v>Workshop Consumables Pack</v>
      </c>
      <c r="C10" s="8" t="n">
        <f aca="false">IF(A10="","",SUMIFS(InventoryMovements!$E$5:$E$504,InventoryMovements!$C$5:$C$504,A10))</f>
        <v>10</v>
      </c>
      <c r="D10" s="17" t="n">
        <f aca="false">IF(A10="","",Products!J10)</f>
        <v>5</v>
      </c>
      <c r="E10" s="18" t="str">
        <f aca="false">IF(A10="","",IF(C10&lt;=D10,"REORDER","OK"))</f>
        <v>OK</v>
      </c>
    </row>
    <row r="11" customFormat="false" ht="15" hidden="false" customHeight="false" outlineLevel="0" collapsed="false">
      <c r="A11" s="16" t="str">
        <f aca="false">IF(Products!A11="","",Products!A11)</f>
        <v/>
      </c>
      <c r="B11" s="16" t="str">
        <f aca="false">IF(Products!A11="","",Products!C11)</f>
        <v/>
      </c>
      <c r="C11" s="8" t="str">
        <f aca="false">IF(A11="","",SUMIFS(InventoryMovements!$E$5:$E$504,InventoryMovements!$C$5:$C$504,A11))</f>
        <v/>
      </c>
      <c r="D11" s="17" t="str">
        <f aca="false">IF(A11="","",Products!J11)</f>
        <v/>
      </c>
      <c r="E11" s="18" t="str">
        <f aca="false">IF(A11="","",IF(C11&lt;=D11,"REORDER","OK"))</f>
        <v/>
      </c>
    </row>
    <row r="12" customFormat="false" ht="15" hidden="false" customHeight="false" outlineLevel="0" collapsed="false">
      <c r="A12" s="16" t="str">
        <f aca="false">IF(Products!A12="","",Products!A12)</f>
        <v/>
      </c>
      <c r="B12" s="16" t="str">
        <f aca="false">IF(Products!A12="","",Products!C12)</f>
        <v/>
      </c>
      <c r="C12" s="8" t="str">
        <f aca="false">IF(A12="","",SUMIFS(InventoryMovements!$E$5:$E$504,InventoryMovements!$C$5:$C$504,A12))</f>
        <v/>
      </c>
      <c r="D12" s="17" t="str">
        <f aca="false">IF(A12="","",Products!J12)</f>
        <v/>
      </c>
      <c r="E12" s="18" t="str">
        <f aca="false">IF(A12="","",IF(C12&lt;=D12,"REORDER","OK"))</f>
        <v/>
      </c>
    </row>
    <row r="13" customFormat="false" ht="15" hidden="false" customHeight="false" outlineLevel="0" collapsed="false">
      <c r="A13" s="16" t="str">
        <f aca="false">IF(Products!A13="","",Products!A13)</f>
        <v/>
      </c>
      <c r="B13" s="16" t="str">
        <f aca="false">IF(Products!A13="","",Products!C13)</f>
        <v/>
      </c>
      <c r="C13" s="8" t="str">
        <f aca="false">IF(A13="","",SUMIFS(InventoryMovements!$E$5:$E$504,InventoryMovements!$C$5:$C$504,A13))</f>
        <v/>
      </c>
      <c r="D13" s="17" t="str">
        <f aca="false">IF(A13="","",Products!J13)</f>
        <v/>
      </c>
      <c r="E13" s="18" t="str">
        <f aca="false">IF(A13="","",IF(C13&lt;=D13,"REORDER","OK"))</f>
        <v/>
      </c>
    </row>
    <row r="14" customFormat="false" ht="15" hidden="false" customHeight="false" outlineLevel="0" collapsed="false">
      <c r="A14" s="16" t="str">
        <f aca="false">IF(Products!A14="","",Products!A14)</f>
        <v/>
      </c>
      <c r="B14" s="16" t="str">
        <f aca="false">IF(Products!A14="","",Products!C14)</f>
        <v/>
      </c>
      <c r="C14" s="8" t="str">
        <f aca="false">IF(A14="","",SUMIFS(InventoryMovements!$E$5:$E$504,InventoryMovements!$C$5:$C$504,A14))</f>
        <v/>
      </c>
      <c r="D14" s="17" t="str">
        <f aca="false">IF(A14="","",Products!J14)</f>
        <v/>
      </c>
      <c r="E14" s="18" t="str">
        <f aca="false">IF(A14="","",IF(C14&lt;=D14,"REORDER","OK"))</f>
        <v/>
      </c>
    </row>
    <row r="15" customFormat="false" ht="15" hidden="false" customHeight="false" outlineLevel="0" collapsed="false">
      <c r="A15" s="16" t="str">
        <f aca="false">IF(Products!A15="","",Products!A15)</f>
        <v/>
      </c>
      <c r="B15" s="16" t="str">
        <f aca="false">IF(Products!A15="","",Products!C15)</f>
        <v/>
      </c>
      <c r="C15" s="8" t="str">
        <f aca="false">IF(A15="","",SUMIFS(InventoryMovements!$E$5:$E$504,InventoryMovements!$C$5:$C$504,A15))</f>
        <v/>
      </c>
      <c r="D15" s="17" t="str">
        <f aca="false">IF(A15="","",Products!J15)</f>
        <v/>
      </c>
      <c r="E15" s="18" t="str">
        <f aca="false">IF(A15="","",IF(C15&lt;=D15,"REORDER","OK"))</f>
        <v/>
      </c>
    </row>
    <row r="16" customFormat="false" ht="15" hidden="false" customHeight="false" outlineLevel="0" collapsed="false">
      <c r="A16" s="16" t="str">
        <f aca="false">IF(Products!A16="","",Products!A16)</f>
        <v/>
      </c>
      <c r="B16" s="16" t="str">
        <f aca="false">IF(Products!A16="","",Products!C16)</f>
        <v/>
      </c>
      <c r="C16" s="8" t="str">
        <f aca="false">IF(A16="","",SUMIFS(InventoryMovements!$E$5:$E$504,InventoryMovements!$C$5:$C$504,A16))</f>
        <v/>
      </c>
      <c r="D16" s="17" t="str">
        <f aca="false">IF(A16="","",Products!J16)</f>
        <v/>
      </c>
      <c r="E16" s="18" t="str">
        <f aca="false">IF(A16="","",IF(C16&lt;=D16,"REORDER","OK"))</f>
        <v/>
      </c>
    </row>
    <row r="17" customFormat="false" ht="15" hidden="false" customHeight="false" outlineLevel="0" collapsed="false">
      <c r="A17" s="16" t="str">
        <f aca="false">IF(Products!A17="","",Products!A17)</f>
        <v/>
      </c>
      <c r="B17" s="16" t="str">
        <f aca="false">IF(Products!A17="","",Products!C17)</f>
        <v/>
      </c>
      <c r="C17" s="8" t="str">
        <f aca="false">IF(A17="","",SUMIFS(InventoryMovements!$E$5:$E$504,InventoryMovements!$C$5:$C$504,A17))</f>
        <v/>
      </c>
      <c r="D17" s="17" t="str">
        <f aca="false">IF(A17="","",Products!J17)</f>
        <v/>
      </c>
      <c r="E17" s="18" t="str">
        <f aca="false">IF(A17="","",IF(C17&lt;=D17,"REORDER","OK"))</f>
        <v/>
      </c>
    </row>
    <row r="18" customFormat="false" ht="15" hidden="false" customHeight="false" outlineLevel="0" collapsed="false">
      <c r="A18" s="16" t="str">
        <f aca="false">IF(Products!A18="","",Products!A18)</f>
        <v/>
      </c>
      <c r="B18" s="16" t="str">
        <f aca="false">IF(Products!A18="","",Products!C18)</f>
        <v/>
      </c>
      <c r="C18" s="8" t="str">
        <f aca="false">IF(A18="","",SUMIFS(InventoryMovements!$E$5:$E$504,InventoryMovements!$C$5:$C$504,A18))</f>
        <v/>
      </c>
      <c r="D18" s="17" t="str">
        <f aca="false">IF(A18="","",Products!J18)</f>
        <v/>
      </c>
      <c r="E18" s="18" t="str">
        <f aca="false">IF(A18="","",IF(C18&lt;=D18,"REORDER","OK"))</f>
        <v/>
      </c>
    </row>
    <row r="19" customFormat="false" ht="15" hidden="false" customHeight="false" outlineLevel="0" collapsed="false">
      <c r="A19" s="16" t="str">
        <f aca="false">IF(Products!A19="","",Products!A19)</f>
        <v/>
      </c>
      <c r="B19" s="16" t="str">
        <f aca="false">IF(Products!A19="","",Products!C19)</f>
        <v/>
      </c>
      <c r="C19" s="8" t="str">
        <f aca="false">IF(A19="","",SUMIFS(InventoryMovements!$E$5:$E$504,InventoryMovements!$C$5:$C$504,A19))</f>
        <v/>
      </c>
      <c r="D19" s="17" t="str">
        <f aca="false">IF(A19="","",Products!J19)</f>
        <v/>
      </c>
      <c r="E19" s="18" t="str">
        <f aca="false">IF(A19="","",IF(C19&lt;=D19,"REORDER","OK"))</f>
        <v/>
      </c>
    </row>
    <row r="20" customFormat="false" ht="15" hidden="false" customHeight="false" outlineLevel="0" collapsed="false">
      <c r="A20" s="16" t="str">
        <f aca="false">IF(Products!A20="","",Products!A20)</f>
        <v/>
      </c>
      <c r="B20" s="16" t="str">
        <f aca="false">IF(Products!A20="","",Products!C20)</f>
        <v/>
      </c>
      <c r="C20" s="8" t="str">
        <f aca="false">IF(A20="","",SUMIFS(InventoryMovements!$E$5:$E$504,InventoryMovements!$C$5:$C$504,A20))</f>
        <v/>
      </c>
      <c r="D20" s="17" t="str">
        <f aca="false">IF(A20="","",Products!J20)</f>
        <v/>
      </c>
      <c r="E20" s="18" t="str">
        <f aca="false">IF(A20="","",IF(C20&lt;=D20,"REORDER","OK"))</f>
        <v/>
      </c>
    </row>
    <row r="21" customFormat="false" ht="15" hidden="false" customHeight="false" outlineLevel="0" collapsed="false">
      <c r="A21" s="16" t="str">
        <f aca="false">IF(Products!A21="","",Products!A21)</f>
        <v/>
      </c>
      <c r="B21" s="16" t="str">
        <f aca="false">IF(Products!A21="","",Products!C21)</f>
        <v/>
      </c>
      <c r="C21" s="8" t="str">
        <f aca="false">IF(A21="","",SUMIFS(InventoryMovements!$E$5:$E$504,InventoryMovements!$C$5:$C$504,A21))</f>
        <v/>
      </c>
      <c r="D21" s="17" t="str">
        <f aca="false">IF(A21="","",Products!J21)</f>
        <v/>
      </c>
      <c r="E21" s="18" t="str">
        <f aca="false">IF(A21="","",IF(C21&lt;=D21,"REORDER","OK"))</f>
        <v/>
      </c>
    </row>
    <row r="22" customFormat="false" ht="15" hidden="false" customHeight="false" outlineLevel="0" collapsed="false">
      <c r="A22" s="16" t="str">
        <f aca="false">IF(Products!A22="","",Products!A22)</f>
        <v/>
      </c>
      <c r="B22" s="16" t="str">
        <f aca="false">IF(Products!A22="","",Products!C22)</f>
        <v/>
      </c>
      <c r="C22" s="8" t="str">
        <f aca="false">IF(A22="","",SUMIFS(InventoryMovements!$E$5:$E$504,InventoryMovements!$C$5:$C$504,A22))</f>
        <v/>
      </c>
      <c r="D22" s="17" t="str">
        <f aca="false">IF(A22="","",Products!J22)</f>
        <v/>
      </c>
      <c r="E22" s="18" t="str">
        <f aca="false">IF(A22="","",IF(C22&lt;=D22,"REORDER","OK"))</f>
        <v/>
      </c>
    </row>
    <row r="23" customFormat="false" ht="15" hidden="false" customHeight="false" outlineLevel="0" collapsed="false">
      <c r="A23" s="16" t="str">
        <f aca="false">IF(Products!A23="","",Products!A23)</f>
        <v/>
      </c>
      <c r="B23" s="16" t="str">
        <f aca="false">IF(Products!A23="","",Products!C23)</f>
        <v/>
      </c>
      <c r="C23" s="8" t="str">
        <f aca="false">IF(A23="","",SUMIFS(InventoryMovements!$E$5:$E$504,InventoryMovements!$C$5:$C$504,A23))</f>
        <v/>
      </c>
      <c r="D23" s="17" t="str">
        <f aca="false">IF(A23="","",Products!J23)</f>
        <v/>
      </c>
      <c r="E23" s="18" t="str">
        <f aca="false">IF(A23="","",IF(C23&lt;=D23,"REORDER","OK"))</f>
        <v/>
      </c>
    </row>
    <row r="24" customFormat="false" ht="15" hidden="false" customHeight="false" outlineLevel="0" collapsed="false">
      <c r="A24" s="16" t="str">
        <f aca="false">IF(Products!A24="","",Products!A24)</f>
        <v/>
      </c>
      <c r="B24" s="16" t="str">
        <f aca="false">IF(Products!A24="","",Products!C24)</f>
        <v/>
      </c>
      <c r="C24" s="8" t="str">
        <f aca="false">IF(A24="","",SUMIFS(InventoryMovements!$E$5:$E$504,InventoryMovements!$C$5:$C$504,A24))</f>
        <v/>
      </c>
      <c r="D24" s="17" t="str">
        <f aca="false">IF(A24="","",Products!J24)</f>
        <v/>
      </c>
      <c r="E24" s="18" t="str">
        <f aca="false">IF(A24="","",IF(C24&lt;=D24,"REORDER","OK"))</f>
        <v/>
      </c>
    </row>
    <row r="25" customFormat="false" ht="15" hidden="false" customHeight="false" outlineLevel="0" collapsed="false">
      <c r="A25" s="16" t="str">
        <f aca="false">IF(Products!A25="","",Products!A25)</f>
        <v/>
      </c>
      <c r="B25" s="16" t="str">
        <f aca="false">IF(Products!A25="","",Products!C25)</f>
        <v/>
      </c>
      <c r="C25" s="8" t="str">
        <f aca="false">IF(A25="","",SUMIFS(InventoryMovements!$E$5:$E$504,InventoryMovements!$C$5:$C$504,A25))</f>
        <v/>
      </c>
      <c r="D25" s="17" t="str">
        <f aca="false">IF(A25="","",Products!J25)</f>
        <v/>
      </c>
      <c r="E25" s="18" t="str">
        <f aca="false">IF(A25="","",IF(C25&lt;=D25,"REORDER","OK"))</f>
        <v/>
      </c>
    </row>
    <row r="26" customFormat="false" ht="15" hidden="false" customHeight="false" outlineLevel="0" collapsed="false">
      <c r="A26" s="16" t="str">
        <f aca="false">IF(Products!A26="","",Products!A26)</f>
        <v/>
      </c>
      <c r="B26" s="16" t="str">
        <f aca="false">IF(Products!A26="","",Products!C26)</f>
        <v/>
      </c>
      <c r="C26" s="8" t="str">
        <f aca="false">IF(A26="","",SUMIFS(InventoryMovements!$E$5:$E$504,InventoryMovements!$C$5:$C$504,A26))</f>
        <v/>
      </c>
      <c r="D26" s="17" t="str">
        <f aca="false">IF(A26="","",Products!J26)</f>
        <v/>
      </c>
      <c r="E26" s="18" t="str">
        <f aca="false">IF(A26="","",IF(C26&lt;=D26,"REORDER","OK"))</f>
        <v/>
      </c>
    </row>
    <row r="27" customFormat="false" ht="15" hidden="false" customHeight="false" outlineLevel="0" collapsed="false">
      <c r="A27" s="16" t="str">
        <f aca="false">IF(Products!A27="","",Products!A27)</f>
        <v/>
      </c>
      <c r="B27" s="16" t="str">
        <f aca="false">IF(Products!A27="","",Products!C27)</f>
        <v/>
      </c>
      <c r="C27" s="8" t="str">
        <f aca="false">IF(A27="","",SUMIFS(InventoryMovements!$E$5:$E$504,InventoryMovements!$C$5:$C$504,A27))</f>
        <v/>
      </c>
      <c r="D27" s="17" t="str">
        <f aca="false">IF(A27="","",Products!J27)</f>
        <v/>
      </c>
      <c r="E27" s="18" t="str">
        <f aca="false">IF(A27="","",IF(C27&lt;=D27,"REORDER","OK"))</f>
        <v/>
      </c>
    </row>
    <row r="28" customFormat="false" ht="15" hidden="false" customHeight="false" outlineLevel="0" collapsed="false">
      <c r="A28" s="16" t="str">
        <f aca="false">IF(Products!A28="","",Products!A28)</f>
        <v/>
      </c>
      <c r="B28" s="16" t="str">
        <f aca="false">IF(Products!A28="","",Products!C28)</f>
        <v/>
      </c>
      <c r="C28" s="8" t="str">
        <f aca="false">IF(A28="","",SUMIFS(InventoryMovements!$E$5:$E$504,InventoryMovements!$C$5:$C$504,A28))</f>
        <v/>
      </c>
      <c r="D28" s="17" t="str">
        <f aca="false">IF(A28="","",Products!J28)</f>
        <v/>
      </c>
      <c r="E28" s="18" t="str">
        <f aca="false">IF(A28="","",IF(C28&lt;=D28,"REORDER","OK"))</f>
        <v/>
      </c>
    </row>
    <row r="29" customFormat="false" ht="15" hidden="false" customHeight="false" outlineLevel="0" collapsed="false">
      <c r="A29" s="16" t="str">
        <f aca="false">IF(Products!A29="","",Products!A29)</f>
        <v/>
      </c>
      <c r="B29" s="16" t="str">
        <f aca="false">IF(Products!A29="","",Products!C29)</f>
        <v/>
      </c>
      <c r="C29" s="8" t="str">
        <f aca="false">IF(A29="","",SUMIFS(InventoryMovements!$E$5:$E$504,InventoryMovements!$C$5:$C$504,A29))</f>
        <v/>
      </c>
      <c r="D29" s="17" t="str">
        <f aca="false">IF(A29="","",Products!J29)</f>
        <v/>
      </c>
      <c r="E29" s="18" t="str">
        <f aca="false">IF(A29="","",IF(C29&lt;=D29,"REORDER","OK"))</f>
        <v/>
      </c>
    </row>
    <row r="30" customFormat="false" ht="15" hidden="false" customHeight="false" outlineLevel="0" collapsed="false">
      <c r="A30" s="16" t="str">
        <f aca="false">IF(Products!A30="","",Products!A30)</f>
        <v/>
      </c>
      <c r="B30" s="16" t="str">
        <f aca="false">IF(Products!A30="","",Products!C30)</f>
        <v/>
      </c>
      <c r="C30" s="8" t="str">
        <f aca="false">IF(A30="","",SUMIFS(InventoryMovements!$E$5:$E$504,InventoryMovements!$C$5:$C$504,A30))</f>
        <v/>
      </c>
      <c r="D30" s="17" t="str">
        <f aca="false">IF(A30="","",Products!J30)</f>
        <v/>
      </c>
      <c r="E30" s="18" t="str">
        <f aca="false">IF(A30="","",IF(C30&lt;=D30,"REORDER","OK"))</f>
        <v/>
      </c>
    </row>
    <row r="31" customFormat="false" ht="15" hidden="false" customHeight="false" outlineLevel="0" collapsed="false">
      <c r="A31" s="16" t="str">
        <f aca="false">IF(Products!A31="","",Products!A31)</f>
        <v/>
      </c>
      <c r="B31" s="16" t="str">
        <f aca="false">IF(Products!A31="","",Products!C31)</f>
        <v/>
      </c>
      <c r="C31" s="8" t="str">
        <f aca="false">IF(A31="","",SUMIFS(InventoryMovements!$E$5:$E$504,InventoryMovements!$C$5:$C$504,A31))</f>
        <v/>
      </c>
      <c r="D31" s="17" t="str">
        <f aca="false">IF(A31="","",Products!J31)</f>
        <v/>
      </c>
      <c r="E31" s="18" t="str">
        <f aca="false">IF(A31="","",IF(C31&lt;=D31,"REORDER","OK"))</f>
        <v/>
      </c>
    </row>
    <row r="32" customFormat="false" ht="15" hidden="false" customHeight="false" outlineLevel="0" collapsed="false">
      <c r="A32" s="16" t="str">
        <f aca="false">IF(Products!A32="","",Products!A32)</f>
        <v/>
      </c>
      <c r="B32" s="16" t="str">
        <f aca="false">IF(Products!A32="","",Products!C32)</f>
        <v/>
      </c>
      <c r="C32" s="8" t="str">
        <f aca="false">IF(A32="","",SUMIFS(InventoryMovements!$E$5:$E$504,InventoryMovements!$C$5:$C$504,A32))</f>
        <v/>
      </c>
      <c r="D32" s="17" t="str">
        <f aca="false">IF(A32="","",Products!J32)</f>
        <v/>
      </c>
      <c r="E32" s="18" t="str">
        <f aca="false">IF(A32="","",IF(C32&lt;=D32,"REORDER","OK"))</f>
        <v/>
      </c>
    </row>
    <row r="33" customFormat="false" ht="15" hidden="false" customHeight="false" outlineLevel="0" collapsed="false">
      <c r="A33" s="16" t="str">
        <f aca="false">IF(Products!A33="","",Products!A33)</f>
        <v/>
      </c>
      <c r="B33" s="16" t="str">
        <f aca="false">IF(Products!A33="","",Products!C33)</f>
        <v/>
      </c>
      <c r="C33" s="8" t="str">
        <f aca="false">IF(A33="","",SUMIFS(InventoryMovements!$E$5:$E$504,InventoryMovements!$C$5:$C$504,A33))</f>
        <v/>
      </c>
      <c r="D33" s="17" t="str">
        <f aca="false">IF(A33="","",Products!J33)</f>
        <v/>
      </c>
      <c r="E33" s="18" t="str">
        <f aca="false">IF(A33="","",IF(C33&lt;=D33,"REORDER","OK"))</f>
        <v/>
      </c>
    </row>
    <row r="34" customFormat="false" ht="15" hidden="false" customHeight="false" outlineLevel="0" collapsed="false">
      <c r="A34" s="16" t="str">
        <f aca="false">IF(Products!A34="","",Products!A34)</f>
        <v/>
      </c>
      <c r="B34" s="16" t="str">
        <f aca="false">IF(Products!A34="","",Products!C34)</f>
        <v/>
      </c>
      <c r="C34" s="8" t="str">
        <f aca="false">IF(A34="","",SUMIFS(InventoryMovements!$E$5:$E$504,InventoryMovements!$C$5:$C$504,A34))</f>
        <v/>
      </c>
      <c r="D34" s="17" t="str">
        <f aca="false">IF(A34="","",Products!J34)</f>
        <v/>
      </c>
      <c r="E34" s="18" t="str">
        <f aca="false">IF(A34="","",IF(C34&lt;=D34,"REORDER","OK"))</f>
        <v/>
      </c>
    </row>
    <row r="35" customFormat="false" ht="15" hidden="false" customHeight="false" outlineLevel="0" collapsed="false">
      <c r="A35" s="16" t="str">
        <f aca="false">IF(Products!A35="","",Products!A35)</f>
        <v/>
      </c>
      <c r="B35" s="16" t="str">
        <f aca="false">IF(Products!A35="","",Products!C35)</f>
        <v/>
      </c>
      <c r="C35" s="8" t="str">
        <f aca="false">IF(A35="","",SUMIFS(InventoryMovements!$E$5:$E$504,InventoryMovements!$C$5:$C$504,A35))</f>
        <v/>
      </c>
      <c r="D35" s="17" t="str">
        <f aca="false">IF(A35="","",Products!J35)</f>
        <v/>
      </c>
      <c r="E35" s="18" t="str">
        <f aca="false">IF(A35="","",IF(C35&lt;=D35,"REORDER","OK"))</f>
        <v/>
      </c>
    </row>
    <row r="36" customFormat="false" ht="15" hidden="false" customHeight="false" outlineLevel="0" collapsed="false">
      <c r="A36" s="16" t="str">
        <f aca="false">IF(Products!A36="","",Products!A36)</f>
        <v/>
      </c>
      <c r="B36" s="16" t="str">
        <f aca="false">IF(Products!A36="","",Products!C36)</f>
        <v/>
      </c>
      <c r="C36" s="8" t="str">
        <f aca="false">IF(A36="","",SUMIFS(InventoryMovements!$E$5:$E$504,InventoryMovements!$C$5:$C$504,A36))</f>
        <v/>
      </c>
      <c r="D36" s="17" t="str">
        <f aca="false">IF(A36="","",Products!J36)</f>
        <v/>
      </c>
      <c r="E36" s="18" t="str">
        <f aca="false">IF(A36="","",IF(C36&lt;=D36,"REORDER","OK"))</f>
        <v/>
      </c>
    </row>
    <row r="37" customFormat="false" ht="15" hidden="false" customHeight="false" outlineLevel="0" collapsed="false">
      <c r="A37" s="16" t="str">
        <f aca="false">IF(Products!A37="","",Products!A37)</f>
        <v/>
      </c>
      <c r="B37" s="16" t="str">
        <f aca="false">IF(Products!A37="","",Products!C37)</f>
        <v/>
      </c>
      <c r="C37" s="8" t="str">
        <f aca="false">IF(A37="","",SUMIFS(InventoryMovements!$E$5:$E$504,InventoryMovements!$C$5:$C$504,A37))</f>
        <v/>
      </c>
      <c r="D37" s="17" t="str">
        <f aca="false">IF(A37="","",Products!J37)</f>
        <v/>
      </c>
      <c r="E37" s="18" t="str">
        <f aca="false">IF(A37="","",IF(C37&lt;=D37,"REORDER","OK"))</f>
        <v/>
      </c>
    </row>
    <row r="38" customFormat="false" ht="15" hidden="false" customHeight="false" outlineLevel="0" collapsed="false">
      <c r="A38" s="16" t="str">
        <f aca="false">IF(Products!A38="","",Products!A38)</f>
        <v/>
      </c>
      <c r="B38" s="16" t="str">
        <f aca="false">IF(Products!A38="","",Products!C38)</f>
        <v/>
      </c>
      <c r="C38" s="8" t="str">
        <f aca="false">IF(A38="","",SUMIFS(InventoryMovements!$E$5:$E$504,InventoryMovements!$C$5:$C$504,A38))</f>
        <v/>
      </c>
      <c r="D38" s="17" t="str">
        <f aca="false">IF(A38="","",Products!J38)</f>
        <v/>
      </c>
      <c r="E38" s="18" t="str">
        <f aca="false">IF(A38="","",IF(C38&lt;=D38,"REORDER","OK"))</f>
        <v/>
      </c>
    </row>
    <row r="39" customFormat="false" ht="15" hidden="false" customHeight="false" outlineLevel="0" collapsed="false">
      <c r="A39" s="16" t="str">
        <f aca="false">IF(Products!A39="","",Products!A39)</f>
        <v/>
      </c>
      <c r="B39" s="16" t="str">
        <f aca="false">IF(Products!A39="","",Products!C39)</f>
        <v/>
      </c>
      <c r="C39" s="8" t="str">
        <f aca="false">IF(A39="","",SUMIFS(InventoryMovements!$E$5:$E$504,InventoryMovements!$C$5:$C$504,A39))</f>
        <v/>
      </c>
      <c r="D39" s="17" t="str">
        <f aca="false">IF(A39="","",Products!J39)</f>
        <v/>
      </c>
      <c r="E39" s="18" t="str">
        <f aca="false">IF(A39="","",IF(C39&lt;=D39,"REORDER","OK"))</f>
        <v/>
      </c>
    </row>
    <row r="40" customFormat="false" ht="15" hidden="false" customHeight="false" outlineLevel="0" collapsed="false">
      <c r="A40" s="16" t="str">
        <f aca="false">IF(Products!A40="","",Products!A40)</f>
        <v/>
      </c>
      <c r="B40" s="16" t="str">
        <f aca="false">IF(Products!A40="","",Products!C40)</f>
        <v/>
      </c>
      <c r="C40" s="8" t="str">
        <f aca="false">IF(A40="","",SUMIFS(InventoryMovements!$E$5:$E$504,InventoryMovements!$C$5:$C$504,A40))</f>
        <v/>
      </c>
      <c r="D40" s="17" t="str">
        <f aca="false">IF(A40="","",Products!J40)</f>
        <v/>
      </c>
      <c r="E40" s="18" t="str">
        <f aca="false">IF(A40="","",IF(C40&lt;=D40,"REORDER","OK"))</f>
        <v/>
      </c>
    </row>
    <row r="41" customFormat="false" ht="15" hidden="false" customHeight="false" outlineLevel="0" collapsed="false">
      <c r="A41" s="16" t="str">
        <f aca="false">IF(Products!A41="","",Products!A41)</f>
        <v/>
      </c>
      <c r="B41" s="16" t="str">
        <f aca="false">IF(Products!A41="","",Products!C41)</f>
        <v/>
      </c>
      <c r="C41" s="8" t="str">
        <f aca="false">IF(A41="","",SUMIFS(InventoryMovements!$E$5:$E$504,InventoryMovements!$C$5:$C$504,A41))</f>
        <v/>
      </c>
      <c r="D41" s="17" t="str">
        <f aca="false">IF(A41="","",Products!J41)</f>
        <v/>
      </c>
      <c r="E41" s="18" t="str">
        <f aca="false">IF(A41="","",IF(C41&lt;=D41,"REORDER","OK"))</f>
        <v/>
      </c>
    </row>
    <row r="42" customFormat="false" ht="15" hidden="false" customHeight="false" outlineLevel="0" collapsed="false">
      <c r="A42" s="16" t="str">
        <f aca="false">IF(Products!A42="","",Products!A42)</f>
        <v/>
      </c>
      <c r="B42" s="16" t="str">
        <f aca="false">IF(Products!A42="","",Products!C42)</f>
        <v/>
      </c>
      <c r="C42" s="8" t="str">
        <f aca="false">IF(A42="","",SUMIFS(InventoryMovements!$E$5:$E$504,InventoryMovements!$C$5:$C$504,A42))</f>
        <v/>
      </c>
      <c r="D42" s="17" t="str">
        <f aca="false">IF(A42="","",Products!J42)</f>
        <v/>
      </c>
      <c r="E42" s="18" t="str">
        <f aca="false">IF(A42="","",IF(C42&lt;=D42,"REORDER","OK"))</f>
        <v/>
      </c>
    </row>
    <row r="43" customFormat="false" ht="15" hidden="false" customHeight="false" outlineLevel="0" collapsed="false">
      <c r="A43" s="16" t="str">
        <f aca="false">IF(Products!A43="","",Products!A43)</f>
        <v/>
      </c>
      <c r="B43" s="16" t="str">
        <f aca="false">IF(Products!A43="","",Products!C43)</f>
        <v/>
      </c>
      <c r="C43" s="8" t="str">
        <f aca="false">IF(A43="","",SUMIFS(InventoryMovements!$E$5:$E$504,InventoryMovements!$C$5:$C$504,A43))</f>
        <v/>
      </c>
      <c r="D43" s="17" t="str">
        <f aca="false">IF(A43="","",Products!J43)</f>
        <v/>
      </c>
      <c r="E43" s="18" t="str">
        <f aca="false">IF(A43="","",IF(C43&lt;=D43,"REORDER","OK"))</f>
        <v/>
      </c>
    </row>
    <row r="44" customFormat="false" ht="15" hidden="false" customHeight="false" outlineLevel="0" collapsed="false">
      <c r="A44" s="16" t="str">
        <f aca="false">IF(Products!A44="","",Products!A44)</f>
        <v/>
      </c>
      <c r="B44" s="16" t="str">
        <f aca="false">IF(Products!A44="","",Products!C44)</f>
        <v/>
      </c>
      <c r="C44" s="8" t="str">
        <f aca="false">IF(A44="","",SUMIFS(InventoryMovements!$E$5:$E$504,InventoryMovements!$C$5:$C$504,A44))</f>
        <v/>
      </c>
      <c r="D44" s="17" t="str">
        <f aca="false">IF(A44="","",Products!J44)</f>
        <v/>
      </c>
      <c r="E44" s="18" t="str">
        <f aca="false">IF(A44="","",IF(C44&lt;=D44,"REORDER","OK"))</f>
        <v/>
      </c>
    </row>
    <row r="45" customFormat="false" ht="15" hidden="false" customHeight="false" outlineLevel="0" collapsed="false">
      <c r="A45" s="16" t="str">
        <f aca="false">IF(Products!A45="","",Products!A45)</f>
        <v/>
      </c>
      <c r="B45" s="16" t="str">
        <f aca="false">IF(Products!A45="","",Products!C45)</f>
        <v/>
      </c>
      <c r="C45" s="8" t="str">
        <f aca="false">IF(A45="","",SUMIFS(InventoryMovements!$E$5:$E$504,InventoryMovements!$C$5:$C$504,A45))</f>
        <v/>
      </c>
      <c r="D45" s="17" t="str">
        <f aca="false">IF(A45="","",Products!J45)</f>
        <v/>
      </c>
      <c r="E45" s="18" t="str">
        <f aca="false">IF(A45="","",IF(C45&lt;=D45,"REORDER","OK"))</f>
        <v/>
      </c>
    </row>
    <row r="46" customFormat="false" ht="15" hidden="false" customHeight="false" outlineLevel="0" collapsed="false">
      <c r="A46" s="16" t="str">
        <f aca="false">IF(Products!A46="","",Products!A46)</f>
        <v/>
      </c>
      <c r="B46" s="16" t="str">
        <f aca="false">IF(Products!A46="","",Products!C46)</f>
        <v/>
      </c>
      <c r="C46" s="8" t="str">
        <f aca="false">IF(A46="","",SUMIFS(InventoryMovements!$E$5:$E$504,InventoryMovements!$C$5:$C$504,A46))</f>
        <v/>
      </c>
      <c r="D46" s="17" t="str">
        <f aca="false">IF(A46="","",Products!J46)</f>
        <v/>
      </c>
      <c r="E46" s="18" t="str">
        <f aca="false">IF(A46="","",IF(C46&lt;=D46,"REORDER","OK"))</f>
        <v/>
      </c>
    </row>
    <row r="47" customFormat="false" ht="15" hidden="false" customHeight="false" outlineLevel="0" collapsed="false">
      <c r="A47" s="16" t="str">
        <f aca="false">IF(Products!A47="","",Products!A47)</f>
        <v/>
      </c>
      <c r="B47" s="16" t="str">
        <f aca="false">IF(Products!A47="","",Products!C47)</f>
        <v/>
      </c>
      <c r="C47" s="8" t="str">
        <f aca="false">IF(A47="","",SUMIFS(InventoryMovements!$E$5:$E$504,InventoryMovements!$C$5:$C$504,A47))</f>
        <v/>
      </c>
      <c r="D47" s="17" t="str">
        <f aca="false">IF(A47="","",Products!J47)</f>
        <v/>
      </c>
      <c r="E47" s="18" t="str">
        <f aca="false">IF(A47="","",IF(C47&lt;=D47,"REORDER","OK"))</f>
        <v/>
      </c>
    </row>
    <row r="48" customFormat="false" ht="15" hidden="false" customHeight="false" outlineLevel="0" collapsed="false">
      <c r="A48" s="16" t="str">
        <f aca="false">IF(Products!A48="","",Products!A48)</f>
        <v/>
      </c>
      <c r="B48" s="16" t="str">
        <f aca="false">IF(Products!A48="","",Products!C48)</f>
        <v/>
      </c>
      <c r="C48" s="8" t="str">
        <f aca="false">IF(A48="","",SUMIFS(InventoryMovements!$E$5:$E$504,InventoryMovements!$C$5:$C$504,A48))</f>
        <v/>
      </c>
      <c r="D48" s="17" t="str">
        <f aca="false">IF(A48="","",Products!J48)</f>
        <v/>
      </c>
      <c r="E48" s="18" t="str">
        <f aca="false">IF(A48="","",IF(C48&lt;=D48,"REORDER","OK"))</f>
        <v/>
      </c>
    </row>
    <row r="49" customFormat="false" ht="15" hidden="false" customHeight="false" outlineLevel="0" collapsed="false">
      <c r="A49" s="16" t="str">
        <f aca="false">IF(Products!A49="","",Products!A49)</f>
        <v/>
      </c>
      <c r="B49" s="16" t="str">
        <f aca="false">IF(Products!A49="","",Products!C49)</f>
        <v/>
      </c>
      <c r="C49" s="8" t="str">
        <f aca="false">IF(A49="","",SUMIFS(InventoryMovements!$E$5:$E$504,InventoryMovements!$C$5:$C$504,A49))</f>
        <v/>
      </c>
      <c r="D49" s="17" t="str">
        <f aca="false">IF(A49="","",Products!J49)</f>
        <v/>
      </c>
      <c r="E49" s="18" t="str">
        <f aca="false">IF(A49="","",IF(C49&lt;=D49,"REORDER","OK"))</f>
        <v/>
      </c>
    </row>
    <row r="50" customFormat="false" ht="15" hidden="false" customHeight="false" outlineLevel="0" collapsed="false">
      <c r="A50" s="16" t="str">
        <f aca="false">IF(Products!A50="","",Products!A50)</f>
        <v/>
      </c>
      <c r="B50" s="16" t="str">
        <f aca="false">IF(Products!A50="","",Products!C50)</f>
        <v/>
      </c>
      <c r="C50" s="8" t="str">
        <f aca="false">IF(A50="","",SUMIFS(InventoryMovements!$E$5:$E$504,InventoryMovements!$C$5:$C$504,A50))</f>
        <v/>
      </c>
      <c r="D50" s="17" t="str">
        <f aca="false">IF(A50="","",Products!J50)</f>
        <v/>
      </c>
      <c r="E50" s="18" t="str">
        <f aca="false">IF(A50="","",IF(C50&lt;=D50,"REORDER","OK"))</f>
        <v/>
      </c>
    </row>
    <row r="51" customFormat="false" ht="15" hidden="false" customHeight="false" outlineLevel="0" collapsed="false">
      <c r="A51" s="16" t="str">
        <f aca="false">IF(Products!A51="","",Products!A51)</f>
        <v/>
      </c>
      <c r="B51" s="16" t="str">
        <f aca="false">IF(Products!A51="","",Products!C51)</f>
        <v/>
      </c>
      <c r="C51" s="8" t="str">
        <f aca="false">IF(A51="","",SUMIFS(InventoryMovements!$E$5:$E$504,InventoryMovements!$C$5:$C$504,A51))</f>
        <v/>
      </c>
      <c r="D51" s="17" t="str">
        <f aca="false">IF(A51="","",Products!J51)</f>
        <v/>
      </c>
      <c r="E51" s="18" t="str">
        <f aca="false">IF(A51="","",IF(C51&lt;=D51,"REORDER","OK"))</f>
        <v/>
      </c>
    </row>
    <row r="52" customFormat="false" ht="15" hidden="false" customHeight="false" outlineLevel="0" collapsed="false">
      <c r="A52" s="16" t="str">
        <f aca="false">IF(Products!A52="","",Products!A52)</f>
        <v/>
      </c>
      <c r="B52" s="16" t="str">
        <f aca="false">IF(Products!A52="","",Products!C52)</f>
        <v/>
      </c>
      <c r="C52" s="8" t="str">
        <f aca="false">IF(A52="","",SUMIFS(InventoryMovements!$E$5:$E$504,InventoryMovements!$C$5:$C$504,A52))</f>
        <v/>
      </c>
      <c r="D52" s="17" t="str">
        <f aca="false">IF(A52="","",Products!J52)</f>
        <v/>
      </c>
      <c r="E52" s="18" t="str">
        <f aca="false">IF(A52="","",IF(C52&lt;=D52,"REORDER","OK"))</f>
        <v/>
      </c>
    </row>
    <row r="53" customFormat="false" ht="15" hidden="false" customHeight="false" outlineLevel="0" collapsed="false">
      <c r="A53" s="16" t="str">
        <f aca="false">IF(Products!A53="","",Products!A53)</f>
        <v/>
      </c>
      <c r="B53" s="16" t="str">
        <f aca="false">IF(Products!A53="","",Products!C53)</f>
        <v/>
      </c>
      <c r="C53" s="8" t="str">
        <f aca="false">IF(A53="","",SUMIFS(InventoryMovements!$E$5:$E$504,InventoryMovements!$C$5:$C$504,A53))</f>
        <v/>
      </c>
      <c r="D53" s="17" t="str">
        <f aca="false">IF(A53="","",Products!J53)</f>
        <v/>
      </c>
      <c r="E53" s="18" t="str">
        <f aca="false">IF(A53="","",IF(C53&lt;=D53,"REORDER","OK"))</f>
        <v/>
      </c>
    </row>
    <row r="54" customFormat="false" ht="15" hidden="false" customHeight="false" outlineLevel="0" collapsed="false">
      <c r="A54" s="16" t="str">
        <f aca="false">IF(Products!A54="","",Products!A54)</f>
        <v/>
      </c>
      <c r="B54" s="16" t="str">
        <f aca="false">IF(Products!A54="","",Products!C54)</f>
        <v/>
      </c>
      <c r="C54" s="8" t="str">
        <f aca="false">IF(A54="","",SUMIFS(InventoryMovements!$E$5:$E$504,InventoryMovements!$C$5:$C$504,A54))</f>
        <v/>
      </c>
      <c r="D54" s="17" t="str">
        <f aca="false">IF(A54="","",Products!J54)</f>
        <v/>
      </c>
      <c r="E54" s="18" t="str">
        <f aca="false">IF(A54="","",IF(C54&lt;=D54,"REORDER","OK"))</f>
        <v/>
      </c>
    </row>
    <row r="55" customFormat="false" ht="15" hidden="false" customHeight="false" outlineLevel="0" collapsed="false">
      <c r="A55" s="16" t="str">
        <f aca="false">IF(Products!A55="","",Products!A55)</f>
        <v/>
      </c>
      <c r="B55" s="16" t="str">
        <f aca="false">IF(Products!A55="","",Products!C55)</f>
        <v/>
      </c>
      <c r="C55" s="8" t="str">
        <f aca="false">IF(A55="","",SUMIFS(InventoryMovements!$E$5:$E$504,InventoryMovements!$C$5:$C$504,A55))</f>
        <v/>
      </c>
      <c r="D55" s="17" t="str">
        <f aca="false">IF(A55="","",Products!J55)</f>
        <v/>
      </c>
      <c r="E55" s="18" t="str">
        <f aca="false">IF(A55="","",IF(C55&lt;=D55,"REORDER","OK"))</f>
        <v/>
      </c>
    </row>
    <row r="56" customFormat="false" ht="15" hidden="false" customHeight="false" outlineLevel="0" collapsed="false">
      <c r="A56" s="16" t="str">
        <f aca="false">IF(Products!A56="","",Products!A56)</f>
        <v/>
      </c>
      <c r="B56" s="16" t="str">
        <f aca="false">IF(Products!A56="","",Products!C56)</f>
        <v/>
      </c>
      <c r="C56" s="8" t="str">
        <f aca="false">IF(A56="","",SUMIFS(InventoryMovements!$E$5:$E$504,InventoryMovements!$C$5:$C$504,A56))</f>
        <v/>
      </c>
      <c r="D56" s="17" t="str">
        <f aca="false">IF(A56="","",Products!J56)</f>
        <v/>
      </c>
      <c r="E56" s="18" t="str">
        <f aca="false">IF(A56="","",IF(C56&lt;=D56,"REORDER","OK"))</f>
        <v/>
      </c>
    </row>
    <row r="57" customFormat="false" ht="15" hidden="false" customHeight="false" outlineLevel="0" collapsed="false">
      <c r="A57" s="16" t="str">
        <f aca="false">IF(Products!A57="","",Products!A57)</f>
        <v/>
      </c>
      <c r="B57" s="16" t="str">
        <f aca="false">IF(Products!A57="","",Products!C57)</f>
        <v/>
      </c>
      <c r="C57" s="8" t="str">
        <f aca="false">IF(A57="","",SUMIFS(InventoryMovements!$E$5:$E$504,InventoryMovements!$C$5:$C$504,A57))</f>
        <v/>
      </c>
      <c r="D57" s="17" t="str">
        <f aca="false">IF(A57="","",Products!J57)</f>
        <v/>
      </c>
      <c r="E57" s="18" t="str">
        <f aca="false">IF(A57="","",IF(C57&lt;=D57,"REORDER","OK"))</f>
        <v/>
      </c>
    </row>
    <row r="58" customFormat="false" ht="15" hidden="false" customHeight="false" outlineLevel="0" collapsed="false">
      <c r="A58" s="16" t="str">
        <f aca="false">IF(Products!A58="","",Products!A58)</f>
        <v/>
      </c>
      <c r="B58" s="16" t="str">
        <f aca="false">IF(Products!A58="","",Products!C58)</f>
        <v/>
      </c>
      <c r="C58" s="8" t="str">
        <f aca="false">IF(A58="","",SUMIFS(InventoryMovements!$E$5:$E$504,InventoryMovements!$C$5:$C$504,A58))</f>
        <v/>
      </c>
      <c r="D58" s="17" t="str">
        <f aca="false">IF(A58="","",Products!J58)</f>
        <v/>
      </c>
      <c r="E58" s="18" t="str">
        <f aca="false">IF(A58="","",IF(C58&lt;=D58,"REORDER","OK"))</f>
        <v/>
      </c>
    </row>
    <row r="59" customFormat="false" ht="15" hidden="false" customHeight="false" outlineLevel="0" collapsed="false">
      <c r="A59" s="16" t="str">
        <f aca="false">IF(Products!A59="","",Products!A59)</f>
        <v/>
      </c>
      <c r="B59" s="16" t="str">
        <f aca="false">IF(Products!A59="","",Products!C59)</f>
        <v/>
      </c>
      <c r="C59" s="8" t="str">
        <f aca="false">IF(A59="","",SUMIFS(InventoryMovements!$E$5:$E$504,InventoryMovements!$C$5:$C$504,A59))</f>
        <v/>
      </c>
      <c r="D59" s="17" t="str">
        <f aca="false">IF(A59="","",Products!J59)</f>
        <v/>
      </c>
      <c r="E59" s="18" t="str">
        <f aca="false">IF(A59="","",IF(C59&lt;=D59,"REORDER","OK"))</f>
        <v/>
      </c>
    </row>
    <row r="60" customFormat="false" ht="15" hidden="false" customHeight="false" outlineLevel="0" collapsed="false">
      <c r="A60" s="16" t="str">
        <f aca="false">IF(Products!A60="","",Products!A60)</f>
        <v/>
      </c>
      <c r="B60" s="16" t="str">
        <f aca="false">IF(Products!A60="","",Products!C60)</f>
        <v/>
      </c>
      <c r="C60" s="8" t="str">
        <f aca="false">IF(A60="","",SUMIFS(InventoryMovements!$E$5:$E$504,InventoryMovements!$C$5:$C$504,A60))</f>
        <v/>
      </c>
      <c r="D60" s="17" t="str">
        <f aca="false">IF(A60="","",Products!J60)</f>
        <v/>
      </c>
      <c r="E60" s="18" t="str">
        <f aca="false">IF(A60="","",IF(C60&lt;=D60,"REORDER","OK"))</f>
        <v/>
      </c>
    </row>
    <row r="61" customFormat="false" ht="15" hidden="false" customHeight="false" outlineLevel="0" collapsed="false">
      <c r="A61" s="16" t="str">
        <f aca="false">IF(Products!A61="","",Products!A61)</f>
        <v/>
      </c>
      <c r="B61" s="16" t="str">
        <f aca="false">IF(Products!A61="","",Products!C61)</f>
        <v/>
      </c>
      <c r="C61" s="8" t="str">
        <f aca="false">IF(A61="","",SUMIFS(InventoryMovements!$E$5:$E$504,InventoryMovements!$C$5:$C$504,A61))</f>
        <v/>
      </c>
      <c r="D61" s="17" t="str">
        <f aca="false">IF(A61="","",Products!J61)</f>
        <v/>
      </c>
      <c r="E61" s="18" t="str">
        <f aca="false">IF(A61="","",IF(C61&lt;=D61,"REORDER","OK"))</f>
        <v/>
      </c>
    </row>
    <row r="62" customFormat="false" ht="15" hidden="false" customHeight="false" outlineLevel="0" collapsed="false">
      <c r="A62" s="16" t="str">
        <f aca="false">IF(Products!A62="","",Products!A62)</f>
        <v/>
      </c>
      <c r="B62" s="16" t="str">
        <f aca="false">IF(Products!A62="","",Products!C62)</f>
        <v/>
      </c>
      <c r="C62" s="8" t="str">
        <f aca="false">IF(A62="","",SUMIFS(InventoryMovements!$E$5:$E$504,InventoryMovements!$C$5:$C$504,A62))</f>
        <v/>
      </c>
      <c r="D62" s="17" t="str">
        <f aca="false">IF(A62="","",Products!J62)</f>
        <v/>
      </c>
      <c r="E62" s="18" t="str">
        <f aca="false">IF(A62="","",IF(C62&lt;=D62,"REORDER","OK"))</f>
        <v/>
      </c>
    </row>
    <row r="63" customFormat="false" ht="15" hidden="false" customHeight="false" outlineLevel="0" collapsed="false">
      <c r="A63" s="16" t="str">
        <f aca="false">IF(Products!A63="","",Products!A63)</f>
        <v/>
      </c>
      <c r="B63" s="16" t="str">
        <f aca="false">IF(Products!A63="","",Products!C63)</f>
        <v/>
      </c>
      <c r="C63" s="8" t="str">
        <f aca="false">IF(A63="","",SUMIFS(InventoryMovements!$E$5:$E$504,InventoryMovements!$C$5:$C$504,A63))</f>
        <v/>
      </c>
      <c r="D63" s="17" t="str">
        <f aca="false">IF(A63="","",Products!J63)</f>
        <v/>
      </c>
      <c r="E63" s="18" t="str">
        <f aca="false">IF(A63="","",IF(C63&lt;=D63,"REORDER","OK"))</f>
        <v/>
      </c>
    </row>
    <row r="64" customFormat="false" ht="15" hidden="false" customHeight="false" outlineLevel="0" collapsed="false">
      <c r="A64" s="16" t="str">
        <f aca="false">IF(Products!A64="","",Products!A64)</f>
        <v/>
      </c>
      <c r="B64" s="16" t="str">
        <f aca="false">IF(Products!A64="","",Products!C64)</f>
        <v/>
      </c>
      <c r="C64" s="8" t="str">
        <f aca="false">IF(A64="","",SUMIFS(InventoryMovements!$E$5:$E$504,InventoryMovements!$C$5:$C$504,A64))</f>
        <v/>
      </c>
      <c r="D64" s="17" t="str">
        <f aca="false">IF(A64="","",Products!J64)</f>
        <v/>
      </c>
      <c r="E64" s="18" t="str">
        <f aca="false">IF(A64="","",IF(C64&lt;=D64,"REORDER","OK"))</f>
        <v/>
      </c>
    </row>
    <row r="65" customFormat="false" ht="15" hidden="false" customHeight="false" outlineLevel="0" collapsed="false">
      <c r="A65" s="16" t="str">
        <f aca="false">IF(Products!A65="","",Products!A65)</f>
        <v/>
      </c>
      <c r="B65" s="16" t="str">
        <f aca="false">IF(Products!A65="","",Products!C65)</f>
        <v/>
      </c>
      <c r="C65" s="8" t="str">
        <f aca="false">IF(A65="","",SUMIFS(InventoryMovements!$E$5:$E$504,InventoryMovements!$C$5:$C$504,A65))</f>
        <v/>
      </c>
      <c r="D65" s="17" t="str">
        <f aca="false">IF(A65="","",Products!J65)</f>
        <v/>
      </c>
      <c r="E65" s="18" t="str">
        <f aca="false">IF(A65="","",IF(C65&lt;=D65,"REORDER","OK"))</f>
        <v/>
      </c>
    </row>
    <row r="66" customFormat="false" ht="15" hidden="false" customHeight="false" outlineLevel="0" collapsed="false">
      <c r="A66" s="16" t="str">
        <f aca="false">IF(Products!A66="","",Products!A66)</f>
        <v/>
      </c>
      <c r="B66" s="16" t="str">
        <f aca="false">IF(Products!A66="","",Products!C66)</f>
        <v/>
      </c>
      <c r="C66" s="8" t="str">
        <f aca="false">IF(A66="","",SUMIFS(InventoryMovements!$E$5:$E$504,InventoryMovements!$C$5:$C$504,A66))</f>
        <v/>
      </c>
      <c r="D66" s="17" t="str">
        <f aca="false">IF(A66="","",Products!J66)</f>
        <v/>
      </c>
      <c r="E66" s="18" t="str">
        <f aca="false">IF(A66="","",IF(C66&lt;=D66,"REORDER","OK"))</f>
        <v/>
      </c>
    </row>
    <row r="67" customFormat="false" ht="15" hidden="false" customHeight="false" outlineLevel="0" collapsed="false">
      <c r="A67" s="16" t="str">
        <f aca="false">IF(Products!A67="","",Products!A67)</f>
        <v/>
      </c>
      <c r="B67" s="16" t="str">
        <f aca="false">IF(Products!A67="","",Products!C67)</f>
        <v/>
      </c>
      <c r="C67" s="8" t="str">
        <f aca="false">IF(A67="","",SUMIFS(InventoryMovements!$E$5:$E$504,InventoryMovements!$C$5:$C$504,A67))</f>
        <v/>
      </c>
      <c r="D67" s="17" t="str">
        <f aca="false">IF(A67="","",Products!J67)</f>
        <v/>
      </c>
      <c r="E67" s="18" t="str">
        <f aca="false">IF(A67="","",IF(C67&lt;=D67,"REORDER","OK"))</f>
        <v/>
      </c>
    </row>
    <row r="68" customFormat="false" ht="15" hidden="false" customHeight="false" outlineLevel="0" collapsed="false">
      <c r="A68" s="16" t="str">
        <f aca="false">IF(Products!A68="","",Products!A68)</f>
        <v/>
      </c>
      <c r="B68" s="16" t="str">
        <f aca="false">IF(Products!A68="","",Products!C68)</f>
        <v/>
      </c>
      <c r="C68" s="8" t="str">
        <f aca="false">IF(A68="","",SUMIFS(InventoryMovements!$E$5:$E$504,InventoryMovements!$C$5:$C$504,A68))</f>
        <v/>
      </c>
      <c r="D68" s="17" t="str">
        <f aca="false">IF(A68="","",Products!J68)</f>
        <v/>
      </c>
      <c r="E68" s="18" t="str">
        <f aca="false">IF(A68="","",IF(C68&lt;=D68,"REORDER","OK"))</f>
        <v/>
      </c>
    </row>
    <row r="69" customFormat="false" ht="15" hidden="false" customHeight="false" outlineLevel="0" collapsed="false">
      <c r="A69" s="16" t="str">
        <f aca="false">IF(Products!A69="","",Products!A69)</f>
        <v/>
      </c>
      <c r="B69" s="16" t="str">
        <f aca="false">IF(Products!A69="","",Products!C69)</f>
        <v/>
      </c>
      <c r="C69" s="8" t="str">
        <f aca="false">IF(A69="","",SUMIFS(InventoryMovements!$E$5:$E$504,InventoryMovements!$C$5:$C$504,A69))</f>
        <v/>
      </c>
      <c r="D69" s="17" t="str">
        <f aca="false">IF(A69="","",Products!J69)</f>
        <v/>
      </c>
      <c r="E69" s="18" t="str">
        <f aca="false">IF(A69="","",IF(C69&lt;=D69,"REORDER","OK"))</f>
        <v/>
      </c>
    </row>
    <row r="70" customFormat="false" ht="15" hidden="false" customHeight="false" outlineLevel="0" collapsed="false">
      <c r="A70" s="16" t="str">
        <f aca="false">IF(Products!A70="","",Products!A70)</f>
        <v/>
      </c>
      <c r="B70" s="16" t="str">
        <f aca="false">IF(Products!A70="","",Products!C70)</f>
        <v/>
      </c>
      <c r="C70" s="8" t="str">
        <f aca="false">IF(A70="","",SUMIFS(InventoryMovements!$E$5:$E$504,InventoryMovements!$C$5:$C$504,A70))</f>
        <v/>
      </c>
      <c r="D70" s="17" t="str">
        <f aca="false">IF(A70="","",Products!J70)</f>
        <v/>
      </c>
      <c r="E70" s="18" t="str">
        <f aca="false">IF(A70="","",IF(C70&lt;=D70,"REORDER","OK"))</f>
        <v/>
      </c>
    </row>
    <row r="71" customFormat="false" ht="15" hidden="false" customHeight="false" outlineLevel="0" collapsed="false">
      <c r="A71" s="16" t="str">
        <f aca="false">IF(Products!A71="","",Products!A71)</f>
        <v/>
      </c>
      <c r="B71" s="16" t="str">
        <f aca="false">IF(Products!A71="","",Products!C71)</f>
        <v/>
      </c>
      <c r="C71" s="8" t="str">
        <f aca="false">IF(A71="","",SUMIFS(InventoryMovements!$E$5:$E$504,InventoryMovements!$C$5:$C$504,A71))</f>
        <v/>
      </c>
      <c r="D71" s="17" t="str">
        <f aca="false">IF(A71="","",Products!J71)</f>
        <v/>
      </c>
      <c r="E71" s="18" t="str">
        <f aca="false">IF(A71="","",IF(C71&lt;=D71,"REORDER","OK"))</f>
        <v/>
      </c>
    </row>
    <row r="72" customFormat="false" ht="15" hidden="false" customHeight="false" outlineLevel="0" collapsed="false">
      <c r="A72" s="16" t="str">
        <f aca="false">IF(Products!A72="","",Products!A72)</f>
        <v/>
      </c>
      <c r="B72" s="16" t="str">
        <f aca="false">IF(Products!A72="","",Products!C72)</f>
        <v/>
      </c>
      <c r="C72" s="8" t="str">
        <f aca="false">IF(A72="","",SUMIFS(InventoryMovements!$E$5:$E$504,InventoryMovements!$C$5:$C$504,A72))</f>
        <v/>
      </c>
      <c r="D72" s="17" t="str">
        <f aca="false">IF(A72="","",Products!J72)</f>
        <v/>
      </c>
      <c r="E72" s="18" t="str">
        <f aca="false">IF(A72="","",IF(C72&lt;=D72,"REORDER","OK"))</f>
        <v/>
      </c>
    </row>
    <row r="73" customFormat="false" ht="15" hidden="false" customHeight="false" outlineLevel="0" collapsed="false">
      <c r="A73" s="16" t="str">
        <f aca="false">IF(Products!A73="","",Products!A73)</f>
        <v/>
      </c>
      <c r="B73" s="16" t="str">
        <f aca="false">IF(Products!A73="","",Products!C73)</f>
        <v/>
      </c>
      <c r="C73" s="8" t="str">
        <f aca="false">IF(A73="","",SUMIFS(InventoryMovements!$E$5:$E$504,InventoryMovements!$C$5:$C$504,A73))</f>
        <v/>
      </c>
      <c r="D73" s="17" t="str">
        <f aca="false">IF(A73="","",Products!J73)</f>
        <v/>
      </c>
      <c r="E73" s="18" t="str">
        <f aca="false">IF(A73="","",IF(C73&lt;=D73,"REORDER","OK"))</f>
        <v/>
      </c>
    </row>
    <row r="74" customFormat="false" ht="15" hidden="false" customHeight="false" outlineLevel="0" collapsed="false">
      <c r="A74" s="16" t="str">
        <f aca="false">IF(Products!A74="","",Products!A74)</f>
        <v/>
      </c>
      <c r="B74" s="16" t="str">
        <f aca="false">IF(Products!A74="","",Products!C74)</f>
        <v/>
      </c>
      <c r="C74" s="8" t="str">
        <f aca="false">IF(A74="","",SUMIFS(InventoryMovements!$E$5:$E$504,InventoryMovements!$C$5:$C$504,A74))</f>
        <v/>
      </c>
      <c r="D74" s="17" t="str">
        <f aca="false">IF(A74="","",Products!J74)</f>
        <v/>
      </c>
      <c r="E74" s="18" t="str">
        <f aca="false">IF(A74="","",IF(C74&lt;=D74,"REORDER","OK"))</f>
        <v/>
      </c>
    </row>
    <row r="75" customFormat="false" ht="15" hidden="false" customHeight="false" outlineLevel="0" collapsed="false">
      <c r="A75" s="16" t="str">
        <f aca="false">IF(Products!A75="","",Products!A75)</f>
        <v/>
      </c>
      <c r="B75" s="16" t="str">
        <f aca="false">IF(Products!A75="","",Products!C75)</f>
        <v/>
      </c>
      <c r="C75" s="8" t="str">
        <f aca="false">IF(A75="","",SUMIFS(InventoryMovements!$E$5:$E$504,InventoryMovements!$C$5:$C$504,A75))</f>
        <v/>
      </c>
      <c r="D75" s="17" t="str">
        <f aca="false">IF(A75="","",Products!J75)</f>
        <v/>
      </c>
      <c r="E75" s="18" t="str">
        <f aca="false">IF(A75="","",IF(C75&lt;=D75,"REORDER","OK"))</f>
        <v/>
      </c>
    </row>
    <row r="76" customFormat="false" ht="15" hidden="false" customHeight="false" outlineLevel="0" collapsed="false">
      <c r="A76" s="16" t="str">
        <f aca="false">IF(Products!A76="","",Products!A76)</f>
        <v/>
      </c>
      <c r="B76" s="16" t="str">
        <f aca="false">IF(Products!A76="","",Products!C76)</f>
        <v/>
      </c>
      <c r="C76" s="8" t="str">
        <f aca="false">IF(A76="","",SUMIFS(InventoryMovements!$E$5:$E$504,InventoryMovements!$C$5:$C$504,A76))</f>
        <v/>
      </c>
      <c r="D76" s="17" t="str">
        <f aca="false">IF(A76="","",Products!J76)</f>
        <v/>
      </c>
      <c r="E76" s="18" t="str">
        <f aca="false">IF(A76="","",IF(C76&lt;=D76,"REORDER","OK"))</f>
        <v/>
      </c>
    </row>
    <row r="77" customFormat="false" ht="15" hidden="false" customHeight="false" outlineLevel="0" collapsed="false">
      <c r="A77" s="16" t="str">
        <f aca="false">IF(Products!A77="","",Products!A77)</f>
        <v/>
      </c>
      <c r="B77" s="16" t="str">
        <f aca="false">IF(Products!A77="","",Products!C77)</f>
        <v/>
      </c>
      <c r="C77" s="8" t="str">
        <f aca="false">IF(A77="","",SUMIFS(InventoryMovements!$E$5:$E$504,InventoryMovements!$C$5:$C$504,A77))</f>
        <v/>
      </c>
      <c r="D77" s="17" t="str">
        <f aca="false">IF(A77="","",Products!J77)</f>
        <v/>
      </c>
      <c r="E77" s="18" t="str">
        <f aca="false">IF(A77="","",IF(C77&lt;=D77,"REORDER","OK"))</f>
        <v/>
      </c>
    </row>
    <row r="78" customFormat="false" ht="15" hidden="false" customHeight="false" outlineLevel="0" collapsed="false">
      <c r="A78" s="16" t="str">
        <f aca="false">IF(Products!A78="","",Products!A78)</f>
        <v/>
      </c>
      <c r="B78" s="16" t="str">
        <f aca="false">IF(Products!A78="","",Products!C78)</f>
        <v/>
      </c>
      <c r="C78" s="8" t="str">
        <f aca="false">IF(A78="","",SUMIFS(InventoryMovements!$E$5:$E$504,InventoryMovements!$C$5:$C$504,A78))</f>
        <v/>
      </c>
      <c r="D78" s="17" t="str">
        <f aca="false">IF(A78="","",Products!J78)</f>
        <v/>
      </c>
      <c r="E78" s="18" t="str">
        <f aca="false">IF(A78="","",IF(C78&lt;=D78,"REORDER","OK"))</f>
        <v/>
      </c>
    </row>
    <row r="79" customFormat="false" ht="15" hidden="false" customHeight="false" outlineLevel="0" collapsed="false">
      <c r="A79" s="16" t="str">
        <f aca="false">IF(Products!A79="","",Products!A79)</f>
        <v/>
      </c>
      <c r="B79" s="16" t="str">
        <f aca="false">IF(Products!A79="","",Products!C79)</f>
        <v/>
      </c>
      <c r="C79" s="8" t="str">
        <f aca="false">IF(A79="","",SUMIFS(InventoryMovements!$E$5:$E$504,InventoryMovements!$C$5:$C$504,A79))</f>
        <v/>
      </c>
      <c r="D79" s="17" t="str">
        <f aca="false">IF(A79="","",Products!J79)</f>
        <v/>
      </c>
      <c r="E79" s="18" t="str">
        <f aca="false">IF(A79="","",IF(C79&lt;=D79,"REORDER","OK"))</f>
        <v/>
      </c>
    </row>
    <row r="80" customFormat="false" ht="15" hidden="false" customHeight="false" outlineLevel="0" collapsed="false">
      <c r="A80" s="16" t="str">
        <f aca="false">IF(Products!A80="","",Products!A80)</f>
        <v/>
      </c>
      <c r="B80" s="16" t="str">
        <f aca="false">IF(Products!A80="","",Products!C80)</f>
        <v/>
      </c>
      <c r="C80" s="8" t="str">
        <f aca="false">IF(A80="","",SUMIFS(InventoryMovements!$E$5:$E$504,InventoryMovements!$C$5:$C$504,A80))</f>
        <v/>
      </c>
      <c r="D80" s="17" t="str">
        <f aca="false">IF(A80="","",Products!J80)</f>
        <v/>
      </c>
      <c r="E80" s="18" t="str">
        <f aca="false">IF(A80="","",IF(C80&lt;=D80,"REORDER","OK"))</f>
        <v/>
      </c>
    </row>
    <row r="81" customFormat="false" ht="15" hidden="false" customHeight="false" outlineLevel="0" collapsed="false">
      <c r="A81" s="16" t="str">
        <f aca="false">IF(Products!A81="","",Products!A81)</f>
        <v/>
      </c>
      <c r="B81" s="16" t="str">
        <f aca="false">IF(Products!A81="","",Products!C81)</f>
        <v/>
      </c>
      <c r="C81" s="8" t="str">
        <f aca="false">IF(A81="","",SUMIFS(InventoryMovements!$E$5:$E$504,InventoryMovements!$C$5:$C$504,A81))</f>
        <v/>
      </c>
      <c r="D81" s="17" t="str">
        <f aca="false">IF(A81="","",Products!J81)</f>
        <v/>
      </c>
      <c r="E81" s="18" t="str">
        <f aca="false">IF(A81="","",IF(C81&lt;=D81,"REORDER","OK"))</f>
        <v/>
      </c>
    </row>
    <row r="82" customFormat="false" ht="15" hidden="false" customHeight="false" outlineLevel="0" collapsed="false">
      <c r="A82" s="16" t="str">
        <f aca="false">IF(Products!A82="","",Products!A82)</f>
        <v/>
      </c>
      <c r="B82" s="16" t="str">
        <f aca="false">IF(Products!A82="","",Products!C82)</f>
        <v/>
      </c>
      <c r="C82" s="8" t="str">
        <f aca="false">IF(A82="","",SUMIFS(InventoryMovements!$E$5:$E$504,InventoryMovements!$C$5:$C$504,A82))</f>
        <v/>
      </c>
      <c r="D82" s="17" t="str">
        <f aca="false">IF(A82="","",Products!J82)</f>
        <v/>
      </c>
      <c r="E82" s="18" t="str">
        <f aca="false">IF(A82="","",IF(C82&lt;=D82,"REORDER","OK"))</f>
        <v/>
      </c>
    </row>
    <row r="83" customFormat="false" ht="15" hidden="false" customHeight="false" outlineLevel="0" collapsed="false">
      <c r="A83" s="16" t="str">
        <f aca="false">IF(Products!A83="","",Products!A83)</f>
        <v/>
      </c>
      <c r="B83" s="16" t="str">
        <f aca="false">IF(Products!A83="","",Products!C83)</f>
        <v/>
      </c>
      <c r="C83" s="8" t="str">
        <f aca="false">IF(A83="","",SUMIFS(InventoryMovements!$E$5:$E$504,InventoryMovements!$C$5:$C$504,A83))</f>
        <v/>
      </c>
      <c r="D83" s="17" t="str">
        <f aca="false">IF(A83="","",Products!J83)</f>
        <v/>
      </c>
      <c r="E83" s="18" t="str">
        <f aca="false">IF(A83="","",IF(C83&lt;=D83,"REORDER","OK"))</f>
        <v/>
      </c>
    </row>
    <row r="84" customFormat="false" ht="15" hidden="false" customHeight="false" outlineLevel="0" collapsed="false">
      <c r="A84" s="16" t="str">
        <f aca="false">IF(Products!A84="","",Products!A84)</f>
        <v/>
      </c>
      <c r="B84" s="16" t="str">
        <f aca="false">IF(Products!A84="","",Products!C84)</f>
        <v/>
      </c>
      <c r="C84" s="8" t="str">
        <f aca="false">IF(A84="","",SUMIFS(InventoryMovements!$E$5:$E$504,InventoryMovements!$C$5:$C$504,A84))</f>
        <v/>
      </c>
      <c r="D84" s="17" t="str">
        <f aca="false">IF(A84="","",Products!J84)</f>
        <v/>
      </c>
      <c r="E84" s="18" t="str">
        <f aca="false">IF(A84="","",IF(C84&lt;=D84,"REORDER","OK"))</f>
        <v/>
      </c>
    </row>
    <row r="85" customFormat="false" ht="15" hidden="false" customHeight="false" outlineLevel="0" collapsed="false">
      <c r="A85" s="16" t="str">
        <f aca="false">IF(Products!A85="","",Products!A85)</f>
        <v/>
      </c>
      <c r="B85" s="16" t="str">
        <f aca="false">IF(Products!A85="","",Products!C85)</f>
        <v/>
      </c>
      <c r="C85" s="8" t="str">
        <f aca="false">IF(A85="","",SUMIFS(InventoryMovements!$E$5:$E$504,InventoryMovements!$C$5:$C$504,A85))</f>
        <v/>
      </c>
      <c r="D85" s="17" t="str">
        <f aca="false">IF(A85="","",Products!J85)</f>
        <v/>
      </c>
      <c r="E85" s="18" t="str">
        <f aca="false">IF(A85="","",IF(C85&lt;=D85,"REORDER","OK"))</f>
        <v/>
      </c>
    </row>
    <row r="86" customFormat="false" ht="15" hidden="false" customHeight="false" outlineLevel="0" collapsed="false">
      <c r="A86" s="16" t="str">
        <f aca="false">IF(Products!A86="","",Products!A86)</f>
        <v/>
      </c>
      <c r="B86" s="16" t="str">
        <f aca="false">IF(Products!A86="","",Products!C86)</f>
        <v/>
      </c>
      <c r="C86" s="8" t="str">
        <f aca="false">IF(A86="","",SUMIFS(InventoryMovements!$E$5:$E$504,InventoryMovements!$C$5:$C$504,A86))</f>
        <v/>
      </c>
      <c r="D86" s="17" t="str">
        <f aca="false">IF(A86="","",Products!J86)</f>
        <v/>
      </c>
      <c r="E86" s="18" t="str">
        <f aca="false">IF(A86="","",IF(C86&lt;=D86,"REORDER","OK"))</f>
        <v/>
      </c>
    </row>
    <row r="87" customFormat="false" ht="15" hidden="false" customHeight="false" outlineLevel="0" collapsed="false">
      <c r="A87" s="16" t="str">
        <f aca="false">IF(Products!A87="","",Products!A87)</f>
        <v/>
      </c>
      <c r="B87" s="16" t="str">
        <f aca="false">IF(Products!A87="","",Products!C87)</f>
        <v/>
      </c>
      <c r="C87" s="8" t="str">
        <f aca="false">IF(A87="","",SUMIFS(InventoryMovements!$E$5:$E$504,InventoryMovements!$C$5:$C$504,A87))</f>
        <v/>
      </c>
      <c r="D87" s="17" t="str">
        <f aca="false">IF(A87="","",Products!J87)</f>
        <v/>
      </c>
      <c r="E87" s="18" t="str">
        <f aca="false">IF(A87="","",IF(C87&lt;=D87,"REORDER","OK"))</f>
        <v/>
      </c>
    </row>
    <row r="88" customFormat="false" ht="15" hidden="false" customHeight="false" outlineLevel="0" collapsed="false">
      <c r="A88" s="16" t="str">
        <f aca="false">IF(Products!A88="","",Products!A88)</f>
        <v/>
      </c>
      <c r="B88" s="16" t="str">
        <f aca="false">IF(Products!A88="","",Products!C88)</f>
        <v/>
      </c>
      <c r="C88" s="8" t="str">
        <f aca="false">IF(A88="","",SUMIFS(InventoryMovements!$E$5:$E$504,InventoryMovements!$C$5:$C$504,A88))</f>
        <v/>
      </c>
      <c r="D88" s="17" t="str">
        <f aca="false">IF(A88="","",Products!J88)</f>
        <v/>
      </c>
      <c r="E88" s="18" t="str">
        <f aca="false">IF(A88="","",IF(C88&lt;=D88,"REORDER","OK"))</f>
        <v/>
      </c>
    </row>
    <row r="89" customFormat="false" ht="15" hidden="false" customHeight="false" outlineLevel="0" collapsed="false">
      <c r="A89" s="16" t="str">
        <f aca="false">IF(Products!A89="","",Products!A89)</f>
        <v/>
      </c>
      <c r="B89" s="16" t="str">
        <f aca="false">IF(Products!A89="","",Products!C89)</f>
        <v/>
      </c>
      <c r="C89" s="8" t="str">
        <f aca="false">IF(A89="","",SUMIFS(InventoryMovements!$E$5:$E$504,InventoryMovements!$C$5:$C$504,A89))</f>
        <v/>
      </c>
      <c r="D89" s="17" t="str">
        <f aca="false">IF(A89="","",Products!J89)</f>
        <v/>
      </c>
      <c r="E89" s="18" t="str">
        <f aca="false">IF(A89="","",IF(C89&lt;=D89,"REORDER","OK"))</f>
        <v/>
      </c>
    </row>
    <row r="90" customFormat="false" ht="15" hidden="false" customHeight="false" outlineLevel="0" collapsed="false">
      <c r="A90" s="16" t="str">
        <f aca="false">IF(Products!A90="","",Products!A90)</f>
        <v/>
      </c>
      <c r="B90" s="16" t="str">
        <f aca="false">IF(Products!A90="","",Products!C90)</f>
        <v/>
      </c>
      <c r="C90" s="8" t="str">
        <f aca="false">IF(A90="","",SUMIFS(InventoryMovements!$E$5:$E$504,InventoryMovements!$C$5:$C$504,A90))</f>
        <v/>
      </c>
      <c r="D90" s="17" t="str">
        <f aca="false">IF(A90="","",Products!J90)</f>
        <v/>
      </c>
      <c r="E90" s="18" t="str">
        <f aca="false">IF(A90="","",IF(C90&lt;=D90,"REORDER","OK"))</f>
        <v/>
      </c>
    </row>
    <row r="91" customFormat="false" ht="15" hidden="false" customHeight="false" outlineLevel="0" collapsed="false">
      <c r="A91" s="16" t="str">
        <f aca="false">IF(Products!A91="","",Products!A91)</f>
        <v/>
      </c>
      <c r="B91" s="16" t="str">
        <f aca="false">IF(Products!A91="","",Products!C91)</f>
        <v/>
      </c>
      <c r="C91" s="8" t="str">
        <f aca="false">IF(A91="","",SUMIFS(InventoryMovements!$E$5:$E$504,InventoryMovements!$C$5:$C$504,A91))</f>
        <v/>
      </c>
      <c r="D91" s="17" t="str">
        <f aca="false">IF(A91="","",Products!J91)</f>
        <v/>
      </c>
      <c r="E91" s="18" t="str">
        <f aca="false">IF(A91="","",IF(C91&lt;=D91,"REORDER","OK"))</f>
        <v/>
      </c>
    </row>
    <row r="92" customFormat="false" ht="15" hidden="false" customHeight="false" outlineLevel="0" collapsed="false">
      <c r="A92" s="16" t="str">
        <f aca="false">IF(Products!A92="","",Products!A92)</f>
        <v/>
      </c>
      <c r="B92" s="16" t="str">
        <f aca="false">IF(Products!A92="","",Products!C92)</f>
        <v/>
      </c>
      <c r="C92" s="8" t="str">
        <f aca="false">IF(A92="","",SUMIFS(InventoryMovements!$E$5:$E$504,InventoryMovements!$C$5:$C$504,A92))</f>
        <v/>
      </c>
      <c r="D92" s="17" t="str">
        <f aca="false">IF(A92="","",Products!J92)</f>
        <v/>
      </c>
      <c r="E92" s="18" t="str">
        <f aca="false">IF(A92="","",IF(C92&lt;=D92,"REORDER","OK"))</f>
        <v/>
      </c>
    </row>
    <row r="93" customFormat="false" ht="15" hidden="false" customHeight="false" outlineLevel="0" collapsed="false">
      <c r="A93" s="16" t="str">
        <f aca="false">IF(Products!A93="","",Products!A93)</f>
        <v/>
      </c>
      <c r="B93" s="16" t="str">
        <f aca="false">IF(Products!A93="","",Products!C93)</f>
        <v/>
      </c>
      <c r="C93" s="8" t="str">
        <f aca="false">IF(A93="","",SUMIFS(InventoryMovements!$E$5:$E$504,InventoryMovements!$C$5:$C$504,A93))</f>
        <v/>
      </c>
      <c r="D93" s="17" t="str">
        <f aca="false">IF(A93="","",Products!J93)</f>
        <v/>
      </c>
      <c r="E93" s="18" t="str">
        <f aca="false">IF(A93="","",IF(C93&lt;=D93,"REORDER","OK"))</f>
        <v/>
      </c>
    </row>
    <row r="94" customFormat="false" ht="15" hidden="false" customHeight="false" outlineLevel="0" collapsed="false">
      <c r="A94" s="16" t="str">
        <f aca="false">IF(Products!A94="","",Products!A94)</f>
        <v/>
      </c>
      <c r="B94" s="16" t="str">
        <f aca="false">IF(Products!A94="","",Products!C94)</f>
        <v/>
      </c>
      <c r="C94" s="8" t="str">
        <f aca="false">IF(A94="","",SUMIFS(InventoryMovements!$E$5:$E$504,InventoryMovements!$C$5:$C$504,A94))</f>
        <v/>
      </c>
      <c r="D94" s="17" t="str">
        <f aca="false">IF(A94="","",Products!J94)</f>
        <v/>
      </c>
      <c r="E94" s="18" t="str">
        <f aca="false">IF(A94="","",IF(C94&lt;=D94,"REORDER","OK"))</f>
        <v/>
      </c>
    </row>
    <row r="95" customFormat="false" ht="15" hidden="false" customHeight="false" outlineLevel="0" collapsed="false">
      <c r="A95" s="16" t="str">
        <f aca="false">IF(Products!A95="","",Products!A95)</f>
        <v/>
      </c>
      <c r="B95" s="16" t="str">
        <f aca="false">IF(Products!A95="","",Products!C95)</f>
        <v/>
      </c>
      <c r="C95" s="8" t="str">
        <f aca="false">IF(A95="","",SUMIFS(InventoryMovements!$E$5:$E$504,InventoryMovements!$C$5:$C$504,A95))</f>
        <v/>
      </c>
      <c r="D95" s="17" t="str">
        <f aca="false">IF(A95="","",Products!J95)</f>
        <v/>
      </c>
      <c r="E95" s="18" t="str">
        <f aca="false">IF(A95="","",IF(C95&lt;=D95,"REORDER","OK"))</f>
        <v/>
      </c>
    </row>
    <row r="96" customFormat="false" ht="15" hidden="false" customHeight="false" outlineLevel="0" collapsed="false">
      <c r="A96" s="16" t="str">
        <f aca="false">IF(Products!A96="","",Products!A96)</f>
        <v/>
      </c>
      <c r="B96" s="16" t="str">
        <f aca="false">IF(Products!A96="","",Products!C96)</f>
        <v/>
      </c>
      <c r="C96" s="8" t="str">
        <f aca="false">IF(A96="","",SUMIFS(InventoryMovements!$E$5:$E$504,InventoryMovements!$C$5:$C$504,A96))</f>
        <v/>
      </c>
      <c r="D96" s="17" t="str">
        <f aca="false">IF(A96="","",Products!J96)</f>
        <v/>
      </c>
      <c r="E96" s="18" t="str">
        <f aca="false">IF(A96="","",IF(C96&lt;=D96,"REORDER","OK"))</f>
        <v/>
      </c>
    </row>
    <row r="97" customFormat="false" ht="15" hidden="false" customHeight="false" outlineLevel="0" collapsed="false">
      <c r="A97" s="16" t="str">
        <f aca="false">IF(Products!A97="","",Products!A97)</f>
        <v/>
      </c>
      <c r="B97" s="16" t="str">
        <f aca="false">IF(Products!A97="","",Products!C97)</f>
        <v/>
      </c>
      <c r="C97" s="8" t="str">
        <f aca="false">IF(A97="","",SUMIFS(InventoryMovements!$E$5:$E$504,InventoryMovements!$C$5:$C$504,A97))</f>
        <v/>
      </c>
      <c r="D97" s="17" t="str">
        <f aca="false">IF(A97="","",Products!J97)</f>
        <v/>
      </c>
      <c r="E97" s="18" t="str">
        <f aca="false">IF(A97="","",IF(C97&lt;=D97,"REORDER","OK"))</f>
        <v/>
      </c>
    </row>
    <row r="98" customFormat="false" ht="15" hidden="false" customHeight="false" outlineLevel="0" collapsed="false">
      <c r="A98" s="16" t="str">
        <f aca="false">IF(Products!A98="","",Products!A98)</f>
        <v/>
      </c>
      <c r="B98" s="16" t="str">
        <f aca="false">IF(Products!A98="","",Products!C98)</f>
        <v/>
      </c>
      <c r="C98" s="8" t="str">
        <f aca="false">IF(A98="","",SUMIFS(InventoryMovements!$E$5:$E$504,InventoryMovements!$C$5:$C$504,A98))</f>
        <v/>
      </c>
      <c r="D98" s="17" t="str">
        <f aca="false">IF(A98="","",Products!J98)</f>
        <v/>
      </c>
      <c r="E98" s="18" t="str">
        <f aca="false">IF(A98="","",IF(C98&lt;=D98,"REORDER","OK"))</f>
        <v/>
      </c>
    </row>
    <row r="99" customFormat="false" ht="15" hidden="false" customHeight="false" outlineLevel="0" collapsed="false">
      <c r="A99" s="16" t="str">
        <f aca="false">IF(Products!A99="","",Products!A99)</f>
        <v/>
      </c>
      <c r="B99" s="16" t="str">
        <f aca="false">IF(Products!A99="","",Products!C99)</f>
        <v/>
      </c>
      <c r="C99" s="8" t="str">
        <f aca="false">IF(A99="","",SUMIFS(InventoryMovements!$E$5:$E$504,InventoryMovements!$C$5:$C$504,A99))</f>
        <v/>
      </c>
      <c r="D99" s="17" t="str">
        <f aca="false">IF(A99="","",Products!J99)</f>
        <v/>
      </c>
      <c r="E99" s="18" t="str">
        <f aca="false">IF(A99="","",IF(C99&lt;=D99,"REORDER","OK"))</f>
        <v/>
      </c>
    </row>
    <row r="100" customFormat="false" ht="15" hidden="false" customHeight="false" outlineLevel="0" collapsed="false">
      <c r="A100" s="16" t="str">
        <f aca="false">IF(Products!A100="","",Products!A100)</f>
        <v/>
      </c>
      <c r="B100" s="16" t="str">
        <f aca="false">IF(Products!A100="","",Products!C100)</f>
        <v/>
      </c>
      <c r="C100" s="8" t="str">
        <f aca="false">IF(A100="","",SUMIFS(InventoryMovements!$E$5:$E$504,InventoryMovements!$C$5:$C$504,A100))</f>
        <v/>
      </c>
      <c r="D100" s="17" t="str">
        <f aca="false">IF(A100="","",Products!J100)</f>
        <v/>
      </c>
      <c r="E100" s="18" t="str">
        <f aca="false">IF(A100="","",IF(C100&lt;=D100,"REORDER","OK"))</f>
        <v/>
      </c>
    </row>
    <row r="101" customFormat="false" ht="15" hidden="false" customHeight="false" outlineLevel="0" collapsed="false">
      <c r="A101" s="16" t="str">
        <f aca="false">IF(Products!A101="","",Products!A101)</f>
        <v/>
      </c>
      <c r="B101" s="16" t="str">
        <f aca="false">IF(Products!A101="","",Products!C101)</f>
        <v/>
      </c>
      <c r="C101" s="8" t="str">
        <f aca="false">IF(A101="","",SUMIFS(InventoryMovements!$E$5:$E$504,InventoryMovements!$C$5:$C$504,A101))</f>
        <v/>
      </c>
      <c r="D101" s="17" t="str">
        <f aca="false">IF(A101="","",Products!J101)</f>
        <v/>
      </c>
      <c r="E101" s="18" t="str">
        <f aca="false">IF(A101="","",IF(C101&lt;=D101,"REORDER","OK"))</f>
        <v/>
      </c>
    </row>
    <row r="102" customFormat="false" ht="15" hidden="false" customHeight="false" outlineLevel="0" collapsed="false">
      <c r="A102" s="16" t="str">
        <f aca="false">IF(Products!A102="","",Products!A102)</f>
        <v/>
      </c>
      <c r="B102" s="16" t="str">
        <f aca="false">IF(Products!A102="","",Products!C102)</f>
        <v/>
      </c>
      <c r="C102" s="8" t="str">
        <f aca="false">IF(A102="","",SUMIFS(InventoryMovements!$E$5:$E$504,InventoryMovements!$C$5:$C$504,A102))</f>
        <v/>
      </c>
      <c r="D102" s="17" t="str">
        <f aca="false">IF(A102="","",Products!J102)</f>
        <v/>
      </c>
      <c r="E102" s="18" t="str">
        <f aca="false">IF(A102="","",IF(C102&lt;=D102,"REORDER","OK"))</f>
        <v/>
      </c>
    </row>
    <row r="103" customFormat="false" ht="15" hidden="false" customHeight="false" outlineLevel="0" collapsed="false">
      <c r="A103" s="16" t="str">
        <f aca="false">IF(Products!A103="","",Products!A103)</f>
        <v/>
      </c>
      <c r="B103" s="16" t="str">
        <f aca="false">IF(Products!A103="","",Products!C103)</f>
        <v/>
      </c>
      <c r="C103" s="8" t="str">
        <f aca="false">IF(A103="","",SUMIFS(InventoryMovements!$E$5:$E$504,InventoryMovements!$C$5:$C$504,A103))</f>
        <v/>
      </c>
      <c r="D103" s="17" t="str">
        <f aca="false">IF(A103="","",Products!J103)</f>
        <v/>
      </c>
      <c r="E103" s="18" t="str">
        <f aca="false">IF(A103="","",IF(C103&lt;=D103,"REORDER","OK"))</f>
        <v/>
      </c>
    </row>
    <row r="104" customFormat="false" ht="15" hidden="false" customHeight="false" outlineLevel="0" collapsed="false">
      <c r="A104" s="16" t="str">
        <f aca="false">IF(Products!A104="","",Products!A104)</f>
        <v/>
      </c>
      <c r="B104" s="16" t="str">
        <f aca="false">IF(Products!A104="","",Products!C104)</f>
        <v/>
      </c>
      <c r="C104" s="8" t="str">
        <f aca="false">IF(A104="","",SUMIFS(InventoryMovements!$E$5:$E$504,InventoryMovements!$C$5:$C$504,A104))</f>
        <v/>
      </c>
      <c r="D104" s="17" t="str">
        <f aca="false">IF(A104="","",Products!J104)</f>
        <v/>
      </c>
      <c r="E104" s="18" t="str">
        <f aca="false">IF(A104="","",IF(C104&lt;=D104,"REORDER","OK"))</f>
        <v/>
      </c>
    </row>
    <row r="105" customFormat="false" ht="15" hidden="false" customHeight="false" outlineLevel="0" collapsed="false">
      <c r="A105" s="16" t="str">
        <f aca="false">IF(Products!A105="","",Products!A105)</f>
        <v/>
      </c>
      <c r="B105" s="16" t="str">
        <f aca="false">IF(Products!A105="","",Products!C105)</f>
        <v/>
      </c>
      <c r="C105" s="8" t="str">
        <f aca="false">IF(A105="","",SUMIFS(InventoryMovements!$E$5:$E$504,InventoryMovements!$C$5:$C$504,A105))</f>
        <v/>
      </c>
      <c r="D105" s="17" t="str">
        <f aca="false">IF(A105="","",Products!J105)</f>
        <v/>
      </c>
      <c r="E105" s="18" t="str">
        <f aca="false">IF(A105="","",IF(C105&lt;=D105,"REORDER","OK"))</f>
        <v/>
      </c>
    </row>
    <row r="106" customFormat="false" ht="15" hidden="false" customHeight="false" outlineLevel="0" collapsed="false">
      <c r="A106" s="16" t="str">
        <f aca="false">IF(Products!A106="","",Products!A106)</f>
        <v/>
      </c>
      <c r="B106" s="16" t="str">
        <f aca="false">IF(Products!A106="","",Products!C106)</f>
        <v/>
      </c>
      <c r="C106" s="8" t="str">
        <f aca="false">IF(A106="","",SUMIFS(InventoryMovements!$E$5:$E$504,InventoryMovements!$C$5:$C$504,A106))</f>
        <v/>
      </c>
      <c r="D106" s="17" t="str">
        <f aca="false">IF(A106="","",Products!J106)</f>
        <v/>
      </c>
      <c r="E106" s="18" t="str">
        <f aca="false">IF(A106="","",IF(C106&lt;=D106,"REORDER","OK"))</f>
        <v/>
      </c>
    </row>
    <row r="107" customFormat="false" ht="15" hidden="false" customHeight="false" outlineLevel="0" collapsed="false">
      <c r="A107" s="16" t="str">
        <f aca="false">IF(Products!A107="","",Products!A107)</f>
        <v/>
      </c>
      <c r="B107" s="16" t="str">
        <f aca="false">IF(Products!A107="","",Products!C107)</f>
        <v/>
      </c>
      <c r="C107" s="8" t="str">
        <f aca="false">IF(A107="","",SUMIFS(InventoryMovements!$E$5:$E$504,InventoryMovements!$C$5:$C$504,A107))</f>
        <v/>
      </c>
      <c r="D107" s="17" t="str">
        <f aca="false">IF(A107="","",Products!J107)</f>
        <v/>
      </c>
      <c r="E107" s="18" t="str">
        <f aca="false">IF(A107="","",IF(C107&lt;=D107,"REORDER","OK"))</f>
        <v/>
      </c>
    </row>
    <row r="108" customFormat="false" ht="15" hidden="false" customHeight="false" outlineLevel="0" collapsed="false">
      <c r="A108" s="16" t="str">
        <f aca="false">IF(Products!A108="","",Products!A108)</f>
        <v/>
      </c>
      <c r="B108" s="16" t="str">
        <f aca="false">IF(Products!A108="","",Products!C108)</f>
        <v/>
      </c>
      <c r="C108" s="8" t="str">
        <f aca="false">IF(A108="","",SUMIFS(InventoryMovements!$E$5:$E$504,InventoryMovements!$C$5:$C$504,A108))</f>
        <v/>
      </c>
      <c r="D108" s="17" t="str">
        <f aca="false">IF(A108="","",Products!J108)</f>
        <v/>
      </c>
      <c r="E108" s="18" t="str">
        <f aca="false">IF(A108="","",IF(C108&lt;=D108,"REORDER","OK"))</f>
        <v/>
      </c>
    </row>
    <row r="109" customFormat="false" ht="15" hidden="false" customHeight="false" outlineLevel="0" collapsed="false">
      <c r="A109" s="16" t="str">
        <f aca="false">IF(Products!A109="","",Products!A109)</f>
        <v/>
      </c>
      <c r="B109" s="16" t="str">
        <f aca="false">IF(Products!A109="","",Products!C109)</f>
        <v/>
      </c>
      <c r="C109" s="8" t="str">
        <f aca="false">IF(A109="","",SUMIFS(InventoryMovements!$E$5:$E$504,InventoryMovements!$C$5:$C$504,A109))</f>
        <v/>
      </c>
      <c r="D109" s="17" t="str">
        <f aca="false">IF(A109="","",Products!J109)</f>
        <v/>
      </c>
      <c r="E109" s="18" t="str">
        <f aca="false">IF(A109="","",IF(C109&lt;=D109,"REORDER","OK"))</f>
        <v/>
      </c>
    </row>
    <row r="110" customFormat="false" ht="15" hidden="false" customHeight="false" outlineLevel="0" collapsed="false">
      <c r="A110" s="16" t="str">
        <f aca="false">IF(Products!A110="","",Products!A110)</f>
        <v/>
      </c>
      <c r="B110" s="16" t="str">
        <f aca="false">IF(Products!A110="","",Products!C110)</f>
        <v/>
      </c>
      <c r="C110" s="8" t="str">
        <f aca="false">IF(A110="","",SUMIFS(InventoryMovements!$E$5:$E$504,InventoryMovements!$C$5:$C$504,A110))</f>
        <v/>
      </c>
      <c r="D110" s="17" t="str">
        <f aca="false">IF(A110="","",Products!J110)</f>
        <v/>
      </c>
      <c r="E110" s="18" t="str">
        <f aca="false">IF(A110="","",IF(C110&lt;=D110,"REORDER","OK"))</f>
        <v/>
      </c>
    </row>
    <row r="111" customFormat="false" ht="15" hidden="false" customHeight="false" outlineLevel="0" collapsed="false">
      <c r="A111" s="16" t="str">
        <f aca="false">IF(Products!A111="","",Products!A111)</f>
        <v/>
      </c>
      <c r="B111" s="16" t="str">
        <f aca="false">IF(Products!A111="","",Products!C111)</f>
        <v/>
      </c>
      <c r="C111" s="8" t="str">
        <f aca="false">IF(A111="","",SUMIFS(InventoryMovements!$E$5:$E$504,InventoryMovements!$C$5:$C$504,A111))</f>
        <v/>
      </c>
      <c r="D111" s="17" t="str">
        <f aca="false">IF(A111="","",Products!J111)</f>
        <v/>
      </c>
      <c r="E111" s="18" t="str">
        <f aca="false">IF(A111="","",IF(C111&lt;=D111,"REORDER","OK"))</f>
        <v/>
      </c>
    </row>
    <row r="112" customFormat="false" ht="15" hidden="false" customHeight="false" outlineLevel="0" collapsed="false">
      <c r="A112" s="16" t="str">
        <f aca="false">IF(Products!A112="","",Products!A112)</f>
        <v/>
      </c>
      <c r="B112" s="16" t="str">
        <f aca="false">IF(Products!A112="","",Products!C112)</f>
        <v/>
      </c>
      <c r="C112" s="8" t="str">
        <f aca="false">IF(A112="","",SUMIFS(InventoryMovements!$E$5:$E$504,InventoryMovements!$C$5:$C$504,A112))</f>
        <v/>
      </c>
      <c r="D112" s="17" t="str">
        <f aca="false">IF(A112="","",Products!J112)</f>
        <v/>
      </c>
      <c r="E112" s="18" t="str">
        <f aca="false">IF(A112="","",IF(C112&lt;=D112,"REORDER","OK"))</f>
        <v/>
      </c>
    </row>
    <row r="113" customFormat="false" ht="15" hidden="false" customHeight="false" outlineLevel="0" collapsed="false">
      <c r="A113" s="16" t="str">
        <f aca="false">IF(Products!A113="","",Products!A113)</f>
        <v/>
      </c>
      <c r="B113" s="16" t="str">
        <f aca="false">IF(Products!A113="","",Products!C113)</f>
        <v/>
      </c>
      <c r="C113" s="8" t="str">
        <f aca="false">IF(A113="","",SUMIFS(InventoryMovements!$E$5:$E$504,InventoryMovements!$C$5:$C$504,A113))</f>
        <v/>
      </c>
      <c r="D113" s="17" t="str">
        <f aca="false">IF(A113="","",Products!J113)</f>
        <v/>
      </c>
      <c r="E113" s="18" t="str">
        <f aca="false">IF(A113="","",IF(C113&lt;=D113,"REORDER","OK"))</f>
        <v/>
      </c>
    </row>
    <row r="114" customFormat="false" ht="15" hidden="false" customHeight="false" outlineLevel="0" collapsed="false">
      <c r="A114" s="16" t="str">
        <f aca="false">IF(Products!A114="","",Products!A114)</f>
        <v/>
      </c>
      <c r="B114" s="16" t="str">
        <f aca="false">IF(Products!A114="","",Products!C114)</f>
        <v/>
      </c>
      <c r="C114" s="8" t="str">
        <f aca="false">IF(A114="","",SUMIFS(InventoryMovements!$E$5:$E$504,InventoryMovements!$C$5:$C$504,A114))</f>
        <v/>
      </c>
      <c r="D114" s="17" t="str">
        <f aca="false">IF(A114="","",Products!J114)</f>
        <v/>
      </c>
      <c r="E114" s="18" t="str">
        <f aca="false">IF(A114="","",IF(C114&lt;=D114,"REORDER","OK"))</f>
        <v/>
      </c>
    </row>
    <row r="115" customFormat="false" ht="15" hidden="false" customHeight="false" outlineLevel="0" collapsed="false">
      <c r="A115" s="16" t="str">
        <f aca="false">IF(Products!A115="","",Products!A115)</f>
        <v/>
      </c>
      <c r="B115" s="16" t="str">
        <f aca="false">IF(Products!A115="","",Products!C115)</f>
        <v/>
      </c>
      <c r="C115" s="8" t="str">
        <f aca="false">IF(A115="","",SUMIFS(InventoryMovements!$E$5:$E$504,InventoryMovements!$C$5:$C$504,A115))</f>
        <v/>
      </c>
      <c r="D115" s="17" t="str">
        <f aca="false">IF(A115="","",Products!J115)</f>
        <v/>
      </c>
      <c r="E115" s="18" t="str">
        <f aca="false">IF(A115="","",IF(C115&lt;=D115,"REORDER","OK"))</f>
        <v/>
      </c>
    </row>
    <row r="116" customFormat="false" ht="15" hidden="false" customHeight="false" outlineLevel="0" collapsed="false">
      <c r="A116" s="16" t="str">
        <f aca="false">IF(Products!A116="","",Products!A116)</f>
        <v/>
      </c>
      <c r="B116" s="16" t="str">
        <f aca="false">IF(Products!A116="","",Products!C116)</f>
        <v/>
      </c>
      <c r="C116" s="8" t="str">
        <f aca="false">IF(A116="","",SUMIFS(InventoryMovements!$E$5:$E$504,InventoryMovements!$C$5:$C$504,A116))</f>
        <v/>
      </c>
      <c r="D116" s="17" t="str">
        <f aca="false">IF(A116="","",Products!J116)</f>
        <v/>
      </c>
      <c r="E116" s="18" t="str">
        <f aca="false">IF(A116="","",IF(C116&lt;=D116,"REORDER","OK"))</f>
        <v/>
      </c>
    </row>
    <row r="117" customFormat="false" ht="15" hidden="false" customHeight="false" outlineLevel="0" collapsed="false">
      <c r="A117" s="16" t="str">
        <f aca="false">IF(Products!A117="","",Products!A117)</f>
        <v/>
      </c>
      <c r="B117" s="16" t="str">
        <f aca="false">IF(Products!A117="","",Products!C117)</f>
        <v/>
      </c>
      <c r="C117" s="8" t="str">
        <f aca="false">IF(A117="","",SUMIFS(InventoryMovements!$E$5:$E$504,InventoryMovements!$C$5:$C$504,A117))</f>
        <v/>
      </c>
      <c r="D117" s="17" t="str">
        <f aca="false">IF(A117="","",Products!J117)</f>
        <v/>
      </c>
      <c r="E117" s="18" t="str">
        <f aca="false">IF(A117="","",IF(C117&lt;=D117,"REORDER","OK"))</f>
        <v/>
      </c>
    </row>
    <row r="118" customFormat="false" ht="15" hidden="false" customHeight="false" outlineLevel="0" collapsed="false">
      <c r="A118" s="16" t="str">
        <f aca="false">IF(Products!A118="","",Products!A118)</f>
        <v/>
      </c>
      <c r="B118" s="16" t="str">
        <f aca="false">IF(Products!A118="","",Products!C118)</f>
        <v/>
      </c>
      <c r="C118" s="8" t="str">
        <f aca="false">IF(A118="","",SUMIFS(InventoryMovements!$E$5:$E$504,InventoryMovements!$C$5:$C$504,A118))</f>
        <v/>
      </c>
      <c r="D118" s="17" t="str">
        <f aca="false">IF(A118="","",Products!J118)</f>
        <v/>
      </c>
      <c r="E118" s="18" t="str">
        <f aca="false">IF(A118="","",IF(C118&lt;=D118,"REORDER","OK"))</f>
        <v/>
      </c>
    </row>
    <row r="119" customFormat="false" ht="15" hidden="false" customHeight="false" outlineLevel="0" collapsed="false">
      <c r="A119" s="16" t="str">
        <f aca="false">IF(Products!A119="","",Products!A119)</f>
        <v/>
      </c>
      <c r="B119" s="16" t="str">
        <f aca="false">IF(Products!A119="","",Products!C119)</f>
        <v/>
      </c>
      <c r="C119" s="8" t="str">
        <f aca="false">IF(A119="","",SUMIFS(InventoryMovements!$E$5:$E$504,InventoryMovements!$C$5:$C$504,A119))</f>
        <v/>
      </c>
      <c r="D119" s="17" t="str">
        <f aca="false">IF(A119="","",Products!J119)</f>
        <v/>
      </c>
      <c r="E119" s="18" t="str">
        <f aca="false">IF(A119="","",IF(C119&lt;=D119,"REORDER","OK"))</f>
        <v/>
      </c>
    </row>
    <row r="120" customFormat="false" ht="15" hidden="false" customHeight="false" outlineLevel="0" collapsed="false">
      <c r="A120" s="16" t="str">
        <f aca="false">IF(Products!A120="","",Products!A120)</f>
        <v/>
      </c>
      <c r="B120" s="16" t="str">
        <f aca="false">IF(Products!A120="","",Products!C120)</f>
        <v/>
      </c>
      <c r="C120" s="8" t="str">
        <f aca="false">IF(A120="","",SUMIFS(InventoryMovements!$E$5:$E$504,InventoryMovements!$C$5:$C$504,A120))</f>
        <v/>
      </c>
      <c r="D120" s="17" t="str">
        <f aca="false">IF(A120="","",Products!J120)</f>
        <v/>
      </c>
      <c r="E120" s="18" t="str">
        <f aca="false">IF(A120="","",IF(C120&lt;=D120,"REORDER","OK"))</f>
        <v/>
      </c>
    </row>
    <row r="121" customFormat="false" ht="15" hidden="false" customHeight="false" outlineLevel="0" collapsed="false">
      <c r="A121" s="16" t="str">
        <f aca="false">IF(Products!A121="","",Products!A121)</f>
        <v/>
      </c>
      <c r="B121" s="16" t="str">
        <f aca="false">IF(Products!A121="","",Products!C121)</f>
        <v/>
      </c>
      <c r="C121" s="8" t="str">
        <f aca="false">IF(A121="","",SUMIFS(InventoryMovements!$E$5:$E$504,InventoryMovements!$C$5:$C$504,A121))</f>
        <v/>
      </c>
      <c r="D121" s="17" t="str">
        <f aca="false">IF(A121="","",Products!J121)</f>
        <v/>
      </c>
      <c r="E121" s="18" t="str">
        <f aca="false">IF(A121="","",IF(C121&lt;=D121,"REORDER","OK"))</f>
        <v/>
      </c>
    </row>
    <row r="122" customFormat="false" ht="15" hidden="false" customHeight="false" outlineLevel="0" collapsed="false">
      <c r="A122" s="16" t="str">
        <f aca="false">IF(Products!A122="","",Products!A122)</f>
        <v/>
      </c>
      <c r="B122" s="16" t="str">
        <f aca="false">IF(Products!A122="","",Products!C122)</f>
        <v/>
      </c>
      <c r="C122" s="8" t="str">
        <f aca="false">IF(A122="","",SUMIFS(InventoryMovements!$E$5:$E$504,InventoryMovements!$C$5:$C$504,A122))</f>
        <v/>
      </c>
      <c r="D122" s="17" t="str">
        <f aca="false">IF(A122="","",Products!J122)</f>
        <v/>
      </c>
      <c r="E122" s="18" t="str">
        <f aca="false">IF(A122="","",IF(C122&lt;=D122,"REORDER","OK"))</f>
        <v/>
      </c>
    </row>
    <row r="123" customFormat="false" ht="15" hidden="false" customHeight="false" outlineLevel="0" collapsed="false">
      <c r="A123" s="16" t="str">
        <f aca="false">IF(Products!A123="","",Products!A123)</f>
        <v/>
      </c>
      <c r="B123" s="16" t="str">
        <f aca="false">IF(Products!A123="","",Products!C123)</f>
        <v/>
      </c>
      <c r="C123" s="8" t="str">
        <f aca="false">IF(A123="","",SUMIFS(InventoryMovements!$E$5:$E$504,InventoryMovements!$C$5:$C$504,A123))</f>
        <v/>
      </c>
      <c r="D123" s="17" t="str">
        <f aca="false">IF(A123="","",Products!J123)</f>
        <v/>
      </c>
      <c r="E123" s="18" t="str">
        <f aca="false">IF(A123="","",IF(C123&lt;=D123,"REORDER","OK"))</f>
        <v/>
      </c>
    </row>
    <row r="124" customFormat="false" ht="15" hidden="false" customHeight="false" outlineLevel="0" collapsed="false">
      <c r="A124" s="16" t="str">
        <f aca="false">IF(Products!A124="","",Products!A124)</f>
        <v/>
      </c>
      <c r="B124" s="16" t="str">
        <f aca="false">IF(Products!A124="","",Products!C124)</f>
        <v/>
      </c>
      <c r="C124" s="8" t="str">
        <f aca="false">IF(A124="","",SUMIFS(InventoryMovements!$E$5:$E$504,InventoryMovements!$C$5:$C$504,A124))</f>
        <v/>
      </c>
      <c r="D124" s="17" t="str">
        <f aca="false">IF(A124="","",Products!J124)</f>
        <v/>
      </c>
      <c r="E124" s="18" t="str">
        <f aca="false">IF(A124="","",IF(C124&lt;=D124,"REORDER","OK"))</f>
        <v/>
      </c>
    </row>
    <row r="125" customFormat="false" ht="15" hidden="false" customHeight="false" outlineLevel="0" collapsed="false">
      <c r="A125" s="16" t="str">
        <f aca="false">IF(Products!A125="","",Products!A125)</f>
        <v/>
      </c>
      <c r="B125" s="16" t="str">
        <f aca="false">IF(Products!A125="","",Products!C125)</f>
        <v/>
      </c>
      <c r="C125" s="8" t="str">
        <f aca="false">IF(A125="","",SUMIFS(InventoryMovements!$E$5:$E$504,InventoryMovements!$C$5:$C$504,A125))</f>
        <v/>
      </c>
      <c r="D125" s="17" t="str">
        <f aca="false">IF(A125="","",Products!J125)</f>
        <v/>
      </c>
      <c r="E125" s="18" t="str">
        <f aca="false">IF(A125="","",IF(C125&lt;=D125,"REORDER","OK"))</f>
        <v/>
      </c>
    </row>
    <row r="126" customFormat="false" ht="15" hidden="false" customHeight="false" outlineLevel="0" collapsed="false">
      <c r="A126" s="16" t="str">
        <f aca="false">IF(Products!A126="","",Products!A126)</f>
        <v/>
      </c>
      <c r="B126" s="16" t="str">
        <f aca="false">IF(Products!A126="","",Products!C126)</f>
        <v/>
      </c>
      <c r="C126" s="8" t="str">
        <f aca="false">IF(A126="","",SUMIFS(InventoryMovements!$E$5:$E$504,InventoryMovements!$C$5:$C$504,A126))</f>
        <v/>
      </c>
      <c r="D126" s="17" t="str">
        <f aca="false">IF(A126="","",Products!J126)</f>
        <v/>
      </c>
      <c r="E126" s="18" t="str">
        <f aca="false">IF(A126="","",IF(C126&lt;=D126,"REORDER","OK"))</f>
        <v/>
      </c>
    </row>
    <row r="127" customFormat="false" ht="15" hidden="false" customHeight="false" outlineLevel="0" collapsed="false">
      <c r="A127" s="16" t="str">
        <f aca="false">IF(Products!A127="","",Products!A127)</f>
        <v/>
      </c>
      <c r="B127" s="16" t="str">
        <f aca="false">IF(Products!A127="","",Products!C127)</f>
        <v/>
      </c>
      <c r="C127" s="8" t="str">
        <f aca="false">IF(A127="","",SUMIFS(InventoryMovements!$E$5:$E$504,InventoryMovements!$C$5:$C$504,A127))</f>
        <v/>
      </c>
      <c r="D127" s="17" t="str">
        <f aca="false">IF(A127="","",Products!J127)</f>
        <v/>
      </c>
      <c r="E127" s="18" t="str">
        <f aca="false">IF(A127="","",IF(C127&lt;=D127,"REORDER","OK"))</f>
        <v/>
      </c>
    </row>
    <row r="128" customFormat="false" ht="15" hidden="false" customHeight="false" outlineLevel="0" collapsed="false">
      <c r="A128" s="16" t="str">
        <f aca="false">IF(Products!A128="","",Products!A128)</f>
        <v/>
      </c>
      <c r="B128" s="16" t="str">
        <f aca="false">IF(Products!A128="","",Products!C128)</f>
        <v/>
      </c>
      <c r="C128" s="8" t="str">
        <f aca="false">IF(A128="","",SUMIFS(InventoryMovements!$E$5:$E$504,InventoryMovements!$C$5:$C$504,A128))</f>
        <v/>
      </c>
      <c r="D128" s="17" t="str">
        <f aca="false">IF(A128="","",Products!J128)</f>
        <v/>
      </c>
      <c r="E128" s="18" t="str">
        <f aca="false">IF(A128="","",IF(C128&lt;=D128,"REORDER","OK"))</f>
        <v/>
      </c>
    </row>
    <row r="129" customFormat="false" ht="15" hidden="false" customHeight="false" outlineLevel="0" collapsed="false">
      <c r="A129" s="16" t="str">
        <f aca="false">IF(Products!A129="","",Products!A129)</f>
        <v/>
      </c>
      <c r="B129" s="16" t="str">
        <f aca="false">IF(Products!A129="","",Products!C129)</f>
        <v/>
      </c>
      <c r="C129" s="8" t="str">
        <f aca="false">IF(A129="","",SUMIFS(InventoryMovements!$E$5:$E$504,InventoryMovements!$C$5:$C$504,A129))</f>
        <v/>
      </c>
      <c r="D129" s="17" t="str">
        <f aca="false">IF(A129="","",Products!J129)</f>
        <v/>
      </c>
      <c r="E129" s="18" t="str">
        <f aca="false">IF(A129="","",IF(C129&lt;=D129,"REORDER","OK"))</f>
        <v/>
      </c>
    </row>
    <row r="130" customFormat="false" ht="15" hidden="false" customHeight="false" outlineLevel="0" collapsed="false">
      <c r="A130" s="16" t="str">
        <f aca="false">IF(Products!A130="","",Products!A130)</f>
        <v/>
      </c>
      <c r="B130" s="16" t="str">
        <f aca="false">IF(Products!A130="","",Products!C130)</f>
        <v/>
      </c>
      <c r="C130" s="8" t="str">
        <f aca="false">IF(A130="","",SUMIFS(InventoryMovements!$E$5:$E$504,InventoryMovements!$C$5:$C$504,A130))</f>
        <v/>
      </c>
      <c r="D130" s="17" t="str">
        <f aca="false">IF(A130="","",Products!J130)</f>
        <v/>
      </c>
      <c r="E130" s="18" t="str">
        <f aca="false">IF(A130="","",IF(C130&lt;=D130,"REORDER","OK"))</f>
        <v/>
      </c>
    </row>
    <row r="131" customFormat="false" ht="15" hidden="false" customHeight="false" outlineLevel="0" collapsed="false">
      <c r="A131" s="16" t="str">
        <f aca="false">IF(Products!A131="","",Products!A131)</f>
        <v/>
      </c>
      <c r="B131" s="16" t="str">
        <f aca="false">IF(Products!A131="","",Products!C131)</f>
        <v/>
      </c>
      <c r="C131" s="8" t="str">
        <f aca="false">IF(A131="","",SUMIFS(InventoryMovements!$E$5:$E$504,InventoryMovements!$C$5:$C$504,A131))</f>
        <v/>
      </c>
      <c r="D131" s="17" t="str">
        <f aca="false">IF(A131="","",Products!J131)</f>
        <v/>
      </c>
      <c r="E131" s="18" t="str">
        <f aca="false">IF(A131="","",IF(C131&lt;=D131,"REORDER","OK"))</f>
        <v/>
      </c>
    </row>
    <row r="132" customFormat="false" ht="15" hidden="false" customHeight="false" outlineLevel="0" collapsed="false">
      <c r="A132" s="16" t="str">
        <f aca="false">IF(Products!A132="","",Products!A132)</f>
        <v/>
      </c>
      <c r="B132" s="16" t="str">
        <f aca="false">IF(Products!A132="","",Products!C132)</f>
        <v/>
      </c>
      <c r="C132" s="8" t="str">
        <f aca="false">IF(A132="","",SUMIFS(InventoryMovements!$E$5:$E$504,InventoryMovements!$C$5:$C$504,A132))</f>
        <v/>
      </c>
      <c r="D132" s="17" t="str">
        <f aca="false">IF(A132="","",Products!J132)</f>
        <v/>
      </c>
      <c r="E132" s="18" t="str">
        <f aca="false">IF(A132="","",IF(C132&lt;=D132,"REORDER","OK"))</f>
        <v/>
      </c>
    </row>
    <row r="133" customFormat="false" ht="15" hidden="false" customHeight="false" outlineLevel="0" collapsed="false">
      <c r="A133" s="16" t="str">
        <f aca="false">IF(Products!A133="","",Products!A133)</f>
        <v/>
      </c>
      <c r="B133" s="16" t="str">
        <f aca="false">IF(Products!A133="","",Products!C133)</f>
        <v/>
      </c>
      <c r="C133" s="8" t="str">
        <f aca="false">IF(A133="","",SUMIFS(InventoryMovements!$E$5:$E$504,InventoryMovements!$C$5:$C$504,A133))</f>
        <v/>
      </c>
      <c r="D133" s="17" t="str">
        <f aca="false">IF(A133="","",Products!J133)</f>
        <v/>
      </c>
      <c r="E133" s="18" t="str">
        <f aca="false">IF(A133="","",IF(C133&lt;=D133,"REORDER","OK"))</f>
        <v/>
      </c>
    </row>
    <row r="134" customFormat="false" ht="15" hidden="false" customHeight="false" outlineLevel="0" collapsed="false">
      <c r="A134" s="16" t="str">
        <f aca="false">IF(Products!A134="","",Products!A134)</f>
        <v/>
      </c>
      <c r="B134" s="16" t="str">
        <f aca="false">IF(Products!A134="","",Products!C134)</f>
        <v/>
      </c>
      <c r="C134" s="8" t="str">
        <f aca="false">IF(A134="","",SUMIFS(InventoryMovements!$E$5:$E$504,InventoryMovements!$C$5:$C$504,A134))</f>
        <v/>
      </c>
      <c r="D134" s="17" t="str">
        <f aca="false">IF(A134="","",Products!J134)</f>
        <v/>
      </c>
      <c r="E134" s="18" t="str">
        <f aca="false">IF(A134="","",IF(C134&lt;=D134,"REORDER","OK"))</f>
        <v/>
      </c>
    </row>
    <row r="135" customFormat="false" ht="15" hidden="false" customHeight="false" outlineLevel="0" collapsed="false">
      <c r="A135" s="16" t="str">
        <f aca="false">IF(Products!A135="","",Products!A135)</f>
        <v/>
      </c>
      <c r="B135" s="16" t="str">
        <f aca="false">IF(Products!A135="","",Products!C135)</f>
        <v/>
      </c>
      <c r="C135" s="8" t="str">
        <f aca="false">IF(A135="","",SUMIFS(InventoryMovements!$E$5:$E$504,InventoryMovements!$C$5:$C$504,A135))</f>
        <v/>
      </c>
      <c r="D135" s="17" t="str">
        <f aca="false">IF(A135="","",Products!J135)</f>
        <v/>
      </c>
      <c r="E135" s="18" t="str">
        <f aca="false">IF(A135="","",IF(C135&lt;=D135,"REORDER","OK"))</f>
        <v/>
      </c>
    </row>
    <row r="136" customFormat="false" ht="15" hidden="false" customHeight="false" outlineLevel="0" collapsed="false">
      <c r="A136" s="16" t="str">
        <f aca="false">IF(Products!A136="","",Products!A136)</f>
        <v/>
      </c>
      <c r="B136" s="16" t="str">
        <f aca="false">IF(Products!A136="","",Products!C136)</f>
        <v/>
      </c>
      <c r="C136" s="8" t="str">
        <f aca="false">IF(A136="","",SUMIFS(InventoryMovements!$E$5:$E$504,InventoryMovements!$C$5:$C$504,A136))</f>
        <v/>
      </c>
      <c r="D136" s="17" t="str">
        <f aca="false">IF(A136="","",Products!J136)</f>
        <v/>
      </c>
      <c r="E136" s="18" t="str">
        <f aca="false">IF(A136="","",IF(C136&lt;=D136,"REORDER","OK"))</f>
        <v/>
      </c>
    </row>
    <row r="137" customFormat="false" ht="15" hidden="false" customHeight="false" outlineLevel="0" collapsed="false">
      <c r="A137" s="16" t="str">
        <f aca="false">IF(Products!A137="","",Products!A137)</f>
        <v/>
      </c>
      <c r="B137" s="16" t="str">
        <f aca="false">IF(Products!A137="","",Products!C137)</f>
        <v/>
      </c>
      <c r="C137" s="8" t="str">
        <f aca="false">IF(A137="","",SUMIFS(InventoryMovements!$E$5:$E$504,InventoryMovements!$C$5:$C$504,A137))</f>
        <v/>
      </c>
      <c r="D137" s="17" t="str">
        <f aca="false">IF(A137="","",Products!J137)</f>
        <v/>
      </c>
      <c r="E137" s="18" t="str">
        <f aca="false">IF(A137="","",IF(C137&lt;=D137,"REORDER","OK"))</f>
        <v/>
      </c>
    </row>
    <row r="138" customFormat="false" ht="15" hidden="false" customHeight="false" outlineLevel="0" collapsed="false">
      <c r="A138" s="16" t="str">
        <f aca="false">IF(Products!A138="","",Products!A138)</f>
        <v/>
      </c>
      <c r="B138" s="16" t="str">
        <f aca="false">IF(Products!A138="","",Products!C138)</f>
        <v/>
      </c>
      <c r="C138" s="8" t="str">
        <f aca="false">IF(A138="","",SUMIFS(InventoryMovements!$E$5:$E$504,InventoryMovements!$C$5:$C$504,A138))</f>
        <v/>
      </c>
      <c r="D138" s="17" t="str">
        <f aca="false">IF(A138="","",Products!J138)</f>
        <v/>
      </c>
      <c r="E138" s="18" t="str">
        <f aca="false">IF(A138="","",IF(C138&lt;=D138,"REORDER","OK"))</f>
        <v/>
      </c>
    </row>
    <row r="139" customFormat="false" ht="15" hidden="false" customHeight="false" outlineLevel="0" collapsed="false">
      <c r="A139" s="16" t="str">
        <f aca="false">IF(Products!A139="","",Products!A139)</f>
        <v/>
      </c>
      <c r="B139" s="16" t="str">
        <f aca="false">IF(Products!A139="","",Products!C139)</f>
        <v/>
      </c>
      <c r="C139" s="8" t="str">
        <f aca="false">IF(A139="","",SUMIFS(InventoryMovements!$E$5:$E$504,InventoryMovements!$C$5:$C$504,A139))</f>
        <v/>
      </c>
      <c r="D139" s="17" t="str">
        <f aca="false">IF(A139="","",Products!J139)</f>
        <v/>
      </c>
      <c r="E139" s="18" t="str">
        <f aca="false">IF(A139="","",IF(C139&lt;=D139,"REORDER","OK"))</f>
        <v/>
      </c>
    </row>
    <row r="140" customFormat="false" ht="15" hidden="false" customHeight="false" outlineLevel="0" collapsed="false">
      <c r="A140" s="16" t="str">
        <f aca="false">IF(Products!A140="","",Products!A140)</f>
        <v/>
      </c>
      <c r="B140" s="16" t="str">
        <f aca="false">IF(Products!A140="","",Products!C140)</f>
        <v/>
      </c>
      <c r="C140" s="8" t="str">
        <f aca="false">IF(A140="","",SUMIFS(InventoryMovements!$E$5:$E$504,InventoryMovements!$C$5:$C$504,A140))</f>
        <v/>
      </c>
      <c r="D140" s="17" t="str">
        <f aca="false">IF(A140="","",Products!J140)</f>
        <v/>
      </c>
      <c r="E140" s="18" t="str">
        <f aca="false">IF(A140="","",IF(C140&lt;=D140,"REORDER","OK"))</f>
        <v/>
      </c>
    </row>
    <row r="141" customFormat="false" ht="15" hidden="false" customHeight="false" outlineLevel="0" collapsed="false">
      <c r="A141" s="16" t="str">
        <f aca="false">IF(Products!A141="","",Products!A141)</f>
        <v/>
      </c>
      <c r="B141" s="16" t="str">
        <f aca="false">IF(Products!A141="","",Products!C141)</f>
        <v/>
      </c>
      <c r="C141" s="8" t="str">
        <f aca="false">IF(A141="","",SUMIFS(InventoryMovements!$E$5:$E$504,InventoryMovements!$C$5:$C$504,A141))</f>
        <v/>
      </c>
      <c r="D141" s="17" t="str">
        <f aca="false">IF(A141="","",Products!J141)</f>
        <v/>
      </c>
      <c r="E141" s="18" t="str">
        <f aca="false">IF(A141="","",IF(C141&lt;=D141,"REORDER","OK"))</f>
        <v/>
      </c>
    </row>
    <row r="142" customFormat="false" ht="15" hidden="false" customHeight="false" outlineLevel="0" collapsed="false">
      <c r="A142" s="16" t="str">
        <f aca="false">IF(Products!A142="","",Products!A142)</f>
        <v/>
      </c>
      <c r="B142" s="16" t="str">
        <f aca="false">IF(Products!A142="","",Products!C142)</f>
        <v/>
      </c>
      <c r="C142" s="8" t="str">
        <f aca="false">IF(A142="","",SUMIFS(InventoryMovements!$E$5:$E$504,InventoryMovements!$C$5:$C$504,A142))</f>
        <v/>
      </c>
      <c r="D142" s="17" t="str">
        <f aca="false">IF(A142="","",Products!J142)</f>
        <v/>
      </c>
      <c r="E142" s="18" t="str">
        <f aca="false">IF(A142="","",IF(C142&lt;=D142,"REORDER","OK"))</f>
        <v/>
      </c>
    </row>
    <row r="143" customFormat="false" ht="15" hidden="false" customHeight="false" outlineLevel="0" collapsed="false">
      <c r="A143" s="16" t="str">
        <f aca="false">IF(Products!A143="","",Products!A143)</f>
        <v/>
      </c>
      <c r="B143" s="16" t="str">
        <f aca="false">IF(Products!A143="","",Products!C143)</f>
        <v/>
      </c>
      <c r="C143" s="8" t="str">
        <f aca="false">IF(A143="","",SUMIFS(InventoryMovements!$E$5:$E$504,InventoryMovements!$C$5:$C$504,A143))</f>
        <v/>
      </c>
      <c r="D143" s="17" t="str">
        <f aca="false">IF(A143="","",Products!J143)</f>
        <v/>
      </c>
      <c r="E143" s="18" t="str">
        <f aca="false">IF(A143="","",IF(C143&lt;=D143,"REORDER","OK"))</f>
        <v/>
      </c>
    </row>
    <row r="144" customFormat="false" ht="15" hidden="false" customHeight="false" outlineLevel="0" collapsed="false">
      <c r="A144" s="16" t="str">
        <f aca="false">IF(Products!A144="","",Products!A144)</f>
        <v/>
      </c>
      <c r="B144" s="16" t="str">
        <f aca="false">IF(Products!A144="","",Products!C144)</f>
        <v/>
      </c>
      <c r="C144" s="8" t="str">
        <f aca="false">IF(A144="","",SUMIFS(InventoryMovements!$E$5:$E$504,InventoryMovements!$C$5:$C$504,A144))</f>
        <v/>
      </c>
      <c r="D144" s="17" t="str">
        <f aca="false">IF(A144="","",Products!J144)</f>
        <v/>
      </c>
      <c r="E144" s="18" t="str">
        <f aca="false">IF(A144="","",IF(C144&lt;=D144,"REORDER","OK"))</f>
        <v/>
      </c>
    </row>
    <row r="145" customFormat="false" ht="15" hidden="false" customHeight="false" outlineLevel="0" collapsed="false">
      <c r="A145" s="16" t="str">
        <f aca="false">IF(Products!A145="","",Products!A145)</f>
        <v/>
      </c>
      <c r="B145" s="16" t="str">
        <f aca="false">IF(Products!A145="","",Products!C145)</f>
        <v/>
      </c>
      <c r="C145" s="8" t="str">
        <f aca="false">IF(A145="","",SUMIFS(InventoryMovements!$E$5:$E$504,InventoryMovements!$C$5:$C$504,A145))</f>
        <v/>
      </c>
      <c r="D145" s="17" t="str">
        <f aca="false">IF(A145="","",Products!J145)</f>
        <v/>
      </c>
      <c r="E145" s="18" t="str">
        <f aca="false">IF(A145="","",IF(C145&lt;=D145,"REORDER","OK"))</f>
        <v/>
      </c>
    </row>
    <row r="146" customFormat="false" ht="15" hidden="false" customHeight="false" outlineLevel="0" collapsed="false">
      <c r="A146" s="16" t="str">
        <f aca="false">IF(Products!A146="","",Products!A146)</f>
        <v/>
      </c>
      <c r="B146" s="16" t="str">
        <f aca="false">IF(Products!A146="","",Products!C146)</f>
        <v/>
      </c>
      <c r="C146" s="8" t="str">
        <f aca="false">IF(A146="","",SUMIFS(InventoryMovements!$E$5:$E$504,InventoryMovements!$C$5:$C$504,A146))</f>
        <v/>
      </c>
      <c r="D146" s="17" t="str">
        <f aca="false">IF(A146="","",Products!J146)</f>
        <v/>
      </c>
      <c r="E146" s="18" t="str">
        <f aca="false">IF(A146="","",IF(C146&lt;=D146,"REORDER","OK"))</f>
        <v/>
      </c>
    </row>
    <row r="147" customFormat="false" ht="15" hidden="false" customHeight="false" outlineLevel="0" collapsed="false">
      <c r="A147" s="16" t="str">
        <f aca="false">IF(Products!A147="","",Products!A147)</f>
        <v/>
      </c>
      <c r="B147" s="16" t="str">
        <f aca="false">IF(Products!A147="","",Products!C147)</f>
        <v/>
      </c>
      <c r="C147" s="8" t="str">
        <f aca="false">IF(A147="","",SUMIFS(InventoryMovements!$E$5:$E$504,InventoryMovements!$C$5:$C$504,A147))</f>
        <v/>
      </c>
      <c r="D147" s="17" t="str">
        <f aca="false">IF(A147="","",Products!J147)</f>
        <v/>
      </c>
      <c r="E147" s="18" t="str">
        <f aca="false">IF(A147="","",IF(C147&lt;=D147,"REORDER","OK"))</f>
        <v/>
      </c>
    </row>
    <row r="148" customFormat="false" ht="15" hidden="false" customHeight="false" outlineLevel="0" collapsed="false">
      <c r="A148" s="16" t="str">
        <f aca="false">IF(Products!A148="","",Products!A148)</f>
        <v/>
      </c>
      <c r="B148" s="16" t="str">
        <f aca="false">IF(Products!A148="","",Products!C148)</f>
        <v/>
      </c>
      <c r="C148" s="8" t="str">
        <f aca="false">IF(A148="","",SUMIFS(InventoryMovements!$E$5:$E$504,InventoryMovements!$C$5:$C$504,A148))</f>
        <v/>
      </c>
      <c r="D148" s="17" t="str">
        <f aca="false">IF(A148="","",Products!J148)</f>
        <v/>
      </c>
      <c r="E148" s="18" t="str">
        <f aca="false">IF(A148="","",IF(C148&lt;=D148,"REORDER","OK"))</f>
        <v/>
      </c>
    </row>
    <row r="149" customFormat="false" ht="15" hidden="false" customHeight="false" outlineLevel="0" collapsed="false">
      <c r="A149" s="16" t="str">
        <f aca="false">IF(Products!A149="","",Products!A149)</f>
        <v/>
      </c>
      <c r="B149" s="16" t="str">
        <f aca="false">IF(Products!A149="","",Products!C149)</f>
        <v/>
      </c>
      <c r="C149" s="8" t="str">
        <f aca="false">IF(A149="","",SUMIFS(InventoryMovements!$E$5:$E$504,InventoryMovements!$C$5:$C$504,A149))</f>
        <v/>
      </c>
      <c r="D149" s="17" t="str">
        <f aca="false">IF(A149="","",Products!J149)</f>
        <v/>
      </c>
      <c r="E149" s="18" t="str">
        <f aca="false">IF(A149="","",IF(C149&lt;=D149,"REORDER","OK"))</f>
        <v/>
      </c>
    </row>
    <row r="150" customFormat="false" ht="15" hidden="false" customHeight="false" outlineLevel="0" collapsed="false">
      <c r="A150" s="16" t="str">
        <f aca="false">IF(Products!A150="","",Products!A150)</f>
        <v/>
      </c>
      <c r="B150" s="16" t="str">
        <f aca="false">IF(Products!A150="","",Products!C150)</f>
        <v/>
      </c>
      <c r="C150" s="8" t="str">
        <f aca="false">IF(A150="","",SUMIFS(InventoryMovements!$E$5:$E$504,InventoryMovements!$C$5:$C$504,A150))</f>
        <v/>
      </c>
      <c r="D150" s="17" t="str">
        <f aca="false">IF(A150="","",Products!J150)</f>
        <v/>
      </c>
      <c r="E150" s="18" t="str">
        <f aca="false">IF(A150="","",IF(C150&lt;=D150,"REORDER","OK"))</f>
        <v/>
      </c>
    </row>
    <row r="151" customFormat="false" ht="15" hidden="false" customHeight="false" outlineLevel="0" collapsed="false">
      <c r="A151" s="16" t="str">
        <f aca="false">IF(Products!A151="","",Products!A151)</f>
        <v/>
      </c>
      <c r="B151" s="16" t="str">
        <f aca="false">IF(Products!A151="","",Products!C151)</f>
        <v/>
      </c>
      <c r="C151" s="8" t="str">
        <f aca="false">IF(A151="","",SUMIFS(InventoryMovements!$E$5:$E$504,InventoryMovements!$C$5:$C$504,A151))</f>
        <v/>
      </c>
      <c r="D151" s="17" t="str">
        <f aca="false">IF(A151="","",Products!J151)</f>
        <v/>
      </c>
      <c r="E151" s="18" t="str">
        <f aca="false">IF(A151="","",IF(C151&lt;=D151,"REORDER","OK"))</f>
        <v/>
      </c>
    </row>
    <row r="152" customFormat="false" ht="15" hidden="false" customHeight="false" outlineLevel="0" collapsed="false">
      <c r="A152" s="16" t="str">
        <f aca="false">IF(Products!A152="","",Products!A152)</f>
        <v/>
      </c>
      <c r="B152" s="16" t="str">
        <f aca="false">IF(Products!A152="","",Products!C152)</f>
        <v/>
      </c>
      <c r="C152" s="8" t="str">
        <f aca="false">IF(A152="","",SUMIFS(InventoryMovements!$E$5:$E$504,InventoryMovements!$C$5:$C$504,A152))</f>
        <v/>
      </c>
      <c r="D152" s="17" t="str">
        <f aca="false">IF(A152="","",Products!J152)</f>
        <v/>
      </c>
      <c r="E152" s="18" t="str">
        <f aca="false">IF(A152="","",IF(C152&lt;=D152,"REORDER","OK"))</f>
        <v/>
      </c>
    </row>
    <row r="153" customFormat="false" ht="15" hidden="false" customHeight="false" outlineLevel="0" collapsed="false">
      <c r="A153" s="16" t="str">
        <f aca="false">IF(Products!A153="","",Products!A153)</f>
        <v/>
      </c>
      <c r="B153" s="16" t="str">
        <f aca="false">IF(Products!A153="","",Products!C153)</f>
        <v/>
      </c>
      <c r="C153" s="8" t="str">
        <f aca="false">IF(A153="","",SUMIFS(InventoryMovements!$E$5:$E$504,InventoryMovements!$C$5:$C$504,A153))</f>
        <v/>
      </c>
      <c r="D153" s="17" t="str">
        <f aca="false">IF(A153="","",Products!J153)</f>
        <v/>
      </c>
      <c r="E153" s="18" t="str">
        <f aca="false">IF(A153="","",IF(C153&lt;=D153,"REORDER","OK"))</f>
        <v/>
      </c>
    </row>
    <row r="154" customFormat="false" ht="15" hidden="false" customHeight="false" outlineLevel="0" collapsed="false">
      <c r="A154" s="16" t="str">
        <f aca="false">IF(Products!A154="","",Products!A154)</f>
        <v/>
      </c>
      <c r="B154" s="16" t="str">
        <f aca="false">IF(Products!A154="","",Products!C154)</f>
        <v/>
      </c>
      <c r="C154" s="8" t="str">
        <f aca="false">IF(A154="","",SUMIFS(InventoryMovements!$E$5:$E$504,InventoryMovements!$C$5:$C$504,A154))</f>
        <v/>
      </c>
      <c r="D154" s="17" t="str">
        <f aca="false">IF(A154="","",Products!J154)</f>
        <v/>
      </c>
      <c r="E154" s="18" t="str">
        <f aca="false">IF(A154="","",IF(C154&lt;=D154,"REORDER","OK"))</f>
        <v/>
      </c>
    </row>
    <row r="155" customFormat="false" ht="15" hidden="false" customHeight="false" outlineLevel="0" collapsed="false">
      <c r="A155" s="16" t="str">
        <f aca="false">IF(Products!A155="","",Products!A155)</f>
        <v/>
      </c>
      <c r="B155" s="16" t="str">
        <f aca="false">IF(Products!A155="","",Products!C155)</f>
        <v/>
      </c>
      <c r="C155" s="8" t="str">
        <f aca="false">IF(A155="","",SUMIFS(InventoryMovements!$E$5:$E$504,InventoryMovements!$C$5:$C$504,A155))</f>
        <v/>
      </c>
      <c r="D155" s="17" t="str">
        <f aca="false">IF(A155="","",Products!J155)</f>
        <v/>
      </c>
      <c r="E155" s="18" t="str">
        <f aca="false">IF(A155="","",IF(C155&lt;=D155,"REORDER","OK"))</f>
        <v/>
      </c>
    </row>
    <row r="156" customFormat="false" ht="15" hidden="false" customHeight="false" outlineLevel="0" collapsed="false">
      <c r="A156" s="16" t="str">
        <f aca="false">IF(Products!A156="","",Products!A156)</f>
        <v/>
      </c>
      <c r="B156" s="16" t="str">
        <f aca="false">IF(Products!A156="","",Products!C156)</f>
        <v/>
      </c>
      <c r="C156" s="8" t="str">
        <f aca="false">IF(A156="","",SUMIFS(InventoryMovements!$E$5:$E$504,InventoryMovements!$C$5:$C$504,A156))</f>
        <v/>
      </c>
      <c r="D156" s="17" t="str">
        <f aca="false">IF(A156="","",Products!J156)</f>
        <v/>
      </c>
      <c r="E156" s="18" t="str">
        <f aca="false">IF(A156="","",IF(C156&lt;=D156,"REORDER","OK"))</f>
        <v/>
      </c>
    </row>
    <row r="157" customFormat="false" ht="15" hidden="false" customHeight="false" outlineLevel="0" collapsed="false">
      <c r="A157" s="16" t="str">
        <f aca="false">IF(Products!A157="","",Products!A157)</f>
        <v/>
      </c>
      <c r="B157" s="16" t="str">
        <f aca="false">IF(Products!A157="","",Products!C157)</f>
        <v/>
      </c>
      <c r="C157" s="8" t="str">
        <f aca="false">IF(A157="","",SUMIFS(InventoryMovements!$E$5:$E$504,InventoryMovements!$C$5:$C$504,A157))</f>
        <v/>
      </c>
      <c r="D157" s="17" t="str">
        <f aca="false">IF(A157="","",Products!J157)</f>
        <v/>
      </c>
      <c r="E157" s="18" t="str">
        <f aca="false">IF(A157="","",IF(C157&lt;=D157,"REORDER","OK"))</f>
        <v/>
      </c>
    </row>
    <row r="158" customFormat="false" ht="15" hidden="false" customHeight="false" outlineLevel="0" collapsed="false">
      <c r="A158" s="16" t="str">
        <f aca="false">IF(Products!A158="","",Products!A158)</f>
        <v/>
      </c>
      <c r="B158" s="16" t="str">
        <f aca="false">IF(Products!A158="","",Products!C158)</f>
        <v/>
      </c>
      <c r="C158" s="8" t="str">
        <f aca="false">IF(A158="","",SUMIFS(InventoryMovements!$E$5:$E$504,InventoryMovements!$C$5:$C$504,A158))</f>
        <v/>
      </c>
      <c r="D158" s="17" t="str">
        <f aca="false">IF(A158="","",Products!J158)</f>
        <v/>
      </c>
      <c r="E158" s="18" t="str">
        <f aca="false">IF(A158="","",IF(C158&lt;=D158,"REORDER","OK"))</f>
        <v/>
      </c>
    </row>
    <row r="159" customFormat="false" ht="15" hidden="false" customHeight="false" outlineLevel="0" collapsed="false">
      <c r="A159" s="16" t="str">
        <f aca="false">IF(Products!A159="","",Products!A159)</f>
        <v/>
      </c>
      <c r="B159" s="16" t="str">
        <f aca="false">IF(Products!A159="","",Products!C159)</f>
        <v/>
      </c>
      <c r="C159" s="8" t="str">
        <f aca="false">IF(A159="","",SUMIFS(InventoryMovements!$E$5:$E$504,InventoryMovements!$C$5:$C$504,A159))</f>
        <v/>
      </c>
      <c r="D159" s="17" t="str">
        <f aca="false">IF(A159="","",Products!J159)</f>
        <v/>
      </c>
      <c r="E159" s="18" t="str">
        <f aca="false">IF(A159="","",IF(C159&lt;=D159,"REORDER","OK"))</f>
        <v/>
      </c>
    </row>
    <row r="160" customFormat="false" ht="15" hidden="false" customHeight="false" outlineLevel="0" collapsed="false">
      <c r="A160" s="16" t="str">
        <f aca="false">IF(Products!A160="","",Products!A160)</f>
        <v/>
      </c>
      <c r="B160" s="16" t="str">
        <f aca="false">IF(Products!A160="","",Products!C160)</f>
        <v/>
      </c>
      <c r="C160" s="8" t="str">
        <f aca="false">IF(A160="","",SUMIFS(InventoryMovements!$E$5:$E$504,InventoryMovements!$C$5:$C$504,A160))</f>
        <v/>
      </c>
      <c r="D160" s="17" t="str">
        <f aca="false">IF(A160="","",Products!J160)</f>
        <v/>
      </c>
      <c r="E160" s="18" t="str">
        <f aca="false">IF(A160="","",IF(C160&lt;=D160,"REORDER","OK"))</f>
        <v/>
      </c>
    </row>
    <row r="161" customFormat="false" ht="15" hidden="false" customHeight="false" outlineLevel="0" collapsed="false">
      <c r="A161" s="16" t="str">
        <f aca="false">IF(Products!A161="","",Products!A161)</f>
        <v/>
      </c>
      <c r="B161" s="16" t="str">
        <f aca="false">IF(Products!A161="","",Products!C161)</f>
        <v/>
      </c>
      <c r="C161" s="8" t="str">
        <f aca="false">IF(A161="","",SUMIFS(InventoryMovements!$E$5:$E$504,InventoryMovements!$C$5:$C$504,A161))</f>
        <v/>
      </c>
      <c r="D161" s="17" t="str">
        <f aca="false">IF(A161="","",Products!J161)</f>
        <v/>
      </c>
      <c r="E161" s="18" t="str">
        <f aca="false">IF(A161="","",IF(C161&lt;=D161,"REORDER","OK"))</f>
        <v/>
      </c>
    </row>
    <row r="162" customFormat="false" ht="15" hidden="false" customHeight="false" outlineLevel="0" collapsed="false">
      <c r="A162" s="16" t="str">
        <f aca="false">IF(Products!A162="","",Products!A162)</f>
        <v/>
      </c>
      <c r="B162" s="16" t="str">
        <f aca="false">IF(Products!A162="","",Products!C162)</f>
        <v/>
      </c>
      <c r="C162" s="8" t="str">
        <f aca="false">IF(A162="","",SUMIFS(InventoryMovements!$E$5:$E$504,InventoryMovements!$C$5:$C$504,A162))</f>
        <v/>
      </c>
      <c r="D162" s="17" t="str">
        <f aca="false">IF(A162="","",Products!J162)</f>
        <v/>
      </c>
      <c r="E162" s="18" t="str">
        <f aca="false">IF(A162="","",IF(C162&lt;=D162,"REORDER","OK"))</f>
        <v/>
      </c>
    </row>
    <row r="163" customFormat="false" ht="15" hidden="false" customHeight="false" outlineLevel="0" collapsed="false">
      <c r="A163" s="16" t="str">
        <f aca="false">IF(Products!A163="","",Products!A163)</f>
        <v/>
      </c>
      <c r="B163" s="16" t="str">
        <f aca="false">IF(Products!A163="","",Products!C163)</f>
        <v/>
      </c>
      <c r="C163" s="8" t="str">
        <f aca="false">IF(A163="","",SUMIFS(InventoryMovements!$E$5:$E$504,InventoryMovements!$C$5:$C$504,A163))</f>
        <v/>
      </c>
      <c r="D163" s="17" t="str">
        <f aca="false">IF(A163="","",Products!J163)</f>
        <v/>
      </c>
      <c r="E163" s="18" t="str">
        <f aca="false">IF(A163="","",IF(C163&lt;=D163,"REORDER","OK"))</f>
        <v/>
      </c>
    </row>
    <row r="164" customFormat="false" ht="15" hidden="false" customHeight="false" outlineLevel="0" collapsed="false">
      <c r="A164" s="16" t="str">
        <f aca="false">IF(Products!A164="","",Products!A164)</f>
        <v/>
      </c>
      <c r="B164" s="16" t="str">
        <f aca="false">IF(Products!A164="","",Products!C164)</f>
        <v/>
      </c>
      <c r="C164" s="8" t="str">
        <f aca="false">IF(A164="","",SUMIFS(InventoryMovements!$E$5:$E$504,InventoryMovements!$C$5:$C$504,A164))</f>
        <v/>
      </c>
      <c r="D164" s="17" t="str">
        <f aca="false">IF(A164="","",Products!J164)</f>
        <v/>
      </c>
      <c r="E164" s="18" t="str">
        <f aca="false">IF(A164="","",IF(C164&lt;=D164,"REORDER","OK"))</f>
        <v/>
      </c>
    </row>
    <row r="165" customFormat="false" ht="15" hidden="false" customHeight="false" outlineLevel="0" collapsed="false">
      <c r="A165" s="16" t="str">
        <f aca="false">IF(Products!A165="","",Products!A165)</f>
        <v/>
      </c>
      <c r="B165" s="16" t="str">
        <f aca="false">IF(Products!A165="","",Products!C165)</f>
        <v/>
      </c>
      <c r="C165" s="8" t="str">
        <f aca="false">IF(A165="","",SUMIFS(InventoryMovements!$E$5:$E$504,InventoryMovements!$C$5:$C$504,A165))</f>
        <v/>
      </c>
      <c r="D165" s="17" t="str">
        <f aca="false">IF(A165="","",Products!J165)</f>
        <v/>
      </c>
      <c r="E165" s="18" t="str">
        <f aca="false">IF(A165="","",IF(C165&lt;=D165,"REORDER","OK"))</f>
        <v/>
      </c>
    </row>
    <row r="166" customFormat="false" ht="15" hidden="false" customHeight="false" outlineLevel="0" collapsed="false">
      <c r="A166" s="16" t="str">
        <f aca="false">IF(Products!A166="","",Products!A166)</f>
        <v/>
      </c>
      <c r="B166" s="16" t="str">
        <f aca="false">IF(Products!A166="","",Products!C166)</f>
        <v/>
      </c>
      <c r="C166" s="8" t="str">
        <f aca="false">IF(A166="","",SUMIFS(InventoryMovements!$E$5:$E$504,InventoryMovements!$C$5:$C$504,A166))</f>
        <v/>
      </c>
      <c r="D166" s="17" t="str">
        <f aca="false">IF(A166="","",Products!J166)</f>
        <v/>
      </c>
      <c r="E166" s="18" t="str">
        <f aca="false">IF(A166="","",IF(C166&lt;=D166,"REORDER","OK"))</f>
        <v/>
      </c>
    </row>
    <row r="167" customFormat="false" ht="15" hidden="false" customHeight="false" outlineLevel="0" collapsed="false">
      <c r="A167" s="16" t="str">
        <f aca="false">IF(Products!A167="","",Products!A167)</f>
        <v/>
      </c>
      <c r="B167" s="16" t="str">
        <f aca="false">IF(Products!A167="","",Products!C167)</f>
        <v/>
      </c>
      <c r="C167" s="8" t="str">
        <f aca="false">IF(A167="","",SUMIFS(InventoryMovements!$E$5:$E$504,InventoryMovements!$C$5:$C$504,A167))</f>
        <v/>
      </c>
      <c r="D167" s="17" t="str">
        <f aca="false">IF(A167="","",Products!J167)</f>
        <v/>
      </c>
      <c r="E167" s="18" t="str">
        <f aca="false">IF(A167="","",IF(C167&lt;=D167,"REORDER","OK"))</f>
        <v/>
      </c>
    </row>
    <row r="168" customFormat="false" ht="15" hidden="false" customHeight="false" outlineLevel="0" collapsed="false">
      <c r="A168" s="16" t="str">
        <f aca="false">IF(Products!A168="","",Products!A168)</f>
        <v/>
      </c>
      <c r="B168" s="16" t="str">
        <f aca="false">IF(Products!A168="","",Products!C168)</f>
        <v/>
      </c>
      <c r="C168" s="8" t="str">
        <f aca="false">IF(A168="","",SUMIFS(InventoryMovements!$E$5:$E$504,InventoryMovements!$C$5:$C$504,A168))</f>
        <v/>
      </c>
      <c r="D168" s="17" t="str">
        <f aca="false">IF(A168="","",Products!J168)</f>
        <v/>
      </c>
      <c r="E168" s="18" t="str">
        <f aca="false">IF(A168="","",IF(C168&lt;=D168,"REORDER","OK"))</f>
        <v/>
      </c>
    </row>
    <row r="169" customFormat="false" ht="15" hidden="false" customHeight="false" outlineLevel="0" collapsed="false">
      <c r="A169" s="16" t="str">
        <f aca="false">IF(Products!A169="","",Products!A169)</f>
        <v/>
      </c>
      <c r="B169" s="16" t="str">
        <f aca="false">IF(Products!A169="","",Products!C169)</f>
        <v/>
      </c>
      <c r="C169" s="8" t="str">
        <f aca="false">IF(A169="","",SUMIFS(InventoryMovements!$E$5:$E$504,InventoryMovements!$C$5:$C$504,A169))</f>
        <v/>
      </c>
      <c r="D169" s="17" t="str">
        <f aca="false">IF(A169="","",Products!J169)</f>
        <v/>
      </c>
      <c r="E169" s="18" t="str">
        <f aca="false">IF(A169="","",IF(C169&lt;=D169,"REORDER","OK"))</f>
        <v/>
      </c>
    </row>
    <row r="170" customFormat="false" ht="15" hidden="false" customHeight="false" outlineLevel="0" collapsed="false">
      <c r="A170" s="16" t="str">
        <f aca="false">IF(Products!A170="","",Products!A170)</f>
        <v/>
      </c>
      <c r="B170" s="16" t="str">
        <f aca="false">IF(Products!A170="","",Products!C170)</f>
        <v/>
      </c>
      <c r="C170" s="8" t="str">
        <f aca="false">IF(A170="","",SUMIFS(InventoryMovements!$E$5:$E$504,InventoryMovements!$C$5:$C$504,A170))</f>
        <v/>
      </c>
      <c r="D170" s="17" t="str">
        <f aca="false">IF(A170="","",Products!J170)</f>
        <v/>
      </c>
      <c r="E170" s="18" t="str">
        <f aca="false">IF(A170="","",IF(C170&lt;=D170,"REORDER","OK"))</f>
        <v/>
      </c>
    </row>
    <row r="171" customFormat="false" ht="15" hidden="false" customHeight="false" outlineLevel="0" collapsed="false">
      <c r="A171" s="16" t="str">
        <f aca="false">IF(Products!A171="","",Products!A171)</f>
        <v/>
      </c>
      <c r="B171" s="16" t="str">
        <f aca="false">IF(Products!A171="","",Products!C171)</f>
        <v/>
      </c>
      <c r="C171" s="8" t="str">
        <f aca="false">IF(A171="","",SUMIFS(InventoryMovements!$E$5:$E$504,InventoryMovements!$C$5:$C$504,A171))</f>
        <v/>
      </c>
      <c r="D171" s="17" t="str">
        <f aca="false">IF(A171="","",Products!J171)</f>
        <v/>
      </c>
      <c r="E171" s="18" t="str">
        <f aca="false">IF(A171="","",IF(C171&lt;=D171,"REORDER","OK"))</f>
        <v/>
      </c>
    </row>
    <row r="172" customFormat="false" ht="15" hidden="false" customHeight="false" outlineLevel="0" collapsed="false">
      <c r="A172" s="16" t="str">
        <f aca="false">IF(Products!A172="","",Products!A172)</f>
        <v/>
      </c>
      <c r="B172" s="16" t="str">
        <f aca="false">IF(Products!A172="","",Products!C172)</f>
        <v/>
      </c>
      <c r="C172" s="8" t="str">
        <f aca="false">IF(A172="","",SUMIFS(InventoryMovements!$E$5:$E$504,InventoryMovements!$C$5:$C$504,A172))</f>
        <v/>
      </c>
      <c r="D172" s="17" t="str">
        <f aca="false">IF(A172="","",Products!J172)</f>
        <v/>
      </c>
      <c r="E172" s="18" t="str">
        <f aca="false">IF(A172="","",IF(C172&lt;=D172,"REORDER","OK"))</f>
        <v/>
      </c>
    </row>
    <row r="173" customFormat="false" ht="15" hidden="false" customHeight="false" outlineLevel="0" collapsed="false">
      <c r="A173" s="16" t="str">
        <f aca="false">IF(Products!A173="","",Products!A173)</f>
        <v/>
      </c>
      <c r="B173" s="16" t="str">
        <f aca="false">IF(Products!A173="","",Products!C173)</f>
        <v/>
      </c>
      <c r="C173" s="8" t="str">
        <f aca="false">IF(A173="","",SUMIFS(InventoryMovements!$E$5:$E$504,InventoryMovements!$C$5:$C$504,A173))</f>
        <v/>
      </c>
      <c r="D173" s="17" t="str">
        <f aca="false">IF(A173="","",Products!J173)</f>
        <v/>
      </c>
      <c r="E173" s="18" t="str">
        <f aca="false">IF(A173="","",IF(C173&lt;=D173,"REORDER","OK"))</f>
        <v/>
      </c>
    </row>
    <row r="174" customFormat="false" ht="15" hidden="false" customHeight="false" outlineLevel="0" collapsed="false">
      <c r="A174" s="16" t="str">
        <f aca="false">IF(Products!A174="","",Products!A174)</f>
        <v/>
      </c>
      <c r="B174" s="16" t="str">
        <f aca="false">IF(Products!A174="","",Products!C174)</f>
        <v/>
      </c>
      <c r="C174" s="8" t="str">
        <f aca="false">IF(A174="","",SUMIFS(InventoryMovements!$E$5:$E$504,InventoryMovements!$C$5:$C$504,A174))</f>
        <v/>
      </c>
      <c r="D174" s="17" t="str">
        <f aca="false">IF(A174="","",Products!J174)</f>
        <v/>
      </c>
      <c r="E174" s="18" t="str">
        <f aca="false">IF(A174="","",IF(C174&lt;=D174,"REORDER","OK"))</f>
        <v/>
      </c>
    </row>
    <row r="175" customFormat="false" ht="15" hidden="false" customHeight="false" outlineLevel="0" collapsed="false">
      <c r="A175" s="16" t="str">
        <f aca="false">IF(Products!A175="","",Products!A175)</f>
        <v/>
      </c>
      <c r="B175" s="16" t="str">
        <f aca="false">IF(Products!A175="","",Products!C175)</f>
        <v/>
      </c>
      <c r="C175" s="8" t="str">
        <f aca="false">IF(A175="","",SUMIFS(InventoryMovements!$E$5:$E$504,InventoryMovements!$C$5:$C$504,A175))</f>
        <v/>
      </c>
      <c r="D175" s="17" t="str">
        <f aca="false">IF(A175="","",Products!J175)</f>
        <v/>
      </c>
      <c r="E175" s="18" t="str">
        <f aca="false">IF(A175="","",IF(C175&lt;=D175,"REORDER","OK"))</f>
        <v/>
      </c>
    </row>
    <row r="176" customFormat="false" ht="15" hidden="false" customHeight="false" outlineLevel="0" collapsed="false">
      <c r="A176" s="16" t="str">
        <f aca="false">IF(Products!A176="","",Products!A176)</f>
        <v/>
      </c>
      <c r="B176" s="16" t="str">
        <f aca="false">IF(Products!A176="","",Products!C176)</f>
        <v/>
      </c>
      <c r="C176" s="8" t="str">
        <f aca="false">IF(A176="","",SUMIFS(InventoryMovements!$E$5:$E$504,InventoryMovements!$C$5:$C$504,A176))</f>
        <v/>
      </c>
      <c r="D176" s="17" t="str">
        <f aca="false">IF(A176="","",Products!J176)</f>
        <v/>
      </c>
      <c r="E176" s="18" t="str">
        <f aca="false">IF(A176="","",IF(C176&lt;=D176,"REORDER","OK"))</f>
        <v/>
      </c>
    </row>
    <row r="177" customFormat="false" ht="15" hidden="false" customHeight="false" outlineLevel="0" collapsed="false">
      <c r="A177" s="16" t="str">
        <f aca="false">IF(Products!A177="","",Products!A177)</f>
        <v/>
      </c>
      <c r="B177" s="16" t="str">
        <f aca="false">IF(Products!A177="","",Products!C177)</f>
        <v/>
      </c>
      <c r="C177" s="8" t="str">
        <f aca="false">IF(A177="","",SUMIFS(InventoryMovements!$E$5:$E$504,InventoryMovements!$C$5:$C$504,A177))</f>
        <v/>
      </c>
      <c r="D177" s="17" t="str">
        <f aca="false">IF(A177="","",Products!J177)</f>
        <v/>
      </c>
      <c r="E177" s="18" t="str">
        <f aca="false">IF(A177="","",IF(C177&lt;=D177,"REORDER","OK"))</f>
        <v/>
      </c>
    </row>
    <row r="178" customFormat="false" ht="15" hidden="false" customHeight="false" outlineLevel="0" collapsed="false">
      <c r="A178" s="16" t="str">
        <f aca="false">IF(Products!A178="","",Products!A178)</f>
        <v/>
      </c>
      <c r="B178" s="16" t="str">
        <f aca="false">IF(Products!A178="","",Products!C178)</f>
        <v/>
      </c>
      <c r="C178" s="8" t="str">
        <f aca="false">IF(A178="","",SUMIFS(InventoryMovements!$E$5:$E$504,InventoryMovements!$C$5:$C$504,A178))</f>
        <v/>
      </c>
      <c r="D178" s="17" t="str">
        <f aca="false">IF(A178="","",Products!J178)</f>
        <v/>
      </c>
      <c r="E178" s="18" t="str">
        <f aca="false">IF(A178="","",IF(C178&lt;=D178,"REORDER","OK"))</f>
        <v/>
      </c>
    </row>
    <row r="179" customFormat="false" ht="15" hidden="false" customHeight="false" outlineLevel="0" collapsed="false">
      <c r="A179" s="16" t="str">
        <f aca="false">IF(Products!A179="","",Products!A179)</f>
        <v/>
      </c>
      <c r="B179" s="16" t="str">
        <f aca="false">IF(Products!A179="","",Products!C179)</f>
        <v/>
      </c>
      <c r="C179" s="8" t="str">
        <f aca="false">IF(A179="","",SUMIFS(InventoryMovements!$E$5:$E$504,InventoryMovements!$C$5:$C$504,A179))</f>
        <v/>
      </c>
      <c r="D179" s="17" t="str">
        <f aca="false">IF(A179="","",Products!J179)</f>
        <v/>
      </c>
      <c r="E179" s="18" t="str">
        <f aca="false">IF(A179="","",IF(C179&lt;=D179,"REORDER","OK"))</f>
        <v/>
      </c>
    </row>
    <row r="180" customFormat="false" ht="15" hidden="false" customHeight="false" outlineLevel="0" collapsed="false">
      <c r="A180" s="16" t="str">
        <f aca="false">IF(Products!A180="","",Products!A180)</f>
        <v/>
      </c>
      <c r="B180" s="16" t="str">
        <f aca="false">IF(Products!A180="","",Products!C180)</f>
        <v/>
      </c>
      <c r="C180" s="8" t="str">
        <f aca="false">IF(A180="","",SUMIFS(InventoryMovements!$E$5:$E$504,InventoryMovements!$C$5:$C$504,A180))</f>
        <v/>
      </c>
      <c r="D180" s="17" t="str">
        <f aca="false">IF(A180="","",Products!J180)</f>
        <v/>
      </c>
      <c r="E180" s="18" t="str">
        <f aca="false">IF(A180="","",IF(C180&lt;=D180,"REORDER","OK"))</f>
        <v/>
      </c>
    </row>
    <row r="181" customFormat="false" ht="15" hidden="false" customHeight="false" outlineLevel="0" collapsed="false">
      <c r="A181" s="16" t="str">
        <f aca="false">IF(Products!A181="","",Products!A181)</f>
        <v/>
      </c>
      <c r="B181" s="16" t="str">
        <f aca="false">IF(Products!A181="","",Products!C181)</f>
        <v/>
      </c>
      <c r="C181" s="8" t="str">
        <f aca="false">IF(A181="","",SUMIFS(InventoryMovements!$E$5:$E$504,InventoryMovements!$C$5:$C$504,A181))</f>
        <v/>
      </c>
      <c r="D181" s="17" t="str">
        <f aca="false">IF(A181="","",Products!J181)</f>
        <v/>
      </c>
      <c r="E181" s="18" t="str">
        <f aca="false">IF(A181="","",IF(C181&lt;=D181,"REORDER","OK"))</f>
        <v/>
      </c>
    </row>
    <row r="182" customFormat="false" ht="15" hidden="false" customHeight="false" outlineLevel="0" collapsed="false">
      <c r="A182" s="16" t="str">
        <f aca="false">IF(Products!A182="","",Products!A182)</f>
        <v/>
      </c>
      <c r="B182" s="16" t="str">
        <f aca="false">IF(Products!A182="","",Products!C182)</f>
        <v/>
      </c>
      <c r="C182" s="8" t="str">
        <f aca="false">IF(A182="","",SUMIFS(InventoryMovements!$E$5:$E$504,InventoryMovements!$C$5:$C$504,A182))</f>
        <v/>
      </c>
      <c r="D182" s="17" t="str">
        <f aca="false">IF(A182="","",Products!J182)</f>
        <v/>
      </c>
      <c r="E182" s="18" t="str">
        <f aca="false">IF(A182="","",IF(C182&lt;=D182,"REORDER","OK"))</f>
        <v/>
      </c>
    </row>
    <row r="183" customFormat="false" ht="15" hidden="false" customHeight="false" outlineLevel="0" collapsed="false">
      <c r="A183" s="16" t="str">
        <f aca="false">IF(Products!A183="","",Products!A183)</f>
        <v/>
      </c>
      <c r="B183" s="16" t="str">
        <f aca="false">IF(Products!A183="","",Products!C183)</f>
        <v/>
      </c>
      <c r="C183" s="8" t="str">
        <f aca="false">IF(A183="","",SUMIFS(InventoryMovements!$E$5:$E$504,InventoryMovements!$C$5:$C$504,A183))</f>
        <v/>
      </c>
      <c r="D183" s="17" t="str">
        <f aca="false">IF(A183="","",Products!J183)</f>
        <v/>
      </c>
      <c r="E183" s="18" t="str">
        <f aca="false">IF(A183="","",IF(C183&lt;=D183,"REORDER","OK"))</f>
        <v/>
      </c>
    </row>
    <row r="184" customFormat="false" ht="15" hidden="false" customHeight="false" outlineLevel="0" collapsed="false">
      <c r="A184" s="16" t="str">
        <f aca="false">IF(Products!A184="","",Products!A184)</f>
        <v/>
      </c>
      <c r="B184" s="16" t="str">
        <f aca="false">IF(Products!A184="","",Products!C184)</f>
        <v/>
      </c>
      <c r="C184" s="8" t="str">
        <f aca="false">IF(A184="","",SUMIFS(InventoryMovements!$E$5:$E$504,InventoryMovements!$C$5:$C$504,A184))</f>
        <v/>
      </c>
      <c r="D184" s="17" t="str">
        <f aca="false">IF(A184="","",Products!J184)</f>
        <v/>
      </c>
      <c r="E184" s="18" t="str">
        <f aca="false">IF(A184="","",IF(C184&lt;=D184,"REORDER","OK"))</f>
        <v/>
      </c>
    </row>
    <row r="185" customFormat="false" ht="15" hidden="false" customHeight="false" outlineLevel="0" collapsed="false">
      <c r="A185" s="16" t="str">
        <f aca="false">IF(Products!A185="","",Products!A185)</f>
        <v/>
      </c>
      <c r="B185" s="16" t="str">
        <f aca="false">IF(Products!A185="","",Products!C185)</f>
        <v/>
      </c>
      <c r="C185" s="8" t="str">
        <f aca="false">IF(A185="","",SUMIFS(InventoryMovements!$E$5:$E$504,InventoryMovements!$C$5:$C$504,A185))</f>
        <v/>
      </c>
      <c r="D185" s="17" t="str">
        <f aca="false">IF(A185="","",Products!J185)</f>
        <v/>
      </c>
      <c r="E185" s="18" t="str">
        <f aca="false">IF(A185="","",IF(C185&lt;=D185,"REORDER","OK"))</f>
        <v/>
      </c>
    </row>
    <row r="186" customFormat="false" ht="15" hidden="false" customHeight="false" outlineLevel="0" collapsed="false">
      <c r="A186" s="16" t="str">
        <f aca="false">IF(Products!A186="","",Products!A186)</f>
        <v/>
      </c>
      <c r="B186" s="16" t="str">
        <f aca="false">IF(Products!A186="","",Products!C186)</f>
        <v/>
      </c>
      <c r="C186" s="8" t="str">
        <f aca="false">IF(A186="","",SUMIFS(InventoryMovements!$E$5:$E$504,InventoryMovements!$C$5:$C$504,A186))</f>
        <v/>
      </c>
      <c r="D186" s="17" t="str">
        <f aca="false">IF(A186="","",Products!J186)</f>
        <v/>
      </c>
      <c r="E186" s="18" t="str">
        <f aca="false">IF(A186="","",IF(C186&lt;=D186,"REORDER","OK"))</f>
        <v/>
      </c>
    </row>
    <row r="187" customFormat="false" ht="15" hidden="false" customHeight="false" outlineLevel="0" collapsed="false">
      <c r="A187" s="16" t="str">
        <f aca="false">IF(Products!A187="","",Products!A187)</f>
        <v/>
      </c>
      <c r="B187" s="16" t="str">
        <f aca="false">IF(Products!A187="","",Products!C187)</f>
        <v/>
      </c>
      <c r="C187" s="8" t="str">
        <f aca="false">IF(A187="","",SUMIFS(InventoryMovements!$E$5:$E$504,InventoryMovements!$C$5:$C$504,A187))</f>
        <v/>
      </c>
      <c r="D187" s="17" t="str">
        <f aca="false">IF(A187="","",Products!J187)</f>
        <v/>
      </c>
      <c r="E187" s="18" t="str">
        <f aca="false">IF(A187="","",IF(C187&lt;=D187,"REORDER","OK"))</f>
        <v/>
      </c>
    </row>
    <row r="188" customFormat="false" ht="15" hidden="false" customHeight="false" outlineLevel="0" collapsed="false">
      <c r="A188" s="16" t="str">
        <f aca="false">IF(Products!A188="","",Products!A188)</f>
        <v/>
      </c>
      <c r="B188" s="16" t="str">
        <f aca="false">IF(Products!A188="","",Products!C188)</f>
        <v/>
      </c>
      <c r="C188" s="8" t="str">
        <f aca="false">IF(A188="","",SUMIFS(InventoryMovements!$E$5:$E$504,InventoryMovements!$C$5:$C$504,A188))</f>
        <v/>
      </c>
      <c r="D188" s="17" t="str">
        <f aca="false">IF(A188="","",Products!J188)</f>
        <v/>
      </c>
      <c r="E188" s="18" t="str">
        <f aca="false">IF(A188="","",IF(C188&lt;=D188,"REORDER","OK"))</f>
        <v/>
      </c>
    </row>
    <row r="189" customFormat="false" ht="15" hidden="false" customHeight="false" outlineLevel="0" collapsed="false">
      <c r="A189" s="16" t="str">
        <f aca="false">IF(Products!A189="","",Products!A189)</f>
        <v/>
      </c>
      <c r="B189" s="16" t="str">
        <f aca="false">IF(Products!A189="","",Products!C189)</f>
        <v/>
      </c>
      <c r="C189" s="8" t="str">
        <f aca="false">IF(A189="","",SUMIFS(InventoryMovements!$E$5:$E$504,InventoryMovements!$C$5:$C$504,A189))</f>
        <v/>
      </c>
      <c r="D189" s="17" t="str">
        <f aca="false">IF(A189="","",Products!J189)</f>
        <v/>
      </c>
      <c r="E189" s="18" t="str">
        <f aca="false">IF(A189="","",IF(C189&lt;=D189,"REORDER","OK"))</f>
        <v/>
      </c>
    </row>
    <row r="190" customFormat="false" ht="15" hidden="false" customHeight="false" outlineLevel="0" collapsed="false">
      <c r="A190" s="16" t="str">
        <f aca="false">IF(Products!A190="","",Products!A190)</f>
        <v/>
      </c>
      <c r="B190" s="16" t="str">
        <f aca="false">IF(Products!A190="","",Products!C190)</f>
        <v/>
      </c>
      <c r="C190" s="8" t="str">
        <f aca="false">IF(A190="","",SUMIFS(InventoryMovements!$E$5:$E$504,InventoryMovements!$C$5:$C$504,A190))</f>
        <v/>
      </c>
      <c r="D190" s="17" t="str">
        <f aca="false">IF(A190="","",Products!J190)</f>
        <v/>
      </c>
      <c r="E190" s="18" t="str">
        <f aca="false">IF(A190="","",IF(C190&lt;=D190,"REORDER","OK"))</f>
        <v/>
      </c>
    </row>
    <row r="191" customFormat="false" ht="15" hidden="false" customHeight="false" outlineLevel="0" collapsed="false">
      <c r="A191" s="16" t="str">
        <f aca="false">IF(Products!A191="","",Products!A191)</f>
        <v/>
      </c>
      <c r="B191" s="16" t="str">
        <f aca="false">IF(Products!A191="","",Products!C191)</f>
        <v/>
      </c>
      <c r="C191" s="8" t="str">
        <f aca="false">IF(A191="","",SUMIFS(InventoryMovements!$E$5:$E$504,InventoryMovements!$C$5:$C$504,A191))</f>
        <v/>
      </c>
      <c r="D191" s="17" t="str">
        <f aca="false">IF(A191="","",Products!J191)</f>
        <v/>
      </c>
      <c r="E191" s="18" t="str">
        <f aca="false">IF(A191="","",IF(C191&lt;=D191,"REORDER","OK"))</f>
        <v/>
      </c>
    </row>
    <row r="192" customFormat="false" ht="15" hidden="false" customHeight="false" outlineLevel="0" collapsed="false">
      <c r="A192" s="16" t="str">
        <f aca="false">IF(Products!A192="","",Products!A192)</f>
        <v/>
      </c>
      <c r="B192" s="16" t="str">
        <f aca="false">IF(Products!A192="","",Products!C192)</f>
        <v/>
      </c>
      <c r="C192" s="8" t="str">
        <f aca="false">IF(A192="","",SUMIFS(InventoryMovements!$E$5:$E$504,InventoryMovements!$C$5:$C$504,A192))</f>
        <v/>
      </c>
      <c r="D192" s="17" t="str">
        <f aca="false">IF(A192="","",Products!J192)</f>
        <v/>
      </c>
      <c r="E192" s="18" t="str">
        <f aca="false">IF(A192="","",IF(C192&lt;=D192,"REORDER","OK"))</f>
        <v/>
      </c>
    </row>
    <row r="193" customFormat="false" ht="15" hidden="false" customHeight="false" outlineLevel="0" collapsed="false">
      <c r="A193" s="16" t="str">
        <f aca="false">IF(Products!A193="","",Products!A193)</f>
        <v/>
      </c>
      <c r="B193" s="16" t="str">
        <f aca="false">IF(Products!A193="","",Products!C193)</f>
        <v/>
      </c>
      <c r="C193" s="8" t="str">
        <f aca="false">IF(A193="","",SUMIFS(InventoryMovements!$E$5:$E$504,InventoryMovements!$C$5:$C$504,A193))</f>
        <v/>
      </c>
      <c r="D193" s="17" t="str">
        <f aca="false">IF(A193="","",Products!J193)</f>
        <v/>
      </c>
      <c r="E193" s="18" t="str">
        <f aca="false">IF(A193="","",IF(C193&lt;=D193,"REORDER","OK"))</f>
        <v/>
      </c>
    </row>
    <row r="194" customFormat="false" ht="15" hidden="false" customHeight="false" outlineLevel="0" collapsed="false">
      <c r="A194" s="16" t="str">
        <f aca="false">IF(Products!A194="","",Products!A194)</f>
        <v/>
      </c>
      <c r="B194" s="16" t="str">
        <f aca="false">IF(Products!A194="","",Products!C194)</f>
        <v/>
      </c>
      <c r="C194" s="8" t="str">
        <f aca="false">IF(A194="","",SUMIFS(InventoryMovements!$E$5:$E$504,InventoryMovements!$C$5:$C$504,A194))</f>
        <v/>
      </c>
      <c r="D194" s="17" t="str">
        <f aca="false">IF(A194="","",Products!J194)</f>
        <v/>
      </c>
      <c r="E194" s="18" t="str">
        <f aca="false">IF(A194="","",IF(C194&lt;=D194,"REORDER","OK"))</f>
        <v/>
      </c>
    </row>
    <row r="195" customFormat="false" ht="15" hidden="false" customHeight="false" outlineLevel="0" collapsed="false">
      <c r="A195" s="16" t="str">
        <f aca="false">IF(Products!A195="","",Products!A195)</f>
        <v/>
      </c>
      <c r="B195" s="16" t="str">
        <f aca="false">IF(Products!A195="","",Products!C195)</f>
        <v/>
      </c>
      <c r="C195" s="8" t="str">
        <f aca="false">IF(A195="","",SUMIFS(InventoryMovements!$E$5:$E$504,InventoryMovements!$C$5:$C$504,A195))</f>
        <v/>
      </c>
      <c r="D195" s="17" t="str">
        <f aca="false">IF(A195="","",Products!J195)</f>
        <v/>
      </c>
      <c r="E195" s="18" t="str">
        <f aca="false">IF(A195="","",IF(C195&lt;=D195,"REORDER","OK"))</f>
        <v/>
      </c>
    </row>
    <row r="196" customFormat="false" ht="15" hidden="false" customHeight="false" outlineLevel="0" collapsed="false">
      <c r="A196" s="16" t="str">
        <f aca="false">IF(Products!A196="","",Products!A196)</f>
        <v/>
      </c>
      <c r="B196" s="16" t="str">
        <f aca="false">IF(Products!A196="","",Products!C196)</f>
        <v/>
      </c>
      <c r="C196" s="8" t="str">
        <f aca="false">IF(A196="","",SUMIFS(InventoryMovements!$E$5:$E$504,InventoryMovements!$C$5:$C$504,A196))</f>
        <v/>
      </c>
      <c r="D196" s="17" t="str">
        <f aca="false">IF(A196="","",Products!J196)</f>
        <v/>
      </c>
      <c r="E196" s="18" t="str">
        <f aca="false">IF(A196="","",IF(C196&lt;=D196,"REORDER","OK"))</f>
        <v/>
      </c>
    </row>
    <row r="197" customFormat="false" ht="15" hidden="false" customHeight="false" outlineLevel="0" collapsed="false">
      <c r="A197" s="16" t="str">
        <f aca="false">IF(Products!A197="","",Products!A197)</f>
        <v/>
      </c>
      <c r="B197" s="16" t="str">
        <f aca="false">IF(Products!A197="","",Products!C197)</f>
        <v/>
      </c>
      <c r="C197" s="8" t="str">
        <f aca="false">IF(A197="","",SUMIFS(InventoryMovements!$E$5:$E$504,InventoryMovements!$C$5:$C$504,A197))</f>
        <v/>
      </c>
      <c r="D197" s="17" t="str">
        <f aca="false">IF(A197="","",Products!J197)</f>
        <v/>
      </c>
      <c r="E197" s="18" t="str">
        <f aca="false">IF(A197="","",IF(C197&lt;=D197,"REORDER","OK"))</f>
        <v/>
      </c>
    </row>
    <row r="198" customFormat="false" ht="15" hidden="false" customHeight="false" outlineLevel="0" collapsed="false">
      <c r="A198" s="16" t="str">
        <f aca="false">IF(Products!A198="","",Products!A198)</f>
        <v/>
      </c>
      <c r="B198" s="16" t="str">
        <f aca="false">IF(Products!A198="","",Products!C198)</f>
        <v/>
      </c>
      <c r="C198" s="8" t="str">
        <f aca="false">IF(A198="","",SUMIFS(InventoryMovements!$E$5:$E$504,InventoryMovements!$C$5:$C$504,A198))</f>
        <v/>
      </c>
      <c r="D198" s="17" t="str">
        <f aca="false">IF(A198="","",Products!J198)</f>
        <v/>
      </c>
      <c r="E198" s="18" t="str">
        <f aca="false">IF(A198="","",IF(C198&lt;=D198,"REORDER","OK"))</f>
        <v/>
      </c>
    </row>
    <row r="199" customFormat="false" ht="15" hidden="false" customHeight="false" outlineLevel="0" collapsed="false">
      <c r="A199" s="16" t="str">
        <f aca="false">IF(Products!A199="","",Products!A199)</f>
        <v/>
      </c>
      <c r="B199" s="16" t="str">
        <f aca="false">IF(Products!A199="","",Products!C199)</f>
        <v/>
      </c>
      <c r="C199" s="8" t="str">
        <f aca="false">IF(A199="","",SUMIFS(InventoryMovements!$E$5:$E$504,InventoryMovements!$C$5:$C$504,A199))</f>
        <v/>
      </c>
      <c r="D199" s="17" t="str">
        <f aca="false">IF(A199="","",Products!J199)</f>
        <v/>
      </c>
      <c r="E199" s="18" t="str">
        <f aca="false">IF(A199="","",IF(C199&lt;=D199,"REORDER","OK"))</f>
        <v/>
      </c>
    </row>
    <row r="200" customFormat="false" ht="15" hidden="false" customHeight="false" outlineLevel="0" collapsed="false">
      <c r="A200" s="16" t="str">
        <f aca="false">IF(Products!A200="","",Products!A200)</f>
        <v/>
      </c>
      <c r="B200" s="16" t="str">
        <f aca="false">IF(Products!A200="","",Products!C200)</f>
        <v/>
      </c>
      <c r="C200" s="8" t="str">
        <f aca="false">IF(A200="","",SUMIFS(InventoryMovements!$E$5:$E$504,InventoryMovements!$C$5:$C$504,A200))</f>
        <v/>
      </c>
      <c r="D200" s="17" t="str">
        <f aca="false">IF(A200="","",Products!J200)</f>
        <v/>
      </c>
      <c r="E200" s="18" t="str">
        <f aca="false">IF(A200="","",IF(C200&lt;=D200,"REORDER","OK"))</f>
        <v/>
      </c>
    </row>
    <row r="201" customFormat="false" ht="15" hidden="false" customHeight="false" outlineLevel="0" collapsed="false">
      <c r="A201" s="16" t="str">
        <f aca="false">IF(Products!A201="","",Products!A201)</f>
        <v/>
      </c>
      <c r="B201" s="16" t="str">
        <f aca="false">IF(Products!A201="","",Products!C201)</f>
        <v/>
      </c>
      <c r="C201" s="8" t="str">
        <f aca="false">IF(A201="","",SUMIFS(InventoryMovements!$E$5:$E$504,InventoryMovements!$C$5:$C$504,A201))</f>
        <v/>
      </c>
      <c r="D201" s="17" t="str">
        <f aca="false">IF(A201="","",Products!J201)</f>
        <v/>
      </c>
      <c r="E201" s="18" t="str">
        <f aca="false">IF(A201="","",IF(C201&lt;=D201,"REORDER","OK"))</f>
        <v/>
      </c>
    </row>
    <row r="202" customFormat="false" ht="15" hidden="false" customHeight="false" outlineLevel="0" collapsed="false">
      <c r="A202" s="16" t="str">
        <f aca="false">IF(Products!A202="","",Products!A202)</f>
        <v/>
      </c>
      <c r="B202" s="16" t="str">
        <f aca="false">IF(Products!A202="","",Products!C202)</f>
        <v/>
      </c>
      <c r="C202" s="8" t="str">
        <f aca="false">IF(A202="","",SUMIFS(InventoryMovements!$E$5:$E$504,InventoryMovements!$C$5:$C$504,A202))</f>
        <v/>
      </c>
      <c r="D202" s="17" t="str">
        <f aca="false">IF(A202="","",Products!J202)</f>
        <v/>
      </c>
      <c r="E202" s="18" t="str">
        <f aca="false">IF(A202="","",IF(C202&lt;=D202,"REORDER","OK"))</f>
        <v/>
      </c>
    </row>
    <row r="203" customFormat="false" ht="15" hidden="false" customHeight="false" outlineLevel="0" collapsed="false">
      <c r="A203" s="16" t="str">
        <f aca="false">IF(Products!A203="","",Products!A203)</f>
        <v/>
      </c>
      <c r="B203" s="16" t="str">
        <f aca="false">IF(Products!A203="","",Products!C203)</f>
        <v/>
      </c>
      <c r="C203" s="8" t="str">
        <f aca="false">IF(A203="","",SUMIFS(InventoryMovements!$E$5:$E$504,InventoryMovements!$C$5:$C$504,A203))</f>
        <v/>
      </c>
      <c r="D203" s="17" t="str">
        <f aca="false">IF(A203="","",Products!J203)</f>
        <v/>
      </c>
      <c r="E203" s="18" t="str">
        <f aca="false">IF(A203="","",IF(C203&lt;=D203,"REORDER","OK"))</f>
        <v/>
      </c>
    </row>
    <row r="204" customFormat="false" ht="15" hidden="false" customHeight="false" outlineLevel="0" collapsed="false">
      <c r="A204" s="16" t="str">
        <f aca="false">IF(Products!A204="","",Products!A204)</f>
        <v/>
      </c>
      <c r="B204" s="16" t="str">
        <f aca="false">IF(Products!A204="","",Products!C204)</f>
        <v/>
      </c>
      <c r="C204" s="8" t="str">
        <f aca="false">IF(A204="","",SUMIFS(InventoryMovements!$E$5:$E$504,InventoryMovements!$C$5:$C$504,A204))</f>
        <v/>
      </c>
      <c r="D204" s="17" t="str">
        <f aca="false">IF(A204="","",Products!J204)</f>
        <v/>
      </c>
      <c r="E204" s="18" t="str">
        <f aca="false">IF(A204="","",IF(C204&lt;=D204,"REORDER","OK"))</f>
        <v/>
      </c>
    </row>
    <row r="205" customFormat="false" ht="15" hidden="false" customHeight="false" outlineLevel="0" collapsed="false">
      <c r="A205" s="16" t="str">
        <f aca="false">IF(Products!A205="","",Products!A205)</f>
        <v/>
      </c>
      <c r="B205" s="16" t="str">
        <f aca="false">IF(Products!A205="","",Products!C205)</f>
        <v/>
      </c>
      <c r="C205" s="8" t="str">
        <f aca="false">IF(A205="","",SUMIFS(InventoryMovements!$E$5:$E$504,InventoryMovements!$C$5:$C$504,A205))</f>
        <v/>
      </c>
      <c r="D205" s="17" t="str">
        <f aca="false">IF(A205="","",Products!J205)</f>
        <v/>
      </c>
      <c r="E205" s="18" t="str">
        <f aca="false">IF(A205="","",IF(C205&lt;=D205,"REORDER","OK"))</f>
        <v/>
      </c>
    </row>
    <row r="206" customFormat="false" ht="15" hidden="false" customHeight="false" outlineLevel="0" collapsed="false">
      <c r="A206" s="16" t="str">
        <f aca="false">IF(Products!A206="","",Products!A206)</f>
        <v/>
      </c>
      <c r="B206" s="16" t="str">
        <f aca="false">IF(Products!A206="","",Products!C206)</f>
        <v/>
      </c>
      <c r="C206" s="8" t="str">
        <f aca="false">IF(A206="","",SUMIFS(InventoryMovements!$E$5:$E$504,InventoryMovements!$C$5:$C$504,A206))</f>
        <v/>
      </c>
      <c r="D206" s="17" t="str">
        <f aca="false">IF(A206="","",Products!J206)</f>
        <v/>
      </c>
      <c r="E206" s="18" t="str">
        <f aca="false">IF(A206="","",IF(C206&lt;=D206,"REORDER","OK"))</f>
        <v/>
      </c>
    </row>
    <row r="207" customFormat="false" ht="15" hidden="false" customHeight="false" outlineLevel="0" collapsed="false">
      <c r="A207" s="16" t="str">
        <f aca="false">IF(Products!A207="","",Products!A207)</f>
        <v/>
      </c>
      <c r="B207" s="16" t="str">
        <f aca="false">IF(Products!A207="","",Products!C207)</f>
        <v/>
      </c>
      <c r="C207" s="8" t="str">
        <f aca="false">IF(A207="","",SUMIFS(InventoryMovements!$E$5:$E$504,InventoryMovements!$C$5:$C$504,A207))</f>
        <v/>
      </c>
      <c r="D207" s="17" t="str">
        <f aca="false">IF(A207="","",Products!J207)</f>
        <v/>
      </c>
      <c r="E207" s="18" t="str">
        <f aca="false">IF(A207="","",IF(C207&lt;=D207,"REORDER","OK"))</f>
        <v/>
      </c>
    </row>
    <row r="208" customFormat="false" ht="15" hidden="false" customHeight="false" outlineLevel="0" collapsed="false">
      <c r="A208" s="16" t="str">
        <f aca="false">IF(Products!A208="","",Products!A208)</f>
        <v/>
      </c>
      <c r="B208" s="16" t="str">
        <f aca="false">IF(Products!A208="","",Products!C208)</f>
        <v/>
      </c>
      <c r="C208" s="8" t="str">
        <f aca="false">IF(A208="","",SUMIFS(InventoryMovements!$E$5:$E$504,InventoryMovements!$C$5:$C$504,A208))</f>
        <v/>
      </c>
      <c r="D208" s="17" t="str">
        <f aca="false">IF(A208="","",Products!J208)</f>
        <v/>
      </c>
      <c r="E208" s="18" t="str">
        <f aca="false">IF(A208="","",IF(C208&lt;=D208,"REORDER","OK"))</f>
        <v/>
      </c>
    </row>
    <row r="209" customFormat="false" ht="15" hidden="false" customHeight="false" outlineLevel="0" collapsed="false">
      <c r="A209" s="16" t="str">
        <f aca="false">IF(Products!A209="","",Products!A209)</f>
        <v/>
      </c>
      <c r="B209" s="16" t="str">
        <f aca="false">IF(Products!A209="","",Products!C209)</f>
        <v/>
      </c>
      <c r="C209" s="8" t="str">
        <f aca="false">IF(A209="","",SUMIFS(InventoryMovements!$E$5:$E$504,InventoryMovements!$C$5:$C$504,A209))</f>
        <v/>
      </c>
      <c r="D209" s="17" t="str">
        <f aca="false">IF(A209="","",Products!J209)</f>
        <v/>
      </c>
      <c r="E209" s="18" t="str">
        <f aca="false">IF(A209="","",IF(C209&lt;=D209,"REORDER","OK"))</f>
        <v/>
      </c>
    </row>
    <row r="210" customFormat="false" ht="15" hidden="false" customHeight="false" outlineLevel="0" collapsed="false">
      <c r="A210" s="16" t="str">
        <f aca="false">IF(Products!A210="","",Products!A210)</f>
        <v/>
      </c>
      <c r="B210" s="16" t="str">
        <f aca="false">IF(Products!A210="","",Products!C210)</f>
        <v/>
      </c>
      <c r="C210" s="8" t="str">
        <f aca="false">IF(A210="","",SUMIFS(InventoryMovements!$E$5:$E$504,InventoryMovements!$C$5:$C$504,A210))</f>
        <v/>
      </c>
      <c r="D210" s="17" t="str">
        <f aca="false">IF(A210="","",Products!J210)</f>
        <v/>
      </c>
      <c r="E210" s="18" t="str">
        <f aca="false">IF(A210="","",IF(C210&lt;=D210,"REORDER","OK"))</f>
        <v/>
      </c>
    </row>
    <row r="211" customFormat="false" ht="15" hidden="false" customHeight="false" outlineLevel="0" collapsed="false">
      <c r="A211" s="16" t="str">
        <f aca="false">IF(Products!A211="","",Products!A211)</f>
        <v/>
      </c>
      <c r="B211" s="16" t="str">
        <f aca="false">IF(Products!A211="","",Products!C211)</f>
        <v/>
      </c>
      <c r="C211" s="8" t="str">
        <f aca="false">IF(A211="","",SUMIFS(InventoryMovements!$E$5:$E$504,InventoryMovements!$C$5:$C$504,A211))</f>
        <v/>
      </c>
      <c r="D211" s="17" t="str">
        <f aca="false">IF(A211="","",Products!J211)</f>
        <v/>
      </c>
      <c r="E211" s="18" t="str">
        <f aca="false">IF(A211="","",IF(C211&lt;=D211,"REORDER","OK"))</f>
        <v/>
      </c>
    </row>
    <row r="212" customFormat="false" ht="15" hidden="false" customHeight="false" outlineLevel="0" collapsed="false">
      <c r="A212" s="16" t="str">
        <f aca="false">IF(Products!A212="","",Products!A212)</f>
        <v/>
      </c>
      <c r="B212" s="16" t="str">
        <f aca="false">IF(Products!A212="","",Products!C212)</f>
        <v/>
      </c>
      <c r="C212" s="8" t="str">
        <f aca="false">IF(A212="","",SUMIFS(InventoryMovements!$E$5:$E$504,InventoryMovements!$C$5:$C$504,A212))</f>
        <v/>
      </c>
      <c r="D212" s="17" t="str">
        <f aca="false">IF(A212="","",Products!J212)</f>
        <v/>
      </c>
      <c r="E212" s="18" t="str">
        <f aca="false">IF(A212="","",IF(C212&lt;=D212,"REORDER","OK"))</f>
        <v/>
      </c>
    </row>
    <row r="213" customFormat="false" ht="15" hidden="false" customHeight="false" outlineLevel="0" collapsed="false">
      <c r="A213" s="16" t="str">
        <f aca="false">IF(Products!A213="","",Products!A213)</f>
        <v/>
      </c>
      <c r="B213" s="16" t="str">
        <f aca="false">IF(Products!A213="","",Products!C213)</f>
        <v/>
      </c>
      <c r="C213" s="8" t="str">
        <f aca="false">IF(A213="","",SUMIFS(InventoryMovements!$E$5:$E$504,InventoryMovements!$C$5:$C$504,A213))</f>
        <v/>
      </c>
      <c r="D213" s="17" t="str">
        <f aca="false">IF(A213="","",Products!J213)</f>
        <v/>
      </c>
      <c r="E213" s="18" t="str">
        <f aca="false">IF(A213="","",IF(C213&lt;=D213,"REORDER","OK"))</f>
        <v/>
      </c>
    </row>
    <row r="214" customFormat="false" ht="15" hidden="false" customHeight="false" outlineLevel="0" collapsed="false">
      <c r="A214" s="16" t="str">
        <f aca="false">IF(Products!A214="","",Products!A214)</f>
        <v/>
      </c>
      <c r="B214" s="16" t="str">
        <f aca="false">IF(Products!A214="","",Products!C214)</f>
        <v/>
      </c>
      <c r="C214" s="8" t="str">
        <f aca="false">IF(A214="","",SUMIFS(InventoryMovements!$E$5:$E$504,InventoryMovements!$C$5:$C$504,A214))</f>
        <v/>
      </c>
      <c r="D214" s="17" t="str">
        <f aca="false">IF(A214="","",Products!J214)</f>
        <v/>
      </c>
      <c r="E214" s="18" t="str">
        <f aca="false">IF(A214="","",IF(C214&lt;=D214,"REORDER","OK"))</f>
        <v/>
      </c>
    </row>
    <row r="215" customFormat="false" ht="15" hidden="false" customHeight="false" outlineLevel="0" collapsed="false">
      <c r="A215" s="16" t="str">
        <f aca="false">IF(Products!A215="","",Products!A215)</f>
        <v/>
      </c>
      <c r="B215" s="16" t="str">
        <f aca="false">IF(Products!A215="","",Products!C215)</f>
        <v/>
      </c>
      <c r="C215" s="8" t="str">
        <f aca="false">IF(A215="","",SUMIFS(InventoryMovements!$E$5:$E$504,InventoryMovements!$C$5:$C$504,A215))</f>
        <v/>
      </c>
      <c r="D215" s="17" t="str">
        <f aca="false">IF(A215="","",Products!J215)</f>
        <v/>
      </c>
      <c r="E215" s="18" t="str">
        <f aca="false">IF(A215="","",IF(C215&lt;=D215,"REORDER","OK"))</f>
        <v/>
      </c>
    </row>
    <row r="216" customFormat="false" ht="15" hidden="false" customHeight="false" outlineLevel="0" collapsed="false">
      <c r="A216" s="16" t="str">
        <f aca="false">IF(Products!A216="","",Products!A216)</f>
        <v/>
      </c>
      <c r="B216" s="16" t="str">
        <f aca="false">IF(Products!A216="","",Products!C216)</f>
        <v/>
      </c>
      <c r="C216" s="8" t="str">
        <f aca="false">IF(A216="","",SUMIFS(InventoryMovements!$E$5:$E$504,InventoryMovements!$C$5:$C$504,A216))</f>
        <v/>
      </c>
      <c r="D216" s="17" t="str">
        <f aca="false">IF(A216="","",Products!J216)</f>
        <v/>
      </c>
      <c r="E216" s="18" t="str">
        <f aca="false">IF(A216="","",IF(C216&lt;=D216,"REORDER","OK"))</f>
        <v/>
      </c>
    </row>
    <row r="217" customFormat="false" ht="15" hidden="false" customHeight="false" outlineLevel="0" collapsed="false">
      <c r="A217" s="16" t="str">
        <f aca="false">IF(Products!A217="","",Products!A217)</f>
        <v/>
      </c>
      <c r="B217" s="16" t="str">
        <f aca="false">IF(Products!A217="","",Products!C217)</f>
        <v/>
      </c>
      <c r="C217" s="8" t="str">
        <f aca="false">IF(A217="","",SUMIFS(InventoryMovements!$E$5:$E$504,InventoryMovements!$C$5:$C$504,A217))</f>
        <v/>
      </c>
      <c r="D217" s="17" t="str">
        <f aca="false">IF(A217="","",Products!J217)</f>
        <v/>
      </c>
      <c r="E217" s="18" t="str">
        <f aca="false">IF(A217="","",IF(C217&lt;=D217,"REORDER","OK"))</f>
        <v/>
      </c>
    </row>
    <row r="218" customFormat="false" ht="15" hidden="false" customHeight="false" outlineLevel="0" collapsed="false">
      <c r="A218" s="16" t="str">
        <f aca="false">IF(Products!A218="","",Products!A218)</f>
        <v/>
      </c>
      <c r="B218" s="16" t="str">
        <f aca="false">IF(Products!A218="","",Products!C218)</f>
        <v/>
      </c>
      <c r="C218" s="8" t="str">
        <f aca="false">IF(A218="","",SUMIFS(InventoryMovements!$E$5:$E$504,InventoryMovements!$C$5:$C$504,A218))</f>
        <v/>
      </c>
      <c r="D218" s="17" t="str">
        <f aca="false">IF(A218="","",Products!J218)</f>
        <v/>
      </c>
      <c r="E218" s="18" t="str">
        <f aca="false">IF(A218="","",IF(C218&lt;=D218,"REORDER","OK"))</f>
        <v/>
      </c>
    </row>
    <row r="219" customFormat="false" ht="15" hidden="false" customHeight="false" outlineLevel="0" collapsed="false">
      <c r="A219" s="16" t="str">
        <f aca="false">IF(Products!A219="","",Products!A219)</f>
        <v/>
      </c>
      <c r="B219" s="16" t="str">
        <f aca="false">IF(Products!A219="","",Products!C219)</f>
        <v/>
      </c>
      <c r="C219" s="8" t="str">
        <f aca="false">IF(A219="","",SUMIFS(InventoryMovements!$E$5:$E$504,InventoryMovements!$C$5:$C$504,A219))</f>
        <v/>
      </c>
      <c r="D219" s="17" t="str">
        <f aca="false">IF(A219="","",Products!J219)</f>
        <v/>
      </c>
      <c r="E219" s="18" t="str">
        <f aca="false">IF(A219="","",IF(C219&lt;=D219,"REORDER","OK"))</f>
        <v/>
      </c>
    </row>
    <row r="220" customFormat="false" ht="15" hidden="false" customHeight="false" outlineLevel="0" collapsed="false">
      <c r="A220" s="16" t="str">
        <f aca="false">IF(Products!A220="","",Products!A220)</f>
        <v/>
      </c>
      <c r="B220" s="16" t="str">
        <f aca="false">IF(Products!A220="","",Products!C220)</f>
        <v/>
      </c>
      <c r="C220" s="8" t="str">
        <f aca="false">IF(A220="","",SUMIFS(InventoryMovements!$E$5:$E$504,InventoryMovements!$C$5:$C$504,A220))</f>
        <v/>
      </c>
      <c r="D220" s="17" t="str">
        <f aca="false">IF(A220="","",Products!J220)</f>
        <v/>
      </c>
      <c r="E220" s="18" t="str">
        <f aca="false">IF(A220="","",IF(C220&lt;=D220,"REORDER","OK"))</f>
        <v/>
      </c>
    </row>
    <row r="221" customFormat="false" ht="15" hidden="false" customHeight="false" outlineLevel="0" collapsed="false">
      <c r="A221" s="16" t="str">
        <f aca="false">IF(Products!A221="","",Products!A221)</f>
        <v/>
      </c>
      <c r="B221" s="16" t="str">
        <f aca="false">IF(Products!A221="","",Products!C221)</f>
        <v/>
      </c>
      <c r="C221" s="8" t="str">
        <f aca="false">IF(A221="","",SUMIFS(InventoryMovements!$E$5:$E$504,InventoryMovements!$C$5:$C$504,A221))</f>
        <v/>
      </c>
      <c r="D221" s="17" t="str">
        <f aca="false">IF(A221="","",Products!J221)</f>
        <v/>
      </c>
      <c r="E221" s="18" t="str">
        <f aca="false">IF(A221="","",IF(C221&lt;=D221,"REORDER","OK"))</f>
        <v/>
      </c>
    </row>
    <row r="222" customFormat="false" ht="15" hidden="false" customHeight="false" outlineLevel="0" collapsed="false">
      <c r="A222" s="16" t="str">
        <f aca="false">IF(Products!A222="","",Products!A222)</f>
        <v/>
      </c>
      <c r="B222" s="16" t="str">
        <f aca="false">IF(Products!A222="","",Products!C222)</f>
        <v/>
      </c>
      <c r="C222" s="8" t="str">
        <f aca="false">IF(A222="","",SUMIFS(InventoryMovements!$E$5:$E$504,InventoryMovements!$C$5:$C$504,A222))</f>
        <v/>
      </c>
      <c r="D222" s="17" t="str">
        <f aca="false">IF(A222="","",Products!J222)</f>
        <v/>
      </c>
      <c r="E222" s="18" t="str">
        <f aca="false">IF(A222="","",IF(C222&lt;=D222,"REORDER","OK"))</f>
        <v/>
      </c>
    </row>
    <row r="223" customFormat="false" ht="15" hidden="false" customHeight="false" outlineLevel="0" collapsed="false">
      <c r="A223" s="16" t="str">
        <f aca="false">IF(Products!A223="","",Products!A223)</f>
        <v/>
      </c>
      <c r="B223" s="16" t="str">
        <f aca="false">IF(Products!A223="","",Products!C223)</f>
        <v/>
      </c>
      <c r="C223" s="8" t="str">
        <f aca="false">IF(A223="","",SUMIFS(InventoryMovements!$E$5:$E$504,InventoryMovements!$C$5:$C$504,A223))</f>
        <v/>
      </c>
      <c r="D223" s="17" t="str">
        <f aca="false">IF(A223="","",Products!J223)</f>
        <v/>
      </c>
      <c r="E223" s="18" t="str">
        <f aca="false">IF(A223="","",IF(C223&lt;=D223,"REORDER","OK"))</f>
        <v/>
      </c>
    </row>
    <row r="224" customFormat="false" ht="15" hidden="false" customHeight="false" outlineLevel="0" collapsed="false">
      <c r="A224" s="16" t="str">
        <f aca="false">IF(Products!A224="","",Products!A224)</f>
        <v/>
      </c>
      <c r="B224" s="16" t="str">
        <f aca="false">IF(Products!A224="","",Products!C224)</f>
        <v/>
      </c>
      <c r="C224" s="8" t="str">
        <f aca="false">IF(A224="","",SUMIFS(InventoryMovements!$E$5:$E$504,InventoryMovements!$C$5:$C$504,A224))</f>
        <v/>
      </c>
      <c r="D224" s="17" t="str">
        <f aca="false">IF(A224="","",Products!J224)</f>
        <v/>
      </c>
      <c r="E224" s="18" t="str">
        <f aca="false">IF(A224="","",IF(C224&lt;=D224,"REORDER","OK"))</f>
        <v/>
      </c>
    </row>
    <row r="225" customFormat="false" ht="15" hidden="false" customHeight="false" outlineLevel="0" collapsed="false">
      <c r="A225" s="16" t="str">
        <f aca="false">IF(Products!A225="","",Products!A225)</f>
        <v/>
      </c>
      <c r="B225" s="16" t="str">
        <f aca="false">IF(Products!A225="","",Products!C225)</f>
        <v/>
      </c>
      <c r="C225" s="8" t="str">
        <f aca="false">IF(A225="","",SUMIFS(InventoryMovements!$E$5:$E$504,InventoryMovements!$C$5:$C$504,A225))</f>
        <v/>
      </c>
      <c r="D225" s="17" t="str">
        <f aca="false">IF(A225="","",Products!J225)</f>
        <v/>
      </c>
      <c r="E225" s="18" t="str">
        <f aca="false">IF(A225="","",IF(C225&lt;=D225,"REORDER","OK"))</f>
        <v/>
      </c>
    </row>
    <row r="226" customFormat="false" ht="15" hidden="false" customHeight="false" outlineLevel="0" collapsed="false">
      <c r="A226" s="16" t="str">
        <f aca="false">IF(Products!A226="","",Products!A226)</f>
        <v/>
      </c>
      <c r="B226" s="16" t="str">
        <f aca="false">IF(Products!A226="","",Products!C226)</f>
        <v/>
      </c>
      <c r="C226" s="8" t="str">
        <f aca="false">IF(A226="","",SUMIFS(InventoryMovements!$E$5:$E$504,InventoryMovements!$C$5:$C$504,A226))</f>
        <v/>
      </c>
      <c r="D226" s="17" t="str">
        <f aca="false">IF(A226="","",Products!J226)</f>
        <v/>
      </c>
      <c r="E226" s="18" t="str">
        <f aca="false">IF(A226="","",IF(C226&lt;=D226,"REORDER","OK"))</f>
        <v/>
      </c>
    </row>
    <row r="227" customFormat="false" ht="15" hidden="false" customHeight="false" outlineLevel="0" collapsed="false">
      <c r="A227" s="16" t="str">
        <f aca="false">IF(Products!A227="","",Products!A227)</f>
        <v/>
      </c>
      <c r="B227" s="16" t="str">
        <f aca="false">IF(Products!A227="","",Products!C227)</f>
        <v/>
      </c>
      <c r="C227" s="8" t="str">
        <f aca="false">IF(A227="","",SUMIFS(InventoryMovements!$E$5:$E$504,InventoryMovements!$C$5:$C$504,A227))</f>
        <v/>
      </c>
      <c r="D227" s="17" t="str">
        <f aca="false">IF(A227="","",Products!J227)</f>
        <v/>
      </c>
      <c r="E227" s="18" t="str">
        <f aca="false">IF(A227="","",IF(C227&lt;=D227,"REORDER","OK"))</f>
        <v/>
      </c>
    </row>
    <row r="228" customFormat="false" ht="15" hidden="false" customHeight="false" outlineLevel="0" collapsed="false">
      <c r="A228" s="16" t="str">
        <f aca="false">IF(Products!A228="","",Products!A228)</f>
        <v/>
      </c>
      <c r="B228" s="16" t="str">
        <f aca="false">IF(Products!A228="","",Products!C228)</f>
        <v/>
      </c>
      <c r="C228" s="8" t="str">
        <f aca="false">IF(A228="","",SUMIFS(InventoryMovements!$E$5:$E$504,InventoryMovements!$C$5:$C$504,A228))</f>
        <v/>
      </c>
      <c r="D228" s="17" t="str">
        <f aca="false">IF(A228="","",Products!J228)</f>
        <v/>
      </c>
      <c r="E228" s="18" t="str">
        <f aca="false">IF(A228="","",IF(C228&lt;=D228,"REORDER","OK"))</f>
        <v/>
      </c>
    </row>
    <row r="229" customFormat="false" ht="15" hidden="false" customHeight="false" outlineLevel="0" collapsed="false">
      <c r="A229" s="16" t="str">
        <f aca="false">IF(Products!A229="","",Products!A229)</f>
        <v/>
      </c>
      <c r="B229" s="16" t="str">
        <f aca="false">IF(Products!A229="","",Products!C229)</f>
        <v/>
      </c>
      <c r="C229" s="8" t="str">
        <f aca="false">IF(A229="","",SUMIFS(InventoryMovements!$E$5:$E$504,InventoryMovements!$C$5:$C$504,A229))</f>
        <v/>
      </c>
      <c r="D229" s="17" t="str">
        <f aca="false">IF(A229="","",Products!J229)</f>
        <v/>
      </c>
      <c r="E229" s="18" t="str">
        <f aca="false">IF(A229="","",IF(C229&lt;=D229,"REORDER","OK"))</f>
        <v/>
      </c>
    </row>
    <row r="230" customFormat="false" ht="15" hidden="false" customHeight="false" outlineLevel="0" collapsed="false">
      <c r="A230" s="16" t="str">
        <f aca="false">IF(Products!A230="","",Products!A230)</f>
        <v/>
      </c>
      <c r="B230" s="16" t="str">
        <f aca="false">IF(Products!A230="","",Products!C230)</f>
        <v/>
      </c>
      <c r="C230" s="8" t="str">
        <f aca="false">IF(A230="","",SUMIFS(InventoryMovements!$E$5:$E$504,InventoryMovements!$C$5:$C$504,A230))</f>
        <v/>
      </c>
      <c r="D230" s="17" t="str">
        <f aca="false">IF(A230="","",Products!J230)</f>
        <v/>
      </c>
      <c r="E230" s="18" t="str">
        <f aca="false">IF(A230="","",IF(C230&lt;=D230,"REORDER","OK"))</f>
        <v/>
      </c>
    </row>
    <row r="231" customFormat="false" ht="15" hidden="false" customHeight="false" outlineLevel="0" collapsed="false">
      <c r="A231" s="16" t="str">
        <f aca="false">IF(Products!A231="","",Products!A231)</f>
        <v/>
      </c>
      <c r="B231" s="16" t="str">
        <f aca="false">IF(Products!A231="","",Products!C231)</f>
        <v/>
      </c>
      <c r="C231" s="8" t="str">
        <f aca="false">IF(A231="","",SUMIFS(InventoryMovements!$E$5:$E$504,InventoryMovements!$C$5:$C$504,A231))</f>
        <v/>
      </c>
      <c r="D231" s="17" t="str">
        <f aca="false">IF(A231="","",Products!J231)</f>
        <v/>
      </c>
      <c r="E231" s="18" t="str">
        <f aca="false">IF(A231="","",IF(C231&lt;=D231,"REORDER","OK"))</f>
        <v/>
      </c>
    </row>
    <row r="232" customFormat="false" ht="15" hidden="false" customHeight="false" outlineLevel="0" collapsed="false">
      <c r="A232" s="16" t="str">
        <f aca="false">IF(Products!A232="","",Products!A232)</f>
        <v/>
      </c>
      <c r="B232" s="16" t="str">
        <f aca="false">IF(Products!A232="","",Products!C232)</f>
        <v/>
      </c>
      <c r="C232" s="8" t="str">
        <f aca="false">IF(A232="","",SUMIFS(InventoryMovements!$E$5:$E$504,InventoryMovements!$C$5:$C$504,A232))</f>
        <v/>
      </c>
      <c r="D232" s="17" t="str">
        <f aca="false">IF(A232="","",Products!J232)</f>
        <v/>
      </c>
      <c r="E232" s="18" t="str">
        <f aca="false">IF(A232="","",IF(C232&lt;=D232,"REORDER","OK"))</f>
        <v/>
      </c>
    </row>
    <row r="233" customFormat="false" ht="15" hidden="false" customHeight="false" outlineLevel="0" collapsed="false">
      <c r="A233" s="16" t="str">
        <f aca="false">IF(Products!A233="","",Products!A233)</f>
        <v/>
      </c>
      <c r="B233" s="16" t="str">
        <f aca="false">IF(Products!A233="","",Products!C233)</f>
        <v/>
      </c>
      <c r="C233" s="8" t="str">
        <f aca="false">IF(A233="","",SUMIFS(InventoryMovements!$E$5:$E$504,InventoryMovements!$C$5:$C$504,A233))</f>
        <v/>
      </c>
      <c r="D233" s="17" t="str">
        <f aca="false">IF(A233="","",Products!J233)</f>
        <v/>
      </c>
      <c r="E233" s="18" t="str">
        <f aca="false">IF(A233="","",IF(C233&lt;=D233,"REORDER","OK"))</f>
        <v/>
      </c>
    </row>
    <row r="234" customFormat="false" ht="15" hidden="false" customHeight="false" outlineLevel="0" collapsed="false">
      <c r="A234" s="16" t="str">
        <f aca="false">IF(Products!A234="","",Products!A234)</f>
        <v/>
      </c>
      <c r="B234" s="16" t="str">
        <f aca="false">IF(Products!A234="","",Products!C234)</f>
        <v/>
      </c>
      <c r="C234" s="8" t="str">
        <f aca="false">IF(A234="","",SUMIFS(InventoryMovements!$E$5:$E$504,InventoryMovements!$C$5:$C$504,A234))</f>
        <v/>
      </c>
      <c r="D234" s="17" t="str">
        <f aca="false">IF(A234="","",Products!J234)</f>
        <v/>
      </c>
      <c r="E234" s="18" t="str">
        <f aca="false">IF(A234="","",IF(C234&lt;=D234,"REORDER","OK"))</f>
        <v/>
      </c>
    </row>
    <row r="235" customFormat="false" ht="15" hidden="false" customHeight="false" outlineLevel="0" collapsed="false">
      <c r="A235" s="16" t="str">
        <f aca="false">IF(Products!A235="","",Products!A235)</f>
        <v/>
      </c>
      <c r="B235" s="16" t="str">
        <f aca="false">IF(Products!A235="","",Products!C235)</f>
        <v/>
      </c>
      <c r="C235" s="8" t="str">
        <f aca="false">IF(A235="","",SUMIFS(InventoryMovements!$E$5:$E$504,InventoryMovements!$C$5:$C$504,A235))</f>
        <v/>
      </c>
      <c r="D235" s="17" t="str">
        <f aca="false">IF(A235="","",Products!J235)</f>
        <v/>
      </c>
      <c r="E235" s="18" t="str">
        <f aca="false">IF(A235="","",IF(C235&lt;=D235,"REORDER","OK"))</f>
        <v/>
      </c>
    </row>
    <row r="236" customFormat="false" ht="15" hidden="false" customHeight="false" outlineLevel="0" collapsed="false">
      <c r="A236" s="16" t="str">
        <f aca="false">IF(Products!A236="","",Products!A236)</f>
        <v/>
      </c>
      <c r="B236" s="16" t="str">
        <f aca="false">IF(Products!A236="","",Products!C236)</f>
        <v/>
      </c>
      <c r="C236" s="8" t="str">
        <f aca="false">IF(A236="","",SUMIFS(InventoryMovements!$E$5:$E$504,InventoryMovements!$C$5:$C$504,A236))</f>
        <v/>
      </c>
      <c r="D236" s="17" t="str">
        <f aca="false">IF(A236="","",Products!J236)</f>
        <v/>
      </c>
      <c r="E236" s="18" t="str">
        <f aca="false">IF(A236="","",IF(C236&lt;=D236,"REORDER","OK"))</f>
        <v/>
      </c>
    </row>
    <row r="237" customFormat="false" ht="15" hidden="false" customHeight="false" outlineLevel="0" collapsed="false">
      <c r="A237" s="16" t="str">
        <f aca="false">IF(Products!A237="","",Products!A237)</f>
        <v/>
      </c>
      <c r="B237" s="16" t="str">
        <f aca="false">IF(Products!A237="","",Products!C237)</f>
        <v/>
      </c>
      <c r="C237" s="8" t="str">
        <f aca="false">IF(A237="","",SUMIFS(InventoryMovements!$E$5:$E$504,InventoryMovements!$C$5:$C$504,A237))</f>
        <v/>
      </c>
      <c r="D237" s="17" t="str">
        <f aca="false">IF(A237="","",Products!J237)</f>
        <v/>
      </c>
      <c r="E237" s="18" t="str">
        <f aca="false">IF(A237="","",IF(C237&lt;=D237,"REORDER","OK"))</f>
        <v/>
      </c>
    </row>
    <row r="238" customFormat="false" ht="15" hidden="false" customHeight="false" outlineLevel="0" collapsed="false">
      <c r="A238" s="16" t="str">
        <f aca="false">IF(Products!A238="","",Products!A238)</f>
        <v/>
      </c>
      <c r="B238" s="16" t="str">
        <f aca="false">IF(Products!A238="","",Products!C238)</f>
        <v/>
      </c>
      <c r="C238" s="8" t="str">
        <f aca="false">IF(A238="","",SUMIFS(InventoryMovements!$E$5:$E$504,InventoryMovements!$C$5:$C$504,A238))</f>
        <v/>
      </c>
      <c r="D238" s="17" t="str">
        <f aca="false">IF(A238="","",Products!J238)</f>
        <v/>
      </c>
      <c r="E238" s="18" t="str">
        <f aca="false">IF(A238="","",IF(C238&lt;=D238,"REORDER","OK"))</f>
        <v/>
      </c>
    </row>
    <row r="239" customFormat="false" ht="15" hidden="false" customHeight="false" outlineLevel="0" collapsed="false">
      <c r="A239" s="16" t="str">
        <f aca="false">IF(Products!A239="","",Products!A239)</f>
        <v/>
      </c>
      <c r="B239" s="16" t="str">
        <f aca="false">IF(Products!A239="","",Products!C239)</f>
        <v/>
      </c>
      <c r="C239" s="8" t="str">
        <f aca="false">IF(A239="","",SUMIFS(InventoryMovements!$E$5:$E$504,InventoryMovements!$C$5:$C$504,A239))</f>
        <v/>
      </c>
      <c r="D239" s="17" t="str">
        <f aca="false">IF(A239="","",Products!J239)</f>
        <v/>
      </c>
      <c r="E239" s="18" t="str">
        <f aca="false">IF(A239="","",IF(C239&lt;=D239,"REORDER","OK"))</f>
        <v/>
      </c>
    </row>
    <row r="240" customFormat="false" ht="15" hidden="false" customHeight="false" outlineLevel="0" collapsed="false">
      <c r="A240" s="16" t="str">
        <f aca="false">IF(Products!A240="","",Products!A240)</f>
        <v/>
      </c>
      <c r="B240" s="16" t="str">
        <f aca="false">IF(Products!A240="","",Products!C240)</f>
        <v/>
      </c>
      <c r="C240" s="8" t="str">
        <f aca="false">IF(A240="","",SUMIFS(InventoryMovements!$E$5:$E$504,InventoryMovements!$C$5:$C$504,A240))</f>
        <v/>
      </c>
      <c r="D240" s="17" t="str">
        <f aca="false">IF(A240="","",Products!J240)</f>
        <v/>
      </c>
      <c r="E240" s="18" t="str">
        <f aca="false">IF(A240="","",IF(C240&lt;=D240,"REORDER","OK"))</f>
        <v/>
      </c>
    </row>
    <row r="241" customFormat="false" ht="15" hidden="false" customHeight="false" outlineLevel="0" collapsed="false">
      <c r="A241" s="16" t="str">
        <f aca="false">IF(Products!A241="","",Products!A241)</f>
        <v/>
      </c>
      <c r="B241" s="16" t="str">
        <f aca="false">IF(Products!A241="","",Products!C241)</f>
        <v/>
      </c>
      <c r="C241" s="8" t="str">
        <f aca="false">IF(A241="","",SUMIFS(InventoryMovements!$E$5:$E$504,InventoryMovements!$C$5:$C$504,A241))</f>
        <v/>
      </c>
      <c r="D241" s="17" t="str">
        <f aca="false">IF(A241="","",Products!J241)</f>
        <v/>
      </c>
      <c r="E241" s="18" t="str">
        <f aca="false">IF(A241="","",IF(C241&lt;=D241,"REORDER","OK"))</f>
        <v/>
      </c>
    </row>
    <row r="242" customFormat="false" ht="15" hidden="false" customHeight="false" outlineLevel="0" collapsed="false">
      <c r="A242" s="16" t="str">
        <f aca="false">IF(Products!A242="","",Products!A242)</f>
        <v/>
      </c>
      <c r="B242" s="16" t="str">
        <f aca="false">IF(Products!A242="","",Products!C242)</f>
        <v/>
      </c>
      <c r="C242" s="8" t="str">
        <f aca="false">IF(A242="","",SUMIFS(InventoryMovements!$E$5:$E$504,InventoryMovements!$C$5:$C$504,A242))</f>
        <v/>
      </c>
      <c r="D242" s="17" t="str">
        <f aca="false">IF(A242="","",Products!J242)</f>
        <v/>
      </c>
      <c r="E242" s="18" t="str">
        <f aca="false">IF(A242="","",IF(C242&lt;=D242,"REORDER","OK"))</f>
        <v/>
      </c>
    </row>
    <row r="243" customFormat="false" ht="15" hidden="false" customHeight="false" outlineLevel="0" collapsed="false">
      <c r="A243" s="16" t="str">
        <f aca="false">IF(Products!A243="","",Products!A243)</f>
        <v/>
      </c>
      <c r="B243" s="16" t="str">
        <f aca="false">IF(Products!A243="","",Products!C243)</f>
        <v/>
      </c>
      <c r="C243" s="8" t="str">
        <f aca="false">IF(A243="","",SUMIFS(InventoryMovements!$E$5:$E$504,InventoryMovements!$C$5:$C$504,A243))</f>
        <v/>
      </c>
      <c r="D243" s="17" t="str">
        <f aca="false">IF(A243="","",Products!J243)</f>
        <v/>
      </c>
      <c r="E243" s="18" t="str">
        <f aca="false">IF(A243="","",IF(C243&lt;=D243,"REORDER","OK"))</f>
        <v/>
      </c>
    </row>
    <row r="244" customFormat="false" ht="15" hidden="false" customHeight="false" outlineLevel="0" collapsed="false">
      <c r="A244" s="16" t="str">
        <f aca="false">IF(Products!A244="","",Products!A244)</f>
        <v/>
      </c>
      <c r="B244" s="16" t="str">
        <f aca="false">IF(Products!A244="","",Products!C244)</f>
        <v/>
      </c>
      <c r="C244" s="8" t="str">
        <f aca="false">IF(A244="","",SUMIFS(InventoryMovements!$E$5:$E$504,InventoryMovements!$C$5:$C$504,A244))</f>
        <v/>
      </c>
      <c r="D244" s="17" t="str">
        <f aca="false">IF(A244="","",Products!J244)</f>
        <v/>
      </c>
      <c r="E244" s="18" t="str">
        <f aca="false">IF(A244="","",IF(C244&lt;=D244,"REORDER","OK"))</f>
        <v/>
      </c>
    </row>
    <row r="245" customFormat="false" ht="15" hidden="false" customHeight="false" outlineLevel="0" collapsed="false">
      <c r="A245" s="16" t="str">
        <f aca="false">IF(Products!A245="","",Products!A245)</f>
        <v/>
      </c>
      <c r="B245" s="16" t="str">
        <f aca="false">IF(Products!A245="","",Products!C245)</f>
        <v/>
      </c>
      <c r="C245" s="8" t="str">
        <f aca="false">IF(A245="","",SUMIFS(InventoryMovements!$E$5:$E$504,InventoryMovements!$C$5:$C$504,A245))</f>
        <v/>
      </c>
      <c r="D245" s="17" t="str">
        <f aca="false">IF(A245="","",Products!J245)</f>
        <v/>
      </c>
      <c r="E245" s="18" t="str">
        <f aca="false">IF(A245="","",IF(C245&lt;=D245,"REORDER","OK"))</f>
        <v/>
      </c>
    </row>
    <row r="246" customFormat="false" ht="15" hidden="false" customHeight="false" outlineLevel="0" collapsed="false">
      <c r="A246" s="16" t="str">
        <f aca="false">IF(Products!A246="","",Products!A246)</f>
        <v/>
      </c>
      <c r="B246" s="16" t="str">
        <f aca="false">IF(Products!A246="","",Products!C246)</f>
        <v/>
      </c>
      <c r="C246" s="8" t="str">
        <f aca="false">IF(A246="","",SUMIFS(InventoryMovements!$E$5:$E$504,InventoryMovements!$C$5:$C$504,A246))</f>
        <v/>
      </c>
      <c r="D246" s="17" t="str">
        <f aca="false">IF(A246="","",Products!J246)</f>
        <v/>
      </c>
      <c r="E246" s="18" t="str">
        <f aca="false">IF(A246="","",IF(C246&lt;=D246,"REORDER","OK"))</f>
        <v/>
      </c>
    </row>
    <row r="247" customFormat="false" ht="15" hidden="false" customHeight="false" outlineLevel="0" collapsed="false">
      <c r="A247" s="16" t="str">
        <f aca="false">IF(Products!A247="","",Products!A247)</f>
        <v/>
      </c>
      <c r="B247" s="16" t="str">
        <f aca="false">IF(Products!A247="","",Products!C247)</f>
        <v/>
      </c>
      <c r="C247" s="8" t="str">
        <f aca="false">IF(A247="","",SUMIFS(InventoryMovements!$E$5:$E$504,InventoryMovements!$C$5:$C$504,A247))</f>
        <v/>
      </c>
      <c r="D247" s="17" t="str">
        <f aca="false">IF(A247="","",Products!J247)</f>
        <v/>
      </c>
      <c r="E247" s="18" t="str">
        <f aca="false">IF(A247="","",IF(C247&lt;=D247,"REORDER","OK"))</f>
        <v/>
      </c>
    </row>
    <row r="248" customFormat="false" ht="15" hidden="false" customHeight="false" outlineLevel="0" collapsed="false">
      <c r="A248" s="16" t="str">
        <f aca="false">IF(Products!A248="","",Products!A248)</f>
        <v/>
      </c>
      <c r="B248" s="16" t="str">
        <f aca="false">IF(Products!A248="","",Products!C248)</f>
        <v/>
      </c>
      <c r="C248" s="8" t="str">
        <f aca="false">IF(A248="","",SUMIFS(InventoryMovements!$E$5:$E$504,InventoryMovements!$C$5:$C$504,A248))</f>
        <v/>
      </c>
      <c r="D248" s="17" t="str">
        <f aca="false">IF(A248="","",Products!J248)</f>
        <v/>
      </c>
      <c r="E248" s="18" t="str">
        <f aca="false">IF(A248="","",IF(C248&lt;=D248,"REORDER","OK"))</f>
        <v/>
      </c>
    </row>
    <row r="249" customFormat="false" ht="15" hidden="false" customHeight="false" outlineLevel="0" collapsed="false">
      <c r="A249" s="16" t="str">
        <f aca="false">IF(Products!A249="","",Products!A249)</f>
        <v/>
      </c>
      <c r="B249" s="16" t="str">
        <f aca="false">IF(Products!A249="","",Products!C249)</f>
        <v/>
      </c>
      <c r="C249" s="8" t="str">
        <f aca="false">IF(A249="","",SUMIFS(InventoryMovements!$E$5:$E$504,InventoryMovements!$C$5:$C$504,A249))</f>
        <v/>
      </c>
      <c r="D249" s="17" t="str">
        <f aca="false">IF(A249="","",Products!J249)</f>
        <v/>
      </c>
      <c r="E249" s="18" t="str">
        <f aca="false">IF(A249="","",IF(C249&lt;=D249,"REORDER","OK"))</f>
        <v/>
      </c>
    </row>
    <row r="250" customFormat="false" ht="15" hidden="false" customHeight="false" outlineLevel="0" collapsed="false">
      <c r="A250" s="16" t="str">
        <f aca="false">IF(Products!A250="","",Products!A250)</f>
        <v/>
      </c>
      <c r="B250" s="16" t="str">
        <f aca="false">IF(Products!A250="","",Products!C250)</f>
        <v/>
      </c>
      <c r="C250" s="8" t="str">
        <f aca="false">IF(A250="","",SUMIFS(InventoryMovements!$E$5:$E$504,InventoryMovements!$C$5:$C$504,A250))</f>
        <v/>
      </c>
      <c r="D250" s="17" t="str">
        <f aca="false">IF(A250="","",Products!J250)</f>
        <v/>
      </c>
      <c r="E250" s="18" t="str">
        <f aca="false">IF(A250="","",IF(C250&lt;=D250,"REORDER","OK"))</f>
        <v/>
      </c>
    </row>
    <row r="251" customFormat="false" ht="15" hidden="false" customHeight="false" outlineLevel="0" collapsed="false">
      <c r="A251" s="16" t="str">
        <f aca="false">IF(Products!A251="","",Products!A251)</f>
        <v/>
      </c>
      <c r="B251" s="16" t="str">
        <f aca="false">IF(Products!A251="","",Products!C251)</f>
        <v/>
      </c>
      <c r="C251" s="8" t="str">
        <f aca="false">IF(A251="","",SUMIFS(InventoryMovements!$E$5:$E$504,InventoryMovements!$C$5:$C$504,A251))</f>
        <v/>
      </c>
      <c r="D251" s="17" t="str">
        <f aca="false">IF(A251="","",Products!J251)</f>
        <v/>
      </c>
      <c r="E251" s="18" t="str">
        <f aca="false">IF(A251="","",IF(C251&lt;=D251,"REORDER","OK"))</f>
        <v/>
      </c>
    </row>
    <row r="252" customFormat="false" ht="15" hidden="false" customHeight="false" outlineLevel="0" collapsed="false">
      <c r="A252" s="16" t="str">
        <f aca="false">IF(Products!A252="","",Products!A252)</f>
        <v/>
      </c>
      <c r="B252" s="16" t="str">
        <f aca="false">IF(Products!A252="","",Products!C252)</f>
        <v/>
      </c>
      <c r="C252" s="8" t="str">
        <f aca="false">IF(A252="","",SUMIFS(InventoryMovements!$E$5:$E$504,InventoryMovements!$C$5:$C$504,A252))</f>
        <v/>
      </c>
      <c r="D252" s="17" t="str">
        <f aca="false">IF(A252="","",Products!J252)</f>
        <v/>
      </c>
      <c r="E252" s="18" t="str">
        <f aca="false">IF(A252="","",IF(C252&lt;=D252,"REORDER","OK"))</f>
        <v/>
      </c>
    </row>
    <row r="253" customFormat="false" ht="15" hidden="false" customHeight="false" outlineLevel="0" collapsed="false">
      <c r="A253" s="16" t="str">
        <f aca="false">IF(Products!A253="","",Products!A253)</f>
        <v/>
      </c>
      <c r="B253" s="16" t="str">
        <f aca="false">IF(Products!A253="","",Products!C253)</f>
        <v/>
      </c>
      <c r="C253" s="8" t="str">
        <f aca="false">IF(A253="","",SUMIFS(InventoryMovements!$E$5:$E$504,InventoryMovements!$C$5:$C$504,A253))</f>
        <v/>
      </c>
      <c r="D253" s="17" t="str">
        <f aca="false">IF(A253="","",Products!J253)</f>
        <v/>
      </c>
      <c r="E253" s="18" t="str">
        <f aca="false">IF(A253="","",IF(C253&lt;=D253,"REORDER","OK"))</f>
        <v/>
      </c>
    </row>
    <row r="254" customFormat="false" ht="15" hidden="false" customHeight="false" outlineLevel="0" collapsed="false">
      <c r="A254" s="16" t="str">
        <f aca="false">IF(Products!A254="","",Products!A254)</f>
        <v/>
      </c>
      <c r="B254" s="16" t="str">
        <f aca="false">IF(Products!A254="","",Products!C254)</f>
        <v/>
      </c>
      <c r="C254" s="8" t="str">
        <f aca="false">IF(A254="","",SUMIFS(InventoryMovements!$E$5:$E$504,InventoryMovements!$C$5:$C$504,A254))</f>
        <v/>
      </c>
      <c r="D254" s="17" t="str">
        <f aca="false">IF(A254="","",Products!J254)</f>
        <v/>
      </c>
      <c r="E254" s="18" t="str">
        <f aca="false">IF(A254="","",IF(C254&lt;=D254,"REORDER","OK"))</f>
        <v/>
      </c>
    </row>
    <row r="255" customFormat="false" ht="15" hidden="false" customHeight="false" outlineLevel="0" collapsed="false">
      <c r="A255" s="16" t="str">
        <f aca="false">IF(Products!A255="","",Products!A255)</f>
        <v/>
      </c>
      <c r="B255" s="16" t="str">
        <f aca="false">IF(Products!A255="","",Products!C255)</f>
        <v/>
      </c>
      <c r="C255" s="8" t="str">
        <f aca="false">IF(A255="","",SUMIFS(InventoryMovements!$E$5:$E$504,InventoryMovements!$C$5:$C$504,A255))</f>
        <v/>
      </c>
      <c r="D255" s="17" t="str">
        <f aca="false">IF(A255="","",Products!J255)</f>
        <v/>
      </c>
      <c r="E255" s="18" t="str">
        <f aca="false">IF(A255="","",IF(C255&lt;=D255,"REORDER","OK"))</f>
        <v/>
      </c>
    </row>
    <row r="256" customFormat="false" ht="15" hidden="false" customHeight="false" outlineLevel="0" collapsed="false">
      <c r="A256" s="16" t="str">
        <f aca="false">IF(Products!A256="","",Products!A256)</f>
        <v/>
      </c>
      <c r="B256" s="16" t="str">
        <f aca="false">IF(Products!A256="","",Products!C256)</f>
        <v/>
      </c>
      <c r="C256" s="8" t="str">
        <f aca="false">IF(A256="","",SUMIFS(InventoryMovements!$E$5:$E$504,InventoryMovements!$C$5:$C$504,A256))</f>
        <v/>
      </c>
      <c r="D256" s="17" t="str">
        <f aca="false">IF(A256="","",Products!J256)</f>
        <v/>
      </c>
      <c r="E256" s="18" t="str">
        <f aca="false">IF(A256="","",IF(C256&lt;=D256,"REORDER","OK"))</f>
        <v/>
      </c>
    </row>
    <row r="257" customFormat="false" ht="15" hidden="false" customHeight="false" outlineLevel="0" collapsed="false">
      <c r="A257" s="16" t="str">
        <f aca="false">IF(Products!A257="","",Products!A257)</f>
        <v/>
      </c>
      <c r="B257" s="16" t="str">
        <f aca="false">IF(Products!A257="","",Products!C257)</f>
        <v/>
      </c>
      <c r="C257" s="8" t="str">
        <f aca="false">IF(A257="","",SUMIFS(InventoryMovements!$E$5:$E$504,InventoryMovements!$C$5:$C$504,A257))</f>
        <v/>
      </c>
      <c r="D257" s="17" t="str">
        <f aca="false">IF(A257="","",Products!J257)</f>
        <v/>
      </c>
      <c r="E257" s="18" t="str">
        <f aca="false">IF(A257="","",IF(C257&lt;=D257,"REORDER","OK"))</f>
        <v/>
      </c>
    </row>
    <row r="258" customFormat="false" ht="15" hidden="false" customHeight="false" outlineLevel="0" collapsed="false">
      <c r="A258" s="16" t="str">
        <f aca="false">IF(Products!A258="","",Products!A258)</f>
        <v/>
      </c>
      <c r="B258" s="16" t="str">
        <f aca="false">IF(Products!A258="","",Products!C258)</f>
        <v/>
      </c>
      <c r="C258" s="8" t="str">
        <f aca="false">IF(A258="","",SUMIFS(InventoryMovements!$E$5:$E$504,InventoryMovements!$C$5:$C$504,A258))</f>
        <v/>
      </c>
      <c r="D258" s="17" t="str">
        <f aca="false">IF(A258="","",Products!J258)</f>
        <v/>
      </c>
      <c r="E258" s="18" t="str">
        <f aca="false">IF(A258="","",IF(C258&lt;=D258,"REORDER","OK"))</f>
        <v/>
      </c>
    </row>
    <row r="259" customFormat="false" ht="15" hidden="false" customHeight="false" outlineLevel="0" collapsed="false">
      <c r="A259" s="16" t="str">
        <f aca="false">IF(Products!A259="","",Products!A259)</f>
        <v/>
      </c>
      <c r="B259" s="16" t="str">
        <f aca="false">IF(Products!A259="","",Products!C259)</f>
        <v/>
      </c>
      <c r="C259" s="8" t="str">
        <f aca="false">IF(A259="","",SUMIFS(InventoryMovements!$E$5:$E$504,InventoryMovements!$C$5:$C$504,A259))</f>
        <v/>
      </c>
      <c r="D259" s="17" t="str">
        <f aca="false">IF(A259="","",Products!J259)</f>
        <v/>
      </c>
      <c r="E259" s="18" t="str">
        <f aca="false">IF(A259="","",IF(C259&lt;=D259,"REORDER","OK"))</f>
        <v/>
      </c>
    </row>
    <row r="260" customFormat="false" ht="15" hidden="false" customHeight="false" outlineLevel="0" collapsed="false">
      <c r="A260" s="16" t="str">
        <f aca="false">IF(Products!A260="","",Products!A260)</f>
        <v/>
      </c>
      <c r="B260" s="16" t="str">
        <f aca="false">IF(Products!A260="","",Products!C260)</f>
        <v/>
      </c>
      <c r="C260" s="8" t="str">
        <f aca="false">IF(A260="","",SUMIFS(InventoryMovements!$E$5:$E$504,InventoryMovements!$C$5:$C$504,A260))</f>
        <v/>
      </c>
      <c r="D260" s="17" t="str">
        <f aca="false">IF(A260="","",Products!J260)</f>
        <v/>
      </c>
      <c r="E260" s="18" t="str">
        <f aca="false">IF(A260="","",IF(C260&lt;=D260,"REORDER","OK"))</f>
        <v/>
      </c>
    </row>
    <row r="261" customFormat="false" ht="15" hidden="false" customHeight="false" outlineLevel="0" collapsed="false">
      <c r="A261" s="16" t="str">
        <f aca="false">IF(Products!A261="","",Products!A261)</f>
        <v/>
      </c>
      <c r="B261" s="16" t="str">
        <f aca="false">IF(Products!A261="","",Products!C261)</f>
        <v/>
      </c>
      <c r="C261" s="8" t="str">
        <f aca="false">IF(A261="","",SUMIFS(InventoryMovements!$E$5:$E$504,InventoryMovements!$C$5:$C$504,A261))</f>
        <v/>
      </c>
      <c r="D261" s="17" t="str">
        <f aca="false">IF(A261="","",Products!J261)</f>
        <v/>
      </c>
      <c r="E261" s="18" t="str">
        <f aca="false">IF(A261="","",IF(C261&lt;=D261,"REORDER","OK"))</f>
        <v/>
      </c>
    </row>
    <row r="262" customFormat="false" ht="15" hidden="false" customHeight="false" outlineLevel="0" collapsed="false">
      <c r="A262" s="16" t="str">
        <f aca="false">IF(Products!A262="","",Products!A262)</f>
        <v/>
      </c>
      <c r="B262" s="16" t="str">
        <f aca="false">IF(Products!A262="","",Products!C262)</f>
        <v/>
      </c>
      <c r="C262" s="8" t="str">
        <f aca="false">IF(A262="","",SUMIFS(InventoryMovements!$E$5:$E$504,InventoryMovements!$C$5:$C$504,A262))</f>
        <v/>
      </c>
      <c r="D262" s="17" t="str">
        <f aca="false">IF(A262="","",Products!J262)</f>
        <v/>
      </c>
      <c r="E262" s="18" t="str">
        <f aca="false">IF(A262="","",IF(C262&lt;=D262,"REORDER","OK"))</f>
        <v/>
      </c>
    </row>
    <row r="263" customFormat="false" ht="15" hidden="false" customHeight="false" outlineLevel="0" collapsed="false">
      <c r="A263" s="16" t="str">
        <f aca="false">IF(Products!A263="","",Products!A263)</f>
        <v/>
      </c>
      <c r="B263" s="16" t="str">
        <f aca="false">IF(Products!A263="","",Products!C263)</f>
        <v/>
      </c>
      <c r="C263" s="8" t="str">
        <f aca="false">IF(A263="","",SUMIFS(InventoryMovements!$E$5:$E$504,InventoryMovements!$C$5:$C$504,A263))</f>
        <v/>
      </c>
      <c r="D263" s="17" t="str">
        <f aca="false">IF(A263="","",Products!J263)</f>
        <v/>
      </c>
      <c r="E263" s="18" t="str">
        <f aca="false">IF(A263="","",IF(C263&lt;=D263,"REORDER","OK"))</f>
        <v/>
      </c>
    </row>
    <row r="264" customFormat="false" ht="15" hidden="false" customHeight="false" outlineLevel="0" collapsed="false">
      <c r="A264" s="16" t="str">
        <f aca="false">IF(Products!A264="","",Products!A264)</f>
        <v/>
      </c>
      <c r="B264" s="16" t="str">
        <f aca="false">IF(Products!A264="","",Products!C264)</f>
        <v/>
      </c>
      <c r="C264" s="8" t="str">
        <f aca="false">IF(A264="","",SUMIFS(InventoryMovements!$E$5:$E$504,InventoryMovements!$C$5:$C$504,A264))</f>
        <v/>
      </c>
      <c r="D264" s="17" t="str">
        <f aca="false">IF(A264="","",Products!J264)</f>
        <v/>
      </c>
      <c r="E264" s="18" t="str">
        <f aca="false">IF(A264="","",IF(C264&lt;=D264,"REORDER","OK"))</f>
        <v/>
      </c>
    </row>
    <row r="265" customFormat="false" ht="15" hidden="false" customHeight="false" outlineLevel="0" collapsed="false">
      <c r="A265" s="16" t="str">
        <f aca="false">IF(Products!A265="","",Products!A265)</f>
        <v/>
      </c>
      <c r="B265" s="16" t="str">
        <f aca="false">IF(Products!A265="","",Products!C265)</f>
        <v/>
      </c>
      <c r="C265" s="8" t="str">
        <f aca="false">IF(A265="","",SUMIFS(InventoryMovements!$E$5:$E$504,InventoryMovements!$C$5:$C$504,A265))</f>
        <v/>
      </c>
      <c r="D265" s="17" t="str">
        <f aca="false">IF(A265="","",Products!J265)</f>
        <v/>
      </c>
      <c r="E265" s="18" t="str">
        <f aca="false">IF(A265="","",IF(C265&lt;=D265,"REORDER","OK"))</f>
        <v/>
      </c>
    </row>
    <row r="266" customFormat="false" ht="15" hidden="false" customHeight="false" outlineLevel="0" collapsed="false">
      <c r="A266" s="16" t="str">
        <f aca="false">IF(Products!A266="","",Products!A266)</f>
        <v/>
      </c>
      <c r="B266" s="16" t="str">
        <f aca="false">IF(Products!A266="","",Products!C266)</f>
        <v/>
      </c>
      <c r="C266" s="8" t="str">
        <f aca="false">IF(A266="","",SUMIFS(InventoryMovements!$E$5:$E$504,InventoryMovements!$C$5:$C$504,A266))</f>
        <v/>
      </c>
      <c r="D266" s="17" t="str">
        <f aca="false">IF(A266="","",Products!J266)</f>
        <v/>
      </c>
      <c r="E266" s="18" t="str">
        <f aca="false">IF(A266="","",IF(C266&lt;=D266,"REORDER","OK"))</f>
        <v/>
      </c>
    </row>
    <row r="267" customFormat="false" ht="15" hidden="false" customHeight="false" outlineLevel="0" collapsed="false">
      <c r="A267" s="16" t="str">
        <f aca="false">IF(Products!A267="","",Products!A267)</f>
        <v/>
      </c>
      <c r="B267" s="16" t="str">
        <f aca="false">IF(Products!A267="","",Products!C267)</f>
        <v/>
      </c>
      <c r="C267" s="8" t="str">
        <f aca="false">IF(A267="","",SUMIFS(InventoryMovements!$E$5:$E$504,InventoryMovements!$C$5:$C$504,A267))</f>
        <v/>
      </c>
      <c r="D267" s="17" t="str">
        <f aca="false">IF(A267="","",Products!J267)</f>
        <v/>
      </c>
      <c r="E267" s="18" t="str">
        <f aca="false">IF(A267="","",IF(C267&lt;=D267,"REORDER","OK"))</f>
        <v/>
      </c>
    </row>
    <row r="268" customFormat="false" ht="15" hidden="false" customHeight="false" outlineLevel="0" collapsed="false">
      <c r="A268" s="16" t="str">
        <f aca="false">IF(Products!A268="","",Products!A268)</f>
        <v/>
      </c>
      <c r="B268" s="16" t="str">
        <f aca="false">IF(Products!A268="","",Products!C268)</f>
        <v/>
      </c>
      <c r="C268" s="8" t="str">
        <f aca="false">IF(A268="","",SUMIFS(InventoryMovements!$E$5:$E$504,InventoryMovements!$C$5:$C$504,A268))</f>
        <v/>
      </c>
      <c r="D268" s="17" t="str">
        <f aca="false">IF(A268="","",Products!J268)</f>
        <v/>
      </c>
      <c r="E268" s="18" t="str">
        <f aca="false">IF(A268="","",IF(C268&lt;=D268,"REORDER","OK"))</f>
        <v/>
      </c>
    </row>
    <row r="269" customFormat="false" ht="15" hidden="false" customHeight="false" outlineLevel="0" collapsed="false">
      <c r="A269" s="16" t="str">
        <f aca="false">IF(Products!A269="","",Products!A269)</f>
        <v/>
      </c>
      <c r="B269" s="16" t="str">
        <f aca="false">IF(Products!A269="","",Products!C269)</f>
        <v/>
      </c>
      <c r="C269" s="8" t="str">
        <f aca="false">IF(A269="","",SUMIFS(InventoryMovements!$E$5:$E$504,InventoryMovements!$C$5:$C$504,A269))</f>
        <v/>
      </c>
      <c r="D269" s="17" t="str">
        <f aca="false">IF(A269="","",Products!J269)</f>
        <v/>
      </c>
      <c r="E269" s="18" t="str">
        <f aca="false">IF(A269="","",IF(C269&lt;=D269,"REORDER","OK"))</f>
        <v/>
      </c>
    </row>
    <row r="270" customFormat="false" ht="15" hidden="false" customHeight="false" outlineLevel="0" collapsed="false">
      <c r="A270" s="16" t="str">
        <f aca="false">IF(Products!A270="","",Products!A270)</f>
        <v/>
      </c>
      <c r="B270" s="16" t="str">
        <f aca="false">IF(Products!A270="","",Products!C270)</f>
        <v/>
      </c>
      <c r="C270" s="8" t="str">
        <f aca="false">IF(A270="","",SUMIFS(InventoryMovements!$E$5:$E$504,InventoryMovements!$C$5:$C$504,A270))</f>
        <v/>
      </c>
      <c r="D270" s="17" t="str">
        <f aca="false">IF(A270="","",Products!J270)</f>
        <v/>
      </c>
      <c r="E270" s="18" t="str">
        <f aca="false">IF(A270="","",IF(C270&lt;=D270,"REORDER","OK"))</f>
        <v/>
      </c>
    </row>
    <row r="271" customFormat="false" ht="15" hidden="false" customHeight="false" outlineLevel="0" collapsed="false">
      <c r="A271" s="16" t="str">
        <f aca="false">IF(Products!A271="","",Products!A271)</f>
        <v/>
      </c>
      <c r="B271" s="16" t="str">
        <f aca="false">IF(Products!A271="","",Products!C271)</f>
        <v/>
      </c>
      <c r="C271" s="8" t="str">
        <f aca="false">IF(A271="","",SUMIFS(InventoryMovements!$E$5:$E$504,InventoryMovements!$C$5:$C$504,A271))</f>
        <v/>
      </c>
      <c r="D271" s="17" t="str">
        <f aca="false">IF(A271="","",Products!J271)</f>
        <v/>
      </c>
      <c r="E271" s="18" t="str">
        <f aca="false">IF(A271="","",IF(C271&lt;=D271,"REORDER","OK"))</f>
        <v/>
      </c>
    </row>
    <row r="272" customFormat="false" ht="15" hidden="false" customHeight="false" outlineLevel="0" collapsed="false">
      <c r="A272" s="16" t="str">
        <f aca="false">IF(Products!A272="","",Products!A272)</f>
        <v/>
      </c>
      <c r="B272" s="16" t="str">
        <f aca="false">IF(Products!A272="","",Products!C272)</f>
        <v/>
      </c>
      <c r="C272" s="8" t="str">
        <f aca="false">IF(A272="","",SUMIFS(InventoryMovements!$E$5:$E$504,InventoryMovements!$C$5:$C$504,A272))</f>
        <v/>
      </c>
      <c r="D272" s="17" t="str">
        <f aca="false">IF(A272="","",Products!J272)</f>
        <v/>
      </c>
      <c r="E272" s="18" t="str">
        <f aca="false">IF(A272="","",IF(C272&lt;=D272,"REORDER","OK"))</f>
        <v/>
      </c>
    </row>
    <row r="273" customFormat="false" ht="15" hidden="false" customHeight="false" outlineLevel="0" collapsed="false">
      <c r="A273" s="16" t="str">
        <f aca="false">IF(Products!A273="","",Products!A273)</f>
        <v/>
      </c>
      <c r="B273" s="16" t="str">
        <f aca="false">IF(Products!A273="","",Products!C273)</f>
        <v/>
      </c>
      <c r="C273" s="8" t="str">
        <f aca="false">IF(A273="","",SUMIFS(InventoryMovements!$E$5:$E$504,InventoryMovements!$C$5:$C$504,A273))</f>
        <v/>
      </c>
      <c r="D273" s="17" t="str">
        <f aca="false">IF(A273="","",Products!J273)</f>
        <v/>
      </c>
      <c r="E273" s="18" t="str">
        <f aca="false">IF(A273="","",IF(C273&lt;=D273,"REORDER","OK"))</f>
        <v/>
      </c>
    </row>
    <row r="274" customFormat="false" ht="15" hidden="false" customHeight="false" outlineLevel="0" collapsed="false">
      <c r="A274" s="16" t="str">
        <f aca="false">IF(Products!A274="","",Products!A274)</f>
        <v/>
      </c>
      <c r="B274" s="16" t="str">
        <f aca="false">IF(Products!A274="","",Products!C274)</f>
        <v/>
      </c>
      <c r="C274" s="8" t="str">
        <f aca="false">IF(A274="","",SUMIFS(InventoryMovements!$E$5:$E$504,InventoryMovements!$C$5:$C$504,A274))</f>
        <v/>
      </c>
      <c r="D274" s="17" t="str">
        <f aca="false">IF(A274="","",Products!J274)</f>
        <v/>
      </c>
      <c r="E274" s="18" t="str">
        <f aca="false">IF(A274="","",IF(C274&lt;=D274,"REORDER","OK"))</f>
        <v/>
      </c>
    </row>
    <row r="275" customFormat="false" ht="15" hidden="false" customHeight="false" outlineLevel="0" collapsed="false">
      <c r="A275" s="16" t="str">
        <f aca="false">IF(Products!A275="","",Products!A275)</f>
        <v/>
      </c>
      <c r="B275" s="16" t="str">
        <f aca="false">IF(Products!A275="","",Products!C275)</f>
        <v/>
      </c>
      <c r="C275" s="8" t="str">
        <f aca="false">IF(A275="","",SUMIFS(InventoryMovements!$E$5:$E$504,InventoryMovements!$C$5:$C$504,A275))</f>
        <v/>
      </c>
      <c r="D275" s="17" t="str">
        <f aca="false">IF(A275="","",Products!J275)</f>
        <v/>
      </c>
      <c r="E275" s="18" t="str">
        <f aca="false">IF(A275="","",IF(C275&lt;=D275,"REORDER","OK"))</f>
        <v/>
      </c>
    </row>
    <row r="276" customFormat="false" ht="15" hidden="false" customHeight="false" outlineLevel="0" collapsed="false">
      <c r="A276" s="16" t="str">
        <f aca="false">IF(Products!A276="","",Products!A276)</f>
        <v/>
      </c>
      <c r="B276" s="16" t="str">
        <f aca="false">IF(Products!A276="","",Products!C276)</f>
        <v/>
      </c>
      <c r="C276" s="8" t="str">
        <f aca="false">IF(A276="","",SUMIFS(InventoryMovements!$E$5:$E$504,InventoryMovements!$C$5:$C$504,A276))</f>
        <v/>
      </c>
      <c r="D276" s="17" t="str">
        <f aca="false">IF(A276="","",Products!J276)</f>
        <v/>
      </c>
      <c r="E276" s="18" t="str">
        <f aca="false">IF(A276="","",IF(C276&lt;=D276,"REORDER","OK"))</f>
        <v/>
      </c>
    </row>
    <row r="277" customFormat="false" ht="15" hidden="false" customHeight="false" outlineLevel="0" collapsed="false">
      <c r="A277" s="16" t="str">
        <f aca="false">IF(Products!A277="","",Products!A277)</f>
        <v/>
      </c>
      <c r="B277" s="16" t="str">
        <f aca="false">IF(Products!A277="","",Products!C277)</f>
        <v/>
      </c>
      <c r="C277" s="8" t="str">
        <f aca="false">IF(A277="","",SUMIFS(InventoryMovements!$E$5:$E$504,InventoryMovements!$C$5:$C$504,A277))</f>
        <v/>
      </c>
      <c r="D277" s="17" t="str">
        <f aca="false">IF(A277="","",Products!J277)</f>
        <v/>
      </c>
      <c r="E277" s="18" t="str">
        <f aca="false">IF(A277="","",IF(C277&lt;=D277,"REORDER","OK"))</f>
        <v/>
      </c>
    </row>
    <row r="278" customFormat="false" ht="15" hidden="false" customHeight="false" outlineLevel="0" collapsed="false">
      <c r="A278" s="16" t="str">
        <f aca="false">IF(Products!A278="","",Products!A278)</f>
        <v/>
      </c>
      <c r="B278" s="16" t="str">
        <f aca="false">IF(Products!A278="","",Products!C278)</f>
        <v/>
      </c>
      <c r="C278" s="8" t="str">
        <f aca="false">IF(A278="","",SUMIFS(InventoryMovements!$E$5:$E$504,InventoryMovements!$C$5:$C$504,A278))</f>
        <v/>
      </c>
      <c r="D278" s="17" t="str">
        <f aca="false">IF(A278="","",Products!J278)</f>
        <v/>
      </c>
      <c r="E278" s="18" t="str">
        <f aca="false">IF(A278="","",IF(C278&lt;=D278,"REORDER","OK"))</f>
        <v/>
      </c>
    </row>
    <row r="279" customFormat="false" ht="15" hidden="false" customHeight="false" outlineLevel="0" collapsed="false">
      <c r="A279" s="16" t="str">
        <f aca="false">IF(Products!A279="","",Products!A279)</f>
        <v/>
      </c>
      <c r="B279" s="16" t="str">
        <f aca="false">IF(Products!A279="","",Products!C279)</f>
        <v/>
      </c>
      <c r="C279" s="8" t="str">
        <f aca="false">IF(A279="","",SUMIFS(InventoryMovements!$E$5:$E$504,InventoryMovements!$C$5:$C$504,A279))</f>
        <v/>
      </c>
      <c r="D279" s="17" t="str">
        <f aca="false">IF(A279="","",Products!J279)</f>
        <v/>
      </c>
      <c r="E279" s="18" t="str">
        <f aca="false">IF(A279="","",IF(C279&lt;=D279,"REORDER","OK"))</f>
        <v/>
      </c>
    </row>
    <row r="280" customFormat="false" ht="15" hidden="false" customHeight="false" outlineLevel="0" collapsed="false">
      <c r="A280" s="16" t="str">
        <f aca="false">IF(Products!A280="","",Products!A280)</f>
        <v/>
      </c>
      <c r="B280" s="16" t="str">
        <f aca="false">IF(Products!A280="","",Products!C280)</f>
        <v/>
      </c>
      <c r="C280" s="8" t="str">
        <f aca="false">IF(A280="","",SUMIFS(InventoryMovements!$E$5:$E$504,InventoryMovements!$C$5:$C$504,A280))</f>
        <v/>
      </c>
      <c r="D280" s="17" t="str">
        <f aca="false">IF(A280="","",Products!J280)</f>
        <v/>
      </c>
      <c r="E280" s="18" t="str">
        <f aca="false">IF(A280="","",IF(C280&lt;=D280,"REORDER","OK"))</f>
        <v/>
      </c>
    </row>
    <row r="281" customFormat="false" ht="15" hidden="false" customHeight="false" outlineLevel="0" collapsed="false">
      <c r="A281" s="16" t="str">
        <f aca="false">IF(Products!A281="","",Products!A281)</f>
        <v/>
      </c>
      <c r="B281" s="16" t="str">
        <f aca="false">IF(Products!A281="","",Products!C281)</f>
        <v/>
      </c>
      <c r="C281" s="8" t="str">
        <f aca="false">IF(A281="","",SUMIFS(InventoryMovements!$E$5:$E$504,InventoryMovements!$C$5:$C$504,A281))</f>
        <v/>
      </c>
      <c r="D281" s="17" t="str">
        <f aca="false">IF(A281="","",Products!J281)</f>
        <v/>
      </c>
      <c r="E281" s="18" t="str">
        <f aca="false">IF(A281="","",IF(C281&lt;=D281,"REORDER","OK"))</f>
        <v/>
      </c>
    </row>
    <row r="282" customFormat="false" ht="15" hidden="false" customHeight="false" outlineLevel="0" collapsed="false">
      <c r="A282" s="16" t="str">
        <f aca="false">IF(Products!A282="","",Products!A282)</f>
        <v/>
      </c>
      <c r="B282" s="16" t="str">
        <f aca="false">IF(Products!A282="","",Products!C282)</f>
        <v/>
      </c>
      <c r="C282" s="8" t="str">
        <f aca="false">IF(A282="","",SUMIFS(InventoryMovements!$E$5:$E$504,InventoryMovements!$C$5:$C$504,A282))</f>
        <v/>
      </c>
      <c r="D282" s="17" t="str">
        <f aca="false">IF(A282="","",Products!J282)</f>
        <v/>
      </c>
      <c r="E282" s="18" t="str">
        <f aca="false">IF(A282="","",IF(C282&lt;=D282,"REORDER","OK"))</f>
        <v/>
      </c>
    </row>
    <row r="283" customFormat="false" ht="15" hidden="false" customHeight="false" outlineLevel="0" collapsed="false">
      <c r="A283" s="16" t="str">
        <f aca="false">IF(Products!A283="","",Products!A283)</f>
        <v/>
      </c>
      <c r="B283" s="16" t="str">
        <f aca="false">IF(Products!A283="","",Products!C283)</f>
        <v/>
      </c>
      <c r="C283" s="8" t="str">
        <f aca="false">IF(A283="","",SUMIFS(InventoryMovements!$E$5:$E$504,InventoryMovements!$C$5:$C$504,A283))</f>
        <v/>
      </c>
      <c r="D283" s="17" t="str">
        <f aca="false">IF(A283="","",Products!J283)</f>
        <v/>
      </c>
      <c r="E283" s="18" t="str">
        <f aca="false">IF(A283="","",IF(C283&lt;=D283,"REORDER","OK"))</f>
        <v/>
      </c>
    </row>
    <row r="284" customFormat="false" ht="15" hidden="false" customHeight="false" outlineLevel="0" collapsed="false">
      <c r="A284" s="16" t="str">
        <f aca="false">IF(Products!A284="","",Products!A284)</f>
        <v/>
      </c>
      <c r="B284" s="16" t="str">
        <f aca="false">IF(Products!A284="","",Products!C284)</f>
        <v/>
      </c>
      <c r="C284" s="8" t="str">
        <f aca="false">IF(A284="","",SUMIFS(InventoryMovements!$E$5:$E$504,InventoryMovements!$C$5:$C$504,A284))</f>
        <v/>
      </c>
      <c r="D284" s="17" t="str">
        <f aca="false">IF(A284="","",Products!J284)</f>
        <v/>
      </c>
      <c r="E284" s="18" t="str">
        <f aca="false">IF(A284="","",IF(C284&lt;=D284,"REORDER","OK"))</f>
        <v/>
      </c>
    </row>
    <row r="285" customFormat="false" ht="15" hidden="false" customHeight="false" outlineLevel="0" collapsed="false">
      <c r="A285" s="16" t="str">
        <f aca="false">IF(Products!A285="","",Products!A285)</f>
        <v/>
      </c>
      <c r="B285" s="16" t="str">
        <f aca="false">IF(Products!A285="","",Products!C285)</f>
        <v/>
      </c>
      <c r="C285" s="8" t="str">
        <f aca="false">IF(A285="","",SUMIFS(InventoryMovements!$E$5:$E$504,InventoryMovements!$C$5:$C$504,A285))</f>
        <v/>
      </c>
      <c r="D285" s="17" t="str">
        <f aca="false">IF(A285="","",Products!J285)</f>
        <v/>
      </c>
      <c r="E285" s="18" t="str">
        <f aca="false">IF(A285="","",IF(C285&lt;=D285,"REORDER","OK"))</f>
        <v/>
      </c>
    </row>
    <row r="286" customFormat="false" ht="15" hidden="false" customHeight="false" outlineLevel="0" collapsed="false">
      <c r="A286" s="16" t="str">
        <f aca="false">IF(Products!A286="","",Products!A286)</f>
        <v/>
      </c>
      <c r="B286" s="16" t="str">
        <f aca="false">IF(Products!A286="","",Products!C286)</f>
        <v/>
      </c>
      <c r="C286" s="8" t="str">
        <f aca="false">IF(A286="","",SUMIFS(InventoryMovements!$E$5:$E$504,InventoryMovements!$C$5:$C$504,A286))</f>
        <v/>
      </c>
      <c r="D286" s="17" t="str">
        <f aca="false">IF(A286="","",Products!J286)</f>
        <v/>
      </c>
      <c r="E286" s="18" t="str">
        <f aca="false">IF(A286="","",IF(C286&lt;=D286,"REORDER","OK"))</f>
        <v/>
      </c>
    </row>
    <row r="287" customFormat="false" ht="15" hidden="false" customHeight="false" outlineLevel="0" collapsed="false">
      <c r="A287" s="16" t="str">
        <f aca="false">IF(Products!A287="","",Products!A287)</f>
        <v/>
      </c>
      <c r="B287" s="16" t="str">
        <f aca="false">IF(Products!A287="","",Products!C287)</f>
        <v/>
      </c>
      <c r="C287" s="8" t="str">
        <f aca="false">IF(A287="","",SUMIFS(InventoryMovements!$E$5:$E$504,InventoryMovements!$C$5:$C$504,A287))</f>
        <v/>
      </c>
      <c r="D287" s="17" t="str">
        <f aca="false">IF(A287="","",Products!J287)</f>
        <v/>
      </c>
      <c r="E287" s="18" t="str">
        <f aca="false">IF(A287="","",IF(C287&lt;=D287,"REORDER","OK"))</f>
        <v/>
      </c>
    </row>
    <row r="288" customFormat="false" ht="15" hidden="false" customHeight="false" outlineLevel="0" collapsed="false">
      <c r="A288" s="16" t="str">
        <f aca="false">IF(Products!A288="","",Products!A288)</f>
        <v/>
      </c>
      <c r="B288" s="16" t="str">
        <f aca="false">IF(Products!A288="","",Products!C288)</f>
        <v/>
      </c>
      <c r="C288" s="8" t="str">
        <f aca="false">IF(A288="","",SUMIFS(InventoryMovements!$E$5:$E$504,InventoryMovements!$C$5:$C$504,A288))</f>
        <v/>
      </c>
      <c r="D288" s="17" t="str">
        <f aca="false">IF(A288="","",Products!J288)</f>
        <v/>
      </c>
      <c r="E288" s="18" t="str">
        <f aca="false">IF(A288="","",IF(C288&lt;=D288,"REORDER","OK"))</f>
        <v/>
      </c>
    </row>
    <row r="289" customFormat="false" ht="15" hidden="false" customHeight="false" outlineLevel="0" collapsed="false">
      <c r="A289" s="16" t="str">
        <f aca="false">IF(Products!A289="","",Products!A289)</f>
        <v/>
      </c>
      <c r="B289" s="16" t="str">
        <f aca="false">IF(Products!A289="","",Products!C289)</f>
        <v/>
      </c>
      <c r="C289" s="8" t="str">
        <f aca="false">IF(A289="","",SUMIFS(InventoryMovements!$E$5:$E$504,InventoryMovements!$C$5:$C$504,A289))</f>
        <v/>
      </c>
      <c r="D289" s="17" t="str">
        <f aca="false">IF(A289="","",Products!J289)</f>
        <v/>
      </c>
      <c r="E289" s="18" t="str">
        <f aca="false">IF(A289="","",IF(C289&lt;=D289,"REORDER","OK"))</f>
        <v/>
      </c>
    </row>
    <row r="290" customFormat="false" ht="15" hidden="false" customHeight="false" outlineLevel="0" collapsed="false">
      <c r="A290" s="16" t="str">
        <f aca="false">IF(Products!A290="","",Products!A290)</f>
        <v/>
      </c>
      <c r="B290" s="16" t="str">
        <f aca="false">IF(Products!A290="","",Products!C290)</f>
        <v/>
      </c>
      <c r="C290" s="8" t="str">
        <f aca="false">IF(A290="","",SUMIFS(InventoryMovements!$E$5:$E$504,InventoryMovements!$C$5:$C$504,A290))</f>
        <v/>
      </c>
      <c r="D290" s="17" t="str">
        <f aca="false">IF(A290="","",Products!J290)</f>
        <v/>
      </c>
      <c r="E290" s="18" t="str">
        <f aca="false">IF(A290="","",IF(C290&lt;=D290,"REORDER","OK"))</f>
        <v/>
      </c>
    </row>
    <row r="291" customFormat="false" ht="15" hidden="false" customHeight="false" outlineLevel="0" collapsed="false">
      <c r="A291" s="16" t="str">
        <f aca="false">IF(Products!A291="","",Products!A291)</f>
        <v/>
      </c>
      <c r="B291" s="16" t="str">
        <f aca="false">IF(Products!A291="","",Products!C291)</f>
        <v/>
      </c>
      <c r="C291" s="8" t="str">
        <f aca="false">IF(A291="","",SUMIFS(InventoryMovements!$E$5:$E$504,InventoryMovements!$C$5:$C$504,A291))</f>
        <v/>
      </c>
      <c r="D291" s="17" t="str">
        <f aca="false">IF(A291="","",Products!J291)</f>
        <v/>
      </c>
      <c r="E291" s="18" t="str">
        <f aca="false">IF(A291="","",IF(C291&lt;=D291,"REORDER","OK"))</f>
        <v/>
      </c>
    </row>
    <row r="292" customFormat="false" ht="15" hidden="false" customHeight="false" outlineLevel="0" collapsed="false">
      <c r="A292" s="16" t="str">
        <f aca="false">IF(Products!A292="","",Products!A292)</f>
        <v/>
      </c>
      <c r="B292" s="16" t="str">
        <f aca="false">IF(Products!A292="","",Products!C292)</f>
        <v/>
      </c>
      <c r="C292" s="8" t="str">
        <f aca="false">IF(A292="","",SUMIFS(InventoryMovements!$E$5:$E$504,InventoryMovements!$C$5:$C$504,A292))</f>
        <v/>
      </c>
      <c r="D292" s="17" t="str">
        <f aca="false">IF(A292="","",Products!J292)</f>
        <v/>
      </c>
      <c r="E292" s="18" t="str">
        <f aca="false">IF(A292="","",IF(C292&lt;=D292,"REORDER","OK"))</f>
        <v/>
      </c>
    </row>
    <row r="293" customFormat="false" ht="15" hidden="false" customHeight="false" outlineLevel="0" collapsed="false">
      <c r="A293" s="16" t="str">
        <f aca="false">IF(Products!A293="","",Products!A293)</f>
        <v/>
      </c>
      <c r="B293" s="16" t="str">
        <f aca="false">IF(Products!A293="","",Products!C293)</f>
        <v/>
      </c>
      <c r="C293" s="8" t="str">
        <f aca="false">IF(A293="","",SUMIFS(InventoryMovements!$E$5:$E$504,InventoryMovements!$C$5:$C$504,A293))</f>
        <v/>
      </c>
      <c r="D293" s="17" t="str">
        <f aca="false">IF(A293="","",Products!J293)</f>
        <v/>
      </c>
      <c r="E293" s="18" t="str">
        <f aca="false">IF(A293="","",IF(C293&lt;=D293,"REORDER","OK"))</f>
        <v/>
      </c>
    </row>
    <row r="294" customFormat="false" ht="15" hidden="false" customHeight="false" outlineLevel="0" collapsed="false">
      <c r="A294" s="16" t="str">
        <f aca="false">IF(Products!A294="","",Products!A294)</f>
        <v/>
      </c>
      <c r="B294" s="16" t="str">
        <f aca="false">IF(Products!A294="","",Products!C294)</f>
        <v/>
      </c>
      <c r="C294" s="8" t="str">
        <f aca="false">IF(A294="","",SUMIFS(InventoryMovements!$E$5:$E$504,InventoryMovements!$C$5:$C$504,A294))</f>
        <v/>
      </c>
      <c r="D294" s="17" t="str">
        <f aca="false">IF(A294="","",Products!J294)</f>
        <v/>
      </c>
      <c r="E294" s="18" t="str">
        <f aca="false">IF(A294="","",IF(C294&lt;=D294,"REORDER","OK"))</f>
        <v/>
      </c>
    </row>
    <row r="295" customFormat="false" ht="15" hidden="false" customHeight="false" outlineLevel="0" collapsed="false">
      <c r="A295" s="16" t="str">
        <f aca="false">IF(Products!A295="","",Products!A295)</f>
        <v/>
      </c>
      <c r="B295" s="16" t="str">
        <f aca="false">IF(Products!A295="","",Products!C295)</f>
        <v/>
      </c>
      <c r="C295" s="8" t="str">
        <f aca="false">IF(A295="","",SUMIFS(InventoryMovements!$E$5:$E$504,InventoryMovements!$C$5:$C$504,A295))</f>
        <v/>
      </c>
      <c r="D295" s="17" t="str">
        <f aca="false">IF(A295="","",Products!J295)</f>
        <v/>
      </c>
      <c r="E295" s="18" t="str">
        <f aca="false">IF(A295="","",IF(C295&lt;=D295,"REORDER","OK"))</f>
        <v/>
      </c>
    </row>
    <row r="296" customFormat="false" ht="15" hidden="false" customHeight="false" outlineLevel="0" collapsed="false">
      <c r="A296" s="16" t="str">
        <f aca="false">IF(Products!A296="","",Products!A296)</f>
        <v/>
      </c>
      <c r="B296" s="16" t="str">
        <f aca="false">IF(Products!A296="","",Products!C296)</f>
        <v/>
      </c>
      <c r="C296" s="8" t="str">
        <f aca="false">IF(A296="","",SUMIFS(InventoryMovements!$E$5:$E$504,InventoryMovements!$C$5:$C$504,A296))</f>
        <v/>
      </c>
      <c r="D296" s="17" t="str">
        <f aca="false">IF(A296="","",Products!J296)</f>
        <v/>
      </c>
      <c r="E296" s="18" t="str">
        <f aca="false">IF(A296="","",IF(C296&lt;=D296,"REORDER","OK"))</f>
        <v/>
      </c>
    </row>
    <row r="297" customFormat="false" ht="15" hidden="false" customHeight="false" outlineLevel="0" collapsed="false">
      <c r="A297" s="16" t="str">
        <f aca="false">IF(Products!A297="","",Products!A297)</f>
        <v/>
      </c>
      <c r="B297" s="16" t="str">
        <f aca="false">IF(Products!A297="","",Products!C297)</f>
        <v/>
      </c>
      <c r="C297" s="8" t="str">
        <f aca="false">IF(A297="","",SUMIFS(InventoryMovements!$E$5:$E$504,InventoryMovements!$C$5:$C$504,A297))</f>
        <v/>
      </c>
      <c r="D297" s="17" t="str">
        <f aca="false">IF(A297="","",Products!J297)</f>
        <v/>
      </c>
      <c r="E297" s="18" t="str">
        <f aca="false">IF(A297="","",IF(C297&lt;=D297,"REORDER","OK"))</f>
        <v/>
      </c>
    </row>
    <row r="298" customFormat="false" ht="15" hidden="false" customHeight="false" outlineLevel="0" collapsed="false">
      <c r="A298" s="16" t="str">
        <f aca="false">IF(Products!A298="","",Products!A298)</f>
        <v/>
      </c>
      <c r="B298" s="16" t="str">
        <f aca="false">IF(Products!A298="","",Products!C298)</f>
        <v/>
      </c>
      <c r="C298" s="8" t="str">
        <f aca="false">IF(A298="","",SUMIFS(InventoryMovements!$E$5:$E$504,InventoryMovements!$C$5:$C$504,A298))</f>
        <v/>
      </c>
      <c r="D298" s="17" t="str">
        <f aca="false">IF(A298="","",Products!J298)</f>
        <v/>
      </c>
      <c r="E298" s="18" t="str">
        <f aca="false">IF(A298="","",IF(C298&lt;=D298,"REORDER","OK"))</f>
        <v/>
      </c>
    </row>
    <row r="299" customFormat="false" ht="15" hidden="false" customHeight="false" outlineLevel="0" collapsed="false">
      <c r="A299" s="16" t="str">
        <f aca="false">IF(Products!A299="","",Products!A299)</f>
        <v/>
      </c>
      <c r="B299" s="16" t="str">
        <f aca="false">IF(Products!A299="","",Products!C299)</f>
        <v/>
      </c>
      <c r="C299" s="8" t="str">
        <f aca="false">IF(A299="","",SUMIFS(InventoryMovements!$E$5:$E$504,InventoryMovements!$C$5:$C$504,A299))</f>
        <v/>
      </c>
      <c r="D299" s="17" t="str">
        <f aca="false">IF(A299="","",Products!J299)</f>
        <v/>
      </c>
      <c r="E299" s="18" t="str">
        <f aca="false">IF(A299="","",IF(C299&lt;=D299,"REORDER","OK"))</f>
        <v/>
      </c>
    </row>
    <row r="300" customFormat="false" ht="15" hidden="false" customHeight="false" outlineLevel="0" collapsed="false">
      <c r="A300" s="16" t="str">
        <f aca="false">IF(Products!A300="","",Products!A300)</f>
        <v/>
      </c>
      <c r="B300" s="16" t="str">
        <f aca="false">IF(Products!A300="","",Products!C300)</f>
        <v/>
      </c>
      <c r="C300" s="8" t="str">
        <f aca="false">IF(A300="","",SUMIFS(InventoryMovements!$E$5:$E$504,InventoryMovements!$C$5:$C$504,A300))</f>
        <v/>
      </c>
      <c r="D300" s="17" t="str">
        <f aca="false">IF(A300="","",Products!J300)</f>
        <v/>
      </c>
      <c r="E300" s="18" t="str">
        <f aca="false">IF(A300="","",IF(C300&lt;=D300,"REORDER","OK"))</f>
        <v/>
      </c>
    </row>
    <row r="301" customFormat="false" ht="15" hidden="false" customHeight="false" outlineLevel="0" collapsed="false">
      <c r="A301" s="16" t="str">
        <f aca="false">IF(Products!A301="","",Products!A301)</f>
        <v/>
      </c>
      <c r="B301" s="16" t="str">
        <f aca="false">IF(Products!A301="","",Products!C301)</f>
        <v/>
      </c>
      <c r="C301" s="8" t="str">
        <f aca="false">IF(A301="","",SUMIFS(InventoryMovements!$E$5:$E$504,InventoryMovements!$C$5:$C$504,A301))</f>
        <v/>
      </c>
      <c r="D301" s="17" t="str">
        <f aca="false">IF(A301="","",Products!J301)</f>
        <v/>
      </c>
      <c r="E301" s="18" t="str">
        <f aca="false">IF(A301="","",IF(C301&lt;=D301,"REORDER","OK"))</f>
        <v/>
      </c>
    </row>
    <row r="302" customFormat="false" ht="15" hidden="false" customHeight="false" outlineLevel="0" collapsed="false">
      <c r="A302" s="16" t="str">
        <f aca="false">IF(Products!A302="","",Products!A302)</f>
        <v/>
      </c>
      <c r="B302" s="16" t="str">
        <f aca="false">IF(Products!A302="","",Products!C302)</f>
        <v/>
      </c>
      <c r="C302" s="8" t="str">
        <f aca="false">IF(A302="","",SUMIFS(InventoryMovements!$E$5:$E$504,InventoryMovements!$C$5:$C$504,A302))</f>
        <v/>
      </c>
      <c r="D302" s="17" t="str">
        <f aca="false">IF(A302="","",Products!J302)</f>
        <v/>
      </c>
      <c r="E302" s="18" t="str">
        <f aca="false">IF(A302="","",IF(C302&lt;=D302,"REORDER","OK"))</f>
        <v/>
      </c>
    </row>
    <row r="303" customFormat="false" ht="15" hidden="false" customHeight="false" outlineLevel="0" collapsed="false">
      <c r="A303" s="16" t="str">
        <f aca="false">IF(Products!A303="","",Products!A303)</f>
        <v/>
      </c>
      <c r="B303" s="16" t="str">
        <f aca="false">IF(Products!A303="","",Products!C303)</f>
        <v/>
      </c>
      <c r="C303" s="8" t="str">
        <f aca="false">IF(A303="","",SUMIFS(InventoryMovements!$E$5:$E$504,InventoryMovements!$C$5:$C$504,A303))</f>
        <v/>
      </c>
      <c r="D303" s="17" t="str">
        <f aca="false">IF(A303="","",Products!J303)</f>
        <v/>
      </c>
      <c r="E303" s="18" t="str">
        <f aca="false">IF(A303="","",IF(C303&lt;=D303,"REORDER","OK"))</f>
        <v/>
      </c>
    </row>
    <row r="304" customFormat="false" ht="15" hidden="false" customHeight="false" outlineLevel="0" collapsed="false">
      <c r="A304" s="16" t="str">
        <f aca="false">IF(Products!A304="","",Products!A304)</f>
        <v/>
      </c>
      <c r="B304" s="16" t="str">
        <f aca="false">IF(Products!A304="","",Products!C304)</f>
        <v/>
      </c>
      <c r="C304" s="8" t="str">
        <f aca="false">IF(A304="","",SUMIFS(InventoryMovements!$E$5:$E$504,InventoryMovements!$C$5:$C$504,A304))</f>
        <v/>
      </c>
      <c r="D304" s="17" t="str">
        <f aca="false">IF(A304="","",Products!J304)</f>
        <v/>
      </c>
      <c r="E304" s="18" t="str">
        <f aca="false">IF(A304="","",IF(C304&lt;=D304,"REORDER","OK"))</f>
        <v/>
      </c>
    </row>
    <row r="305" customFormat="false" ht="15" hidden="false" customHeight="false" outlineLevel="0" collapsed="false">
      <c r="A305" s="16" t="str">
        <f aca="false">IF(Products!A305="","",Products!A305)</f>
        <v/>
      </c>
      <c r="B305" s="16" t="str">
        <f aca="false">IF(Products!A305="","",Products!C305)</f>
        <v/>
      </c>
      <c r="C305" s="8" t="str">
        <f aca="false">IF(A305="","",SUMIFS(InventoryMovements!$E$5:$E$504,InventoryMovements!$C$5:$C$504,A305))</f>
        <v/>
      </c>
      <c r="D305" s="17" t="str">
        <f aca="false">IF(A305="","",Products!J305)</f>
        <v/>
      </c>
      <c r="E305" s="18" t="str">
        <f aca="false">IF(A305="","",IF(C305&lt;=D305,"REORDER","OK"))</f>
        <v/>
      </c>
    </row>
    <row r="306" customFormat="false" ht="15" hidden="false" customHeight="false" outlineLevel="0" collapsed="false">
      <c r="A306" s="16" t="str">
        <f aca="false">IF(Products!A306="","",Products!A306)</f>
        <v/>
      </c>
      <c r="B306" s="16" t="str">
        <f aca="false">IF(Products!A306="","",Products!C306)</f>
        <v/>
      </c>
      <c r="C306" s="8" t="str">
        <f aca="false">IF(A306="","",SUMIFS(InventoryMovements!$E$5:$E$504,InventoryMovements!$C$5:$C$504,A306))</f>
        <v/>
      </c>
      <c r="D306" s="17" t="str">
        <f aca="false">IF(A306="","",Products!J306)</f>
        <v/>
      </c>
      <c r="E306" s="18" t="str">
        <f aca="false">IF(A306="","",IF(C306&lt;=D306,"REORDER","OK"))</f>
        <v/>
      </c>
    </row>
    <row r="307" customFormat="false" ht="15" hidden="false" customHeight="false" outlineLevel="0" collapsed="false">
      <c r="A307" s="16" t="str">
        <f aca="false">IF(Products!A307="","",Products!A307)</f>
        <v/>
      </c>
      <c r="B307" s="16" t="str">
        <f aca="false">IF(Products!A307="","",Products!C307)</f>
        <v/>
      </c>
      <c r="C307" s="8" t="str">
        <f aca="false">IF(A307="","",SUMIFS(InventoryMovements!$E$5:$E$504,InventoryMovements!$C$5:$C$504,A307))</f>
        <v/>
      </c>
      <c r="D307" s="17" t="str">
        <f aca="false">IF(A307="","",Products!J307)</f>
        <v/>
      </c>
      <c r="E307" s="18" t="str">
        <f aca="false">IF(A307="","",IF(C307&lt;=D307,"REORDER","OK"))</f>
        <v/>
      </c>
    </row>
    <row r="308" customFormat="false" ht="15" hidden="false" customHeight="false" outlineLevel="0" collapsed="false">
      <c r="A308" s="16" t="str">
        <f aca="false">IF(Products!A308="","",Products!A308)</f>
        <v/>
      </c>
      <c r="B308" s="16" t="str">
        <f aca="false">IF(Products!A308="","",Products!C308)</f>
        <v/>
      </c>
      <c r="C308" s="8" t="str">
        <f aca="false">IF(A308="","",SUMIFS(InventoryMovements!$E$5:$E$504,InventoryMovements!$C$5:$C$504,A308))</f>
        <v/>
      </c>
      <c r="D308" s="17" t="str">
        <f aca="false">IF(A308="","",Products!J308)</f>
        <v/>
      </c>
      <c r="E308" s="18" t="str">
        <f aca="false">IF(A308="","",IF(C308&lt;=D308,"REORDER","OK"))</f>
        <v/>
      </c>
    </row>
    <row r="309" customFormat="false" ht="15" hidden="false" customHeight="false" outlineLevel="0" collapsed="false">
      <c r="A309" s="16" t="str">
        <f aca="false">IF(Products!A309="","",Products!A309)</f>
        <v/>
      </c>
      <c r="B309" s="16" t="str">
        <f aca="false">IF(Products!A309="","",Products!C309)</f>
        <v/>
      </c>
      <c r="C309" s="8" t="str">
        <f aca="false">IF(A309="","",SUMIFS(InventoryMovements!$E$5:$E$504,InventoryMovements!$C$5:$C$504,A309))</f>
        <v/>
      </c>
      <c r="D309" s="17" t="str">
        <f aca="false">IF(A309="","",Products!J309)</f>
        <v/>
      </c>
      <c r="E309" s="18" t="str">
        <f aca="false">IF(A309="","",IF(C309&lt;=D309,"REORDER","OK"))</f>
        <v/>
      </c>
    </row>
    <row r="310" customFormat="false" ht="15" hidden="false" customHeight="false" outlineLevel="0" collapsed="false">
      <c r="A310" s="16" t="str">
        <f aca="false">IF(Products!A310="","",Products!A310)</f>
        <v/>
      </c>
      <c r="B310" s="16" t="str">
        <f aca="false">IF(Products!A310="","",Products!C310)</f>
        <v/>
      </c>
      <c r="C310" s="8" t="str">
        <f aca="false">IF(A310="","",SUMIFS(InventoryMovements!$E$5:$E$504,InventoryMovements!$C$5:$C$504,A310))</f>
        <v/>
      </c>
      <c r="D310" s="17" t="str">
        <f aca="false">IF(A310="","",Products!J310)</f>
        <v/>
      </c>
      <c r="E310" s="18" t="str">
        <f aca="false">IF(A310="","",IF(C310&lt;=D310,"REORDER","OK"))</f>
        <v/>
      </c>
    </row>
    <row r="311" customFormat="false" ht="15" hidden="false" customHeight="false" outlineLevel="0" collapsed="false">
      <c r="A311" s="16" t="str">
        <f aca="false">IF(Products!A311="","",Products!A311)</f>
        <v/>
      </c>
      <c r="B311" s="16" t="str">
        <f aca="false">IF(Products!A311="","",Products!C311)</f>
        <v/>
      </c>
      <c r="C311" s="8" t="str">
        <f aca="false">IF(A311="","",SUMIFS(InventoryMovements!$E$5:$E$504,InventoryMovements!$C$5:$C$504,A311))</f>
        <v/>
      </c>
      <c r="D311" s="17" t="str">
        <f aca="false">IF(A311="","",Products!J311)</f>
        <v/>
      </c>
      <c r="E311" s="18" t="str">
        <f aca="false">IF(A311="","",IF(C311&lt;=D311,"REORDER","OK"))</f>
        <v/>
      </c>
    </row>
    <row r="312" customFormat="false" ht="15" hidden="false" customHeight="false" outlineLevel="0" collapsed="false">
      <c r="A312" s="16" t="str">
        <f aca="false">IF(Products!A312="","",Products!A312)</f>
        <v/>
      </c>
      <c r="B312" s="16" t="str">
        <f aca="false">IF(Products!A312="","",Products!C312)</f>
        <v/>
      </c>
      <c r="C312" s="8" t="str">
        <f aca="false">IF(A312="","",SUMIFS(InventoryMovements!$E$5:$E$504,InventoryMovements!$C$5:$C$504,A312))</f>
        <v/>
      </c>
      <c r="D312" s="17" t="str">
        <f aca="false">IF(A312="","",Products!J312)</f>
        <v/>
      </c>
      <c r="E312" s="18" t="str">
        <f aca="false">IF(A312="","",IF(C312&lt;=D312,"REORDER","OK"))</f>
        <v/>
      </c>
    </row>
    <row r="313" customFormat="false" ht="15" hidden="false" customHeight="false" outlineLevel="0" collapsed="false">
      <c r="A313" s="16" t="str">
        <f aca="false">IF(Products!A313="","",Products!A313)</f>
        <v/>
      </c>
      <c r="B313" s="16" t="str">
        <f aca="false">IF(Products!A313="","",Products!C313)</f>
        <v/>
      </c>
      <c r="C313" s="8" t="str">
        <f aca="false">IF(A313="","",SUMIFS(InventoryMovements!$E$5:$E$504,InventoryMovements!$C$5:$C$504,A313))</f>
        <v/>
      </c>
      <c r="D313" s="17" t="str">
        <f aca="false">IF(A313="","",Products!J313)</f>
        <v/>
      </c>
      <c r="E313" s="18" t="str">
        <f aca="false">IF(A313="","",IF(C313&lt;=D313,"REORDER","OK"))</f>
        <v/>
      </c>
    </row>
    <row r="314" customFormat="false" ht="15" hidden="false" customHeight="false" outlineLevel="0" collapsed="false">
      <c r="A314" s="16" t="str">
        <f aca="false">IF(Products!A314="","",Products!A314)</f>
        <v/>
      </c>
      <c r="B314" s="16" t="str">
        <f aca="false">IF(Products!A314="","",Products!C314)</f>
        <v/>
      </c>
      <c r="C314" s="8" t="str">
        <f aca="false">IF(A314="","",SUMIFS(InventoryMovements!$E$5:$E$504,InventoryMovements!$C$5:$C$504,A314))</f>
        <v/>
      </c>
      <c r="D314" s="17" t="str">
        <f aca="false">IF(A314="","",Products!J314)</f>
        <v/>
      </c>
      <c r="E314" s="18" t="str">
        <f aca="false">IF(A314="","",IF(C314&lt;=D314,"REORDER","OK"))</f>
        <v/>
      </c>
    </row>
    <row r="315" customFormat="false" ht="15" hidden="false" customHeight="false" outlineLevel="0" collapsed="false">
      <c r="A315" s="16" t="str">
        <f aca="false">IF(Products!A315="","",Products!A315)</f>
        <v/>
      </c>
      <c r="B315" s="16" t="str">
        <f aca="false">IF(Products!A315="","",Products!C315)</f>
        <v/>
      </c>
      <c r="C315" s="8" t="str">
        <f aca="false">IF(A315="","",SUMIFS(InventoryMovements!$E$5:$E$504,InventoryMovements!$C$5:$C$504,A315))</f>
        <v/>
      </c>
      <c r="D315" s="17" t="str">
        <f aca="false">IF(A315="","",Products!J315)</f>
        <v/>
      </c>
      <c r="E315" s="18" t="str">
        <f aca="false">IF(A315="","",IF(C315&lt;=D315,"REORDER","OK"))</f>
        <v/>
      </c>
    </row>
    <row r="316" customFormat="false" ht="15" hidden="false" customHeight="false" outlineLevel="0" collapsed="false">
      <c r="A316" s="16" t="str">
        <f aca="false">IF(Products!A316="","",Products!A316)</f>
        <v/>
      </c>
      <c r="B316" s="16" t="str">
        <f aca="false">IF(Products!A316="","",Products!C316)</f>
        <v/>
      </c>
      <c r="C316" s="8" t="str">
        <f aca="false">IF(A316="","",SUMIFS(InventoryMovements!$E$5:$E$504,InventoryMovements!$C$5:$C$504,A316))</f>
        <v/>
      </c>
      <c r="D316" s="17" t="str">
        <f aca="false">IF(A316="","",Products!J316)</f>
        <v/>
      </c>
      <c r="E316" s="18" t="str">
        <f aca="false">IF(A316="","",IF(C316&lt;=D316,"REORDER","OK"))</f>
        <v/>
      </c>
    </row>
    <row r="317" customFormat="false" ht="15" hidden="false" customHeight="false" outlineLevel="0" collapsed="false">
      <c r="A317" s="16" t="str">
        <f aca="false">IF(Products!A317="","",Products!A317)</f>
        <v/>
      </c>
      <c r="B317" s="16" t="str">
        <f aca="false">IF(Products!A317="","",Products!C317)</f>
        <v/>
      </c>
      <c r="C317" s="8" t="str">
        <f aca="false">IF(A317="","",SUMIFS(InventoryMovements!$E$5:$E$504,InventoryMovements!$C$5:$C$504,A317))</f>
        <v/>
      </c>
      <c r="D317" s="17" t="str">
        <f aca="false">IF(A317="","",Products!J317)</f>
        <v/>
      </c>
      <c r="E317" s="18" t="str">
        <f aca="false">IF(A317="","",IF(C317&lt;=D317,"REORDER","OK"))</f>
        <v/>
      </c>
    </row>
    <row r="318" customFormat="false" ht="15" hidden="false" customHeight="false" outlineLevel="0" collapsed="false">
      <c r="A318" s="16" t="str">
        <f aca="false">IF(Products!A318="","",Products!A318)</f>
        <v/>
      </c>
      <c r="B318" s="16" t="str">
        <f aca="false">IF(Products!A318="","",Products!C318)</f>
        <v/>
      </c>
      <c r="C318" s="8" t="str">
        <f aca="false">IF(A318="","",SUMIFS(InventoryMovements!$E$5:$E$504,InventoryMovements!$C$5:$C$504,A318))</f>
        <v/>
      </c>
      <c r="D318" s="17" t="str">
        <f aca="false">IF(A318="","",Products!J318)</f>
        <v/>
      </c>
      <c r="E318" s="18" t="str">
        <f aca="false">IF(A318="","",IF(C318&lt;=D318,"REORDER","OK"))</f>
        <v/>
      </c>
    </row>
    <row r="319" customFormat="false" ht="15" hidden="false" customHeight="false" outlineLevel="0" collapsed="false">
      <c r="A319" s="16" t="str">
        <f aca="false">IF(Products!A319="","",Products!A319)</f>
        <v/>
      </c>
      <c r="B319" s="16" t="str">
        <f aca="false">IF(Products!A319="","",Products!C319)</f>
        <v/>
      </c>
      <c r="C319" s="8" t="str">
        <f aca="false">IF(A319="","",SUMIFS(InventoryMovements!$E$5:$E$504,InventoryMovements!$C$5:$C$504,A319))</f>
        <v/>
      </c>
      <c r="D319" s="17" t="str">
        <f aca="false">IF(A319="","",Products!J319)</f>
        <v/>
      </c>
      <c r="E319" s="18" t="str">
        <f aca="false">IF(A319="","",IF(C319&lt;=D319,"REORDER","OK"))</f>
        <v/>
      </c>
    </row>
    <row r="320" customFormat="false" ht="15" hidden="false" customHeight="false" outlineLevel="0" collapsed="false">
      <c r="A320" s="16" t="str">
        <f aca="false">IF(Products!A320="","",Products!A320)</f>
        <v/>
      </c>
      <c r="B320" s="16" t="str">
        <f aca="false">IF(Products!A320="","",Products!C320)</f>
        <v/>
      </c>
      <c r="C320" s="8" t="str">
        <f aca="false">IF(A320="","",SUMIFS(InventoryMovements!$E$5:$E$504,InventoryMovements!$C$5:$C$504,A320))</f>
        <v/>
      </c>
      <c r="D320" s="17" t="str">
        <f aca="false">IF(A320="","",Products!J320)</f>
        <v/>
      </c>
      <c r="E320" s="18" t="str">
        <f aca="false">IF(A320="","",IF(C320&lt;=D320,"REORDER","OK"))</f>
        <v/>
      </c>
    </row>
    <row r="321" customFormat="false" ht="15" hidden="false" customHeight="false" outlineLevel="0" collapsed="false">
      <c r="A321" s="16" t="str">
        <f aca="false">IF(Products!A321="","",Products!A321)</f>
        <v/>
      </c>
      <c r="B321" s="16" t="str">
        <f aca="false">IF(Products!A321="","",Products!C321)</f>
        <v/>
      </c>
      <c r="C321" s="8" t="str">
        <f aca="false">IF(A321="","",SUMIFS(InventoryMovements!$E$5:$E$504,InventoryMovements!$C$5:$C$504,A321))</f>
        <v/>
      </c>
      <c r="D321" s="17" t="str">
        <f aca="false">IF(A321="","",Products!J321)</f>
        <v/>
      </c>
      <c r="E321" s="18" t="str">
        <f aca="false">IF(A321="","",IF(C321&lt;=D321,"REORDER","OK"))</f>
        <v/>
      </c>
    </row>
    <row r="322" customFormat="false" ht="15" hidden="false" customHeight="false" outlineLevel="0" collapsed="false">
      <c r="A322" s="16" t="str">
        <f aca="false">IF(Products!A322="","",Products!A322)</f>
        <v/>
      </c>
      <c r="B322" s="16" t="str">
        <f aca="false">IF(Products!A322="","",Products!C322)</f>
        <v/>
      </c>
      <c r="C322" s="8" t="str">
        <f aca="false">IF(A322="","",SUMIFS(InventoryMovements!$E$5:$E$504,InventoryMovements!$C$5:$C$504,A322))</f>
        <v/>
      </c>
      <c r="D322" s="17" t="str">
        <f aca="false">IF(A322="","",Products!J322)</f>
        <v/>
      </c>
      <c r="E322" s="18" t="str">
        <f aca="false">IF(A322="","",IF(C322&lt;=D322,"REORDER","OK"))</f>
        <v/>
      </c>
    </row>
    <row r="323" customFormat="false" ht="15" hidden="false" customHeight="false" outlineLevel="0" collapsed="false">
      <c r="A323" s="16" t="str">
        <f aca="false">IF(Products!A323="","",Products!A323)</f>
        <v/>
      </c>
      <c r="B323" s="16" t="str">
        <f aca="false">IF(Products!A323="","",Products!C323)</f>
        <v/>
      </c>
      <c r="C323" s="8" t="str">
        <f aca="false">IF(A323="","",SUMIFS(InventoryMovements!$E$5:$E$504,InventoryMovements!$C$5:$C$504,A323))</f>
        <v/>
      </c>
      <c r="D323" s="17" t="str">
        <f aca="false">IF(A323="","",Products!J323)</f>
        <v/>
      </c>
      <c r="E323" s="18" t="str">
        <f aca="false">IF(A323="","",IF(C323&lt;=D323,"REORDER","OK"))</f>
        <v/>
      </c>
    </row>
    <row r="324" customFormat="false" ht="15" hidden="false" customHeight="false" outlineLevel="0" collapsed="false">
      <c r="A324" s="16" t="str">
        <f aca="false">IF(Products!A324="","",Products!A324)</f>
        <v/>
      </c>
      <c r="B324" s="16" t="str">
        <f aca="false">IF(Products!A324="","",Products!C324)</f>
        <v/>
      </c>
      <c r="C324" s="8" t="str">
        <f aca="false">IF(A324="","",SUMIFS(InventoryMovements!$E$5:$E$504,InventoryMovements!$C$5:$C$504,A324))</f>
        <v/>
      </c>
      <c r="D324" s="17" t="str">
        <f aca="false">IF(A324="","",Products!J324)</f>
        <v/>
      </c>
      <c r="E324" s="18" t="str">
        <f aca="false">IF(A324="","",IF(C324&lt;=D324,"REORDER","OK"))</f>
        <v/>
      </c>
    </row>
    <row r="325" customFormat="false" ht="15" hidden="false" customHeight="false" outlineLevel="0" collapsed="false">
      <c r="A325" s="16" t="str">
        <f aca="false">IF(Products!A325="","",Products!A325)</f>
        <v/>
      </c>
      <c r="B325" s="16" t="str">
        <f aca="false">IF(Products!A325="","",Products!C325)</f>
        <v/>
      </c>
      <c r="C325" s="8" t="str">
        <f aca="false">IF(A325="","",SUMIFS(InventoryMovements!$E$5:$E$504,InventoryMovements!$C$5:$C$504,A325))</f>
        <v/>
      </c>
      <c r="D325" s="17" t="str">
        <f aca="false">IF(A325="","",Products!J325)</f>
        <v/>
      </c>
      <c r="E325" s="18" t="str">
        <f aca="false">IF(A325="","",IF(C325&lt;=D325,"REORDER","OK"))</f>
        <v/>
      </c>
    </row>
    <row r="326" customFormat="false" ht="15" hidden="false" customHeight="false" outlineLevel="0" collapsed="false">
      <c r="A326" s="16" t="str">
        <f aca="false">IF(Products!A326="","",Products!A326)</f>
        <v/>
      </c>
      <c r="B326" s="16" t="str">
        <f aca="false">IF(Products!A326="","",Products!C326)</f>
        <v/>
      </c>
      <c r="C326" s="8" t="str">
        <f aca="false">IF(A326="","",SUMIFS(InventoryMovements!$E$5:$E$504,InventoryMovements!$C$5:$C$504,A326))</f>
        <v/>
      </c>
      <c r="D326" s="17" t="str">
        <f aca="false">IF(A326="","",Products!J326)</f>
        <v/>
      </c>
      <c r="E326" s="18" t="str">
        <f aca="false">IF(A326="","",IF(C326&lt;=D326,"REORDER","OK"))</f>
        <v/>
      </c>
    </row>
    <row r="327" customFormat="false" ht="15" hidden="false" customHeight="false" outlineLevel="0" collapsed="false">
      <c r="A327" s="16" t="str">
        <f aca="false">IF(Products!A327="","",Products!A327)</f>
        <v/>
      </c>
      <c r="B327" s="16" t="str">
        <f aca="false">IF(Products!A327="","",Products!C327)</f>
        <v/>
      </c>
      <c r="C327" s="8" t="str">
        <f aca="false">IF(A327="","",SUMIFS(InventoryMovements!$E$5:$E$504,InventoryMovements!$C$5:$C$504,A327))</f>
        <v/>
      </c>
      <c r="D327" s="17" t="str">
        <f aca="false">IF(A327="","",Products!J327)</f>
        <v/>
      </c>
      <c r="E327" s="18" t="str">
        <f aca="false">IF(A327="","",IF(C327&lt;=D327,"REORDER","OK"))</f>
        <v/>
      </c>
    </row>
    <row r="328" customFormat="false" ht="15" hidden="false" customHeight="false" outlineLevel="0" collapsed="false">
      <c r="A328" s="16" t="str">
        <f aca="false">IF(Products!A328="","",Products!A328)</f>
        <v/>
      </c>
      <c r="B328" s="16" t="str">
        <f aca="false">IF(Products!A328="","",Products!C328)</f>
        <v/>
      </c>
      <c r="C328" s="8" t="str">
        <f aca="false">IF(A328="","",SUMIFS(InventoryMovements!$E$5:$E$504,InventoryMovements!$C$5:$C$504,A328))</f>
        <v/>
      </c>
      <c r="D328" s="17" t="str">
        <f aca="false">IF(A328="","",Products!J328)</f>
        <v/>
      </c>
      <c r="E328" s="18" t="str">
        <f aca="false">IF(A328="","",IF(C328&lt;=D328,"REORDER","OK"))</f>
        <v/>
      </c>
    </row>
    <row r="329" customFormat="false" ht="15" hidden="false" customHeight="false" outlineLevel="0" collapsed="false">
      <c r="A329" s="16" t="str">
        <f aca="false">IF(Products!A329="","",Products!A329)</f>
        <v/>
      </c>
      <c r="B329" s="16" t="str">
        <f aca="false">IF(Products!A329="","",Products!C329)</f>
        <v/>
      </c>
      <c r="C329" s="8" t="str">
        <f aca="false">IF(A329="","",SUMIFS(InventoryMovements!$E$5:$E$504,InventoryMovements!$C$5:$C$504,A329))</f>
        <v/>
      </c>
      <c r="D329" s="17" t="str">
        <f aca="false">IF(A329="","",Products!J329)</f>
        <v/>
      </c>
      <c r="E329" s="18" t="str">
        <f aca="false">IF(A329="","",IF(C329&lt;=D329,"REORDER","OK"))</f>
        <v/>
      </c>
    </row>
    <row r="330" customFormat="false" ht="15" hidden="false" customHeight="false" outlineLevel="0" collapsed="false">
      <c r="A330" s="16" t="str">
        <f aca="false">IF(Products!A330="","",Products!A330)</f>
        <v/>
      </c>
      <c r="B330" s="16" t="str">
        <f aca="false">IF(Products!A330="","",Products!C330)</f>
        <v/>
      </c>
      <c r="C330" s="8" t="str">
        <f aca="false">IF(A330="","",SUMIFS(InventoryMovements!$E$5:$E$504,InventoryMovements!$C$5:$C$504,A330))</f>
        <v/>
      </c>
      <c r="D330" s="17" t="str">
        <f aca="false">IF(A330="","",Products!J330)</f>
        <v/>
      </c>
      <c r="E330" s="18" t="str">
        <f aca="false">IF(A330="","",IF(C330&lt;=D330,"REORDER","OK"))</f>
        <v/>
      </c>
    </row>
    <row r="331" customFormat="false" ht="15" hidden="false" customHeight="false" outlineLevel="0" collapsed="false">
      <c r="A331" s="16" t="str">
        <f aca="false">IF(Products!A331="","",Products!A331)</f>
        <v/>
      </c>
      <c r="B331" s="16" t="str">
        <f aca="false">IF(Products!A331="","",Products!C331)</f>
        <v/>
      </c>
      <c r="C331" s="8" t="str">
        <f aca="false">IF(A331="","",SUMIFS(InventoryMovements!$E$5:$E$504,InventoryMovements!$C$5:$C$504,A331))</f>
        <v/>
      </c>
      <c r="D331" s="17" t="str">
        <f aca="false">IF(A331="","",Products!J331)</f>
        <v/>
      </c>
      <c r="E331" s="18" t="str">
        <f aca="false">IF(A331="","",IF(C331&lt;=D331,"REORDER","OK"))</f>
        <v/>
      </c>
    </row>
    <row r="332" customFormat="false" ht="15" hidden="false" customHeight="false" outlineLevel="0" collapsed="false">
      <c r="A332" s="16" t="str">
        <f aca="false">IF(Products!A332="","",Products!A332)</f>
        <v/>
      </c>
      <c r="B332" s="16" t="str">
        <f aca="false">IF(Products!A332="","",Products!C332)</f>
        <v/>
      </c>
      <c r="C332" s="8" t="str">
        <f aca="false">IF(A332="","",SUMIFS(InventoryMovements!$E$5:$E$504,InventoryMovements!$C$5:$C$504,A332))</f>
        <v/>
      </c>
      <c r="D332" s="17" t="str">
        <f aca="false">IF(A332="","",Products!J332)</f>
        <v/>
      </c>
      <c r="E332" s="18" t="str">
        <f aca="false">IF(A332="","",IF(C332&lt;=D332,"REORDER","OK"))</f>
        <v/>
      </c>
    </row>
    <row r="333" customFormat="false" ht="15" hidden="false" customHeight="false" outlineLevel="0" collapsed="false">
      <c r="A333" s="16" t="str">
        <f aca="false">IF(Products!A333="","",Products!A333)</f>
        <v/>
      </c>
      <c r="B333" s="16" t="str">
        <f aca="false">IF(Products!A333="","",Products!C333)</f>
        <v/>
      </c>
      <c r="C333" s="8" t="str">
        <f aca="false">IF(A333="","",SUMIFS(InventoryMovements!$E$5:$E$504,InventoryMovements!$C$5:$C$504,A333))</f>
        <v/>
      </c>
      <c r="D333" s="17" t="str">
        <f aca="false">IF(A333="","",Products!J333)</f>
        <v/>
      </c>
      <c r="E333" s="18" t="str">
        <f aca="false">IF(A333="","",IF(C333&lt;=D333,"REORDER","OK"))</f>
        <v/>
      </c>
    </row>
    <row r="334" customFormat="false" ht="15" hidden="false" customHeight="false" outlineLevel="0" collapsed="false">
      <c r="A334" s="16" t="str">
        <f aca="false">IF(Products!A334="","",Products!A334)</f>
        <v/>
      </c>
      <c r="B334" s="16" t="str">
        <f aca="false">IF(Products!A334="","",Products!C334)</f>
        <v/>
      </c>
      <c r="C334" s="8" t="str">
        <f aca="false">IF(A334="","",SUMIFS(InventoryMovements!$E$5:$E$504,InventoryMovements!$C$5:$C$504,A334))</f>
        <v/>
      </c>
      <c r="D334" s="17" t="str">
        <f aca="false">IF(A334="","",Products!J334)</f>
        <v/>
      </c>
      <c r="E334" s="18" t="str">
        <f aca="false">IF(A334="","",IF(C334&lt;=D334,"REORDER","OK"))</f>
        <v/>
      </c>
    </row>
    <row r="335" customFormat="false" ht="15" hidden="false" customHeight="false" outlineLevel="0" collapsed="false">
      <c r="A335" s="16" t="str">
        <f aca="false">IF(Products!A335="","",Products!A335)</f>
        <v/>
      </c>
      <c r="B335" s="16" t="str">
        <f aca="false">IF(Products!A335="","",Products!C335)</f>
        <v/>
      </c>
      <c r="C335" s="8" t="str">
        <f aca="false">IF(A335="","",SUMIFS(InventoryMovements!$E$5:$E$504,InventoryMovements!$C$5:$C$504,A335))</f>
        <v/>
      </c>
      <c r="D335" s="17" t="str">
        <f aca="false">IF(A335="","",Products!J335)</f>
        <v/>
      </c>
      <c r="E335" s="18" t="str">
        <f aca="false">IF(A335="","",IF(C335&lt;=D335,"REORDER","OK"))</f>
        <v/>
      </c>
    </row>
    <row r="336" customFormat="false" ht="15" hidden="false" customHeight="false" outlineLevel="0" collapsed="false">
      <c r="A336" s="16" t="str">
        <f aca="false">IF(Products!A336="","",Products!A336)</f>
        <v/>
      </c>
      <c r="B336" s="16" t="str">
        <f aca="false">IF(Products!A336="","",Products!C336)</f>
        <v/>
      </c>
      <c r="C336" s="8" t="str">
        <f aca="false">IF(A336="","",SUMIFS(InventoryMovements!$E$5:$E$504,InventoryMovements!$C$5:$C$504,A336))</f>
        <v/>
      </c>
      <c r="D336" s="17" t="str">
        <f aca="false">IF(A336="","",Products!J336)</f>
        <v/>
      </c>
      <c r="E336" s="18" t="str">
        <f aca="false">IF(A336="","",IF(C336&lt;=D336,"REORDER","OK"))</f>
        <v/>
      </c>
    </row>
    <row r="337" customFormat="false" ht="15" hidden="false" customHeight="false" outlineLevel="0" collapsed="false">
      <c r="A337" s="16" t="str">
        <f aca="false">IF(Products!A337="","",Products!A337)</f>
        <v/>
      </c>
      <c r="B337" s="16" t="str">
        <f aca="false">IF(Products!A337="","",Products!C337)</f>
        <v/>
      </c>
      <c r="C337" s="8" t="str">
        <f aca="false">IF(A337="","",SUMIFS(InventoryMovements!$E$5:$E$504,InventoryMovements!$C$5:$C$504,A337))</f>
        <v/>
      </c>
      <c r="D337" s="17" t="str">
        <f aca="false">IF(A337="","",Products!J337)</f>
        <v/>
      </c>
      <c r="E337" s="18" t="str">
        <f aca="false">IF(A337="","",IF(C337&lt;=D337,"REORDER","OK"))</f>
        <v/>
      </c>
    </row>
    <row r="338" customFormat="false" ht="15" hidden="false" customHeight="false" outlineLevel="0" collapsed="false">
      <c r="A338" s="16" t="str">
        <f aca="false">IF(Products!A338="","",Products!A338)</f>
        <v/>
      </c>
      <c r="B338" s="16" t="str">
        <f aca="false">IF(Products!A338="","",Products!C338)</f>
        <v/>
      </c>
      <c r="C338" s="8" t="str">
        <f aca="false">IF(A338="","",SUMIFS(InventoryMovements!$E$5:$E$504,InventoryMovements!$C$5:$C$504,A338))</f>
        <v/>
      </c>
      <c r="D338" s="17" t="str">
        <f aca="false">IF(A338="","",Products!J338)</f>
        <v/>
      </c>
      <c r="E338" s="18" t="str">
        <f aca="false">IF(A338="","",IF(C338&lt;=D338,"REORDER","OK"))</f>
        <v/>
      </c>
    </row>
    <row r="339" customFormat="false" ht="15" hidden="false" customHeight="false" outlineLevel="0" collapsed="false">
      <c r="A339" s="16" t="str">
        <f aca="false">IF(Products!A339="","",Products!A339)</f>
        <v/>
      </c>
      <c r="B339" s="16" t="str">
        <f aca="false">IF(Products!A339="","",Products!C339)</f>
        <v/>
      </c>
      <c r="C339" s="8" t="str">
        <f aca="false">IF(A339="","",SUMIFS(InventoryMovements!$E$5:$E$504,InventoryMovements!$C$5:$C$504,A339))</f>
        <v/>
      </c>
      <c r="D339" s="17" t="str">
        <f aca="false">IF(A339="","",Products!J339)</f>
        <v/>
      </c>
      <c r="E339" s="18" t="str">
        <f aca="false">IF(A339="","",IF(C339&lt;=D339,"REORDER","OK"))</f>
        <v/>
      </c>
    </row>
    <row r="340" customFormat="false" ht="15" hidden="false" customHeight="false" outlineLevel="0" collapsed="false">
      <c r="A340" s="16" t="str">
        <f aca="false">IF(Products!A340="","",Products!A340)</f>
        <v/>
      </c>
      <c r="B340" s="16" t="str">
        <f aca="false">IF(Products!A340="","",Products!C340)</f>
        <v/>
      </c>
      <c r="C340" s="8" t="str">
        <f aca="false">IF(A340="","",SUMIFS(InventoryMovements!$E$5:$E$504,InventoryMovements!$C$5:$C$504,A340))</f>
        <v/>
      </c>
      <c r="D340" s="17" t="str">
        <f aca="false">IF(A340="","",Products!J340)</f>
        <v/>
      </c>
      <c r="E340" s="18" t="str">
        <f aca="false">IF(A340="","",IF(C340&lt;=D340,"REORDER","OK"))</f>
        <v/>
      </c>
    </row>
    <row r="341" customFormat="false" ht="15" hidden="false" customHeight="false" outlineLevel="0" collapsed="false">
      <c r="A341" s="16" t="str">
        <f aca="false">IF(Products!A341="","",Products!A341)</f>
        <v/>
      </c>
      <c r="B341" s="16" t="str">
        <f aca="false">IF(Products!A341="","",Products!C341)</f>
        <v/>
      </c>
      <c r="C341" s="8" t="str">
        <f aca="false">IF(A341="","",SUMIFS(InventoryMovements!$E$5:$E$504,InventoryMovements!$C$5:$C$504,A341))</f>
        <v/>
      </c>
      <c r="D341" s="17" t="str">
        <f aca="false">IF(A341="","",Products!J341)</f>
        <v/>
      </c>
      <c r="E341" s="18" t="str">
        <f aca="false">IF(A341="","",IF(C341&lt;=D341,"REORDER","OK"))</f>
        <v/>
      </c>
    </row>
    <row r="342" customFormat="false" ht="15" hidden="false" customHeight="false" outlineLevel="0" collapsed="false">
      <c r="A342" s="16" t="str">
        <f aca="false">IF(Products!A342="","",Products!A342)</f>
        <v/>
      </c>
      <c r="B342" s="16" t="str">
        <f aca="false">IF(Products!A342="","",Products!C342)</f>
        <v/>
      </c>
      <c r="C342" s="8" t="str">
        <f aca="false">IF(A342="","",SUMIFS(InventoryMovements!$E$5:$E$504,InventoryMovements!$C$5:$C$504,A342))</f>
        <v/>
      </c>
      <c r="D342" s="17" t="str">
        <f aca="false">IF(A342="","",Products!J342)</f>
        <v/>
      </c>
      <c r="E342" s="18" t="str">
        <f aca="false">IF(A342="","",IF(C342&lt;=D342,"REORDER","OK"))</f>
        <v/>
      </c>
    </row>
    <row r="343" customFormat="false" ht="15" hidden="false" customHeight="false" outlineLevel="0" collapsed="false">
      <c r="A343" s="16" t="str">
        <f aca="false">IF(Products!A343="","",Products!A343)</f>
        <v/>
      </c>
      <c r="B343" s="16" t="str">
        <f aca="false">IF(Products!A343="","",Products!C343)</f>
        <v/>
      </c>
      <c r="C343" s="8" t="str">
        <f aca="false">IF(A343="","",SUMIFS(InventoryMovements!$E$5:$E$504,InventoryMovements!$C$5:$C$504,A343))</f>
        <v/>
      </c>
      <c r="D343" s="17" t="str">
        <f aca="false">IF(A343="","",Products!J343)</f>
        <v/>
      </c>
      <c r="E343" s="18" t="str">
        <f aca="false">IF(A343="","",IF(C343&lt;=D343,"REORDER","OK"))</f>
        <v/>
      </c>
    </row>
    <row r="344" customFormat="false" ht="15" hidden="false" customHeight="false" outlineLevel="0" collapsed="false">
      <c r="A344" s="16" t="str">
        <f aca="false">IF(Products!A344="","",Products!A344)</f>
        <v/>
      </c>
      <c r="B344" s="16" t="str">
        <f aca="false">IF(Products!A344="","",Products!C344)</f>
        <v/>
      </c>
      <c r="C344" s="8" t="str">
        <f aca="false">IF(A344="","",SUMIFS(InventoryMovements!$E$5:$E$504,InventoryMovements!$C$5:$C$504,A344))</f>
        <v/>
      </c>
      <c r="D344" s="17" t="str">
        <f aca="false">IF(A344="","",Products!J344)</f>
        <v/>
      </c>
      <c r="E344" s="18" t="str">
        <f aca="false">IF(A344="","",IF(C344&lt;=D344,"REORDER","OK"))</f>
        <v/>
      </c>
    </row>
    <row r="345" customFormat="false" ht="15" hidden="false" customHeight="false" outlineLevel="0" collapsed="false">
      <c r="A345" s="16" t="str">
        <f aca="false">IF(Products!A345="","",Products!A345)</f>
        <v/>
      </c>
      <c r="B345" s="16" t="str">
        <f aca="false">IF(Products!A345="","",Products!C345)</f>
        <v/>
      </c>
      <c r="C345" s="8" t="str">
        <f aca="false">IF(A345="","",SUMIFS(InventoryMovements!$E$5:$E$504,InventoryMovements!$C$5:$C$504,A345))</f>
        <v/>
      </c>
      <c r="D345" s="17" t="str">
        <f aca="false">IF(A345="","",Products!J345)</f>
        <v/>
      </c>
      <c r="E345" s="18" t="str">
        <f aca="false">IF(A345="","",IF(C345&lt;=D345,"REORDER","OK"))</f>
        <v/>
      </c>
    </row>
    <row r="346" customFormat="false" ht="15" hidden="false" customHeight="false" outlineLevel="0" collapsed="false">
      <c r="A346" s="16" t="str">
        <f aca="false">IF(Products!A346="","",Products!A346)</f>
        <v/>
      </c>
      <c r="B346" s="16" t="str">
        <f aca="false">IF(Products!A346="","",Products!C346)</f>
        <v/>
      </c>
      <c r="C346" s="8" t="str">
        <f aca="false">IF(A346="","",SUMIFS(InventoryMovements!$E$5:$E$504,InventoryMovements!$C$5:$C$504,A346))</f>
        <v/>
      </c>
      <c r="D346" s="17" t="str">
        <f aca="false">IF(A346="","",Products!J346)</f>
        <v/>
      </c>
      <c r="E346" s="18" t="str">
        <f aca="false">IF(A346="","",IF(C346&lt;=D346,"REORDER","OK"))</f>
        <v/>
      </c>
    </row>
    <row r="347" customFormat="false" ht="15" hidden="false" customHeight="false" outlineLevel="0" collapsed="false">
      <c r="A347" s="16" t="str">
        <f aca="false">IF(Products!A347="","",Products!A347)</f>
        <v/>
      </c>
      <c r="B347" s="16" t="str">
        <f aca="false">IF(Products!A347="","",Products!C347)</f>
        <v/>
      </c>
      <c r="C347" s="8" t="str">
        <f aca="false">IF(A347="","",SUMIFS(InventoryMovements!$E$5:$E$504,InventoryMovements!$C$5:$C$504,A347))</f>
        <v/>
      </c>
      <c r="D347" s="17" t="str">
        <f aca="false">IF(A347="","",Products!J347)</f>
        <v/>
      </c>
      <c r="E347" s="18" t="str">
        <f aca="false">IF(A347="","",IF(C347&lt;=D347,"REORDER","OK"))</f>
        <v/>
      </c>
    </row>
    <row r="348" customFormat="false" ht="15" hidden="false" customHeight="false" outlineLevel="0" collapsed="false">
      <c r="A348" s="16" t="str">
        <f aca="false">IF(Products!A348="","",Products!A348)</f>
        <v/>
      </c>
      <c r="B348" s="16" t="str">
        <f aca="false">IF(Products!A348="","",Products!C348)</f>
        <v/>
      </c>
      <c r="C348" s="8" t="str">
        <f aca="false">IF(A348="","",SUMIFS(InventoryMovements!$E$5:$E$504,InventoryMovements!$C$5:$C$504,A348))</f>
        <v/>
      </c>
      <c r="D348" s="17" t="str">
        <f aca="false">IF(A348="","",Products!J348)</f>
        <v/>
      </c>
      <c r="E348" s="18" t="str">
        <f aca="false">IF(A348="","",IF(C348&lt;=D348,"REORDER","OK"))</f>
        <v/>
      </c>
    </row>
    <row r="349" customFormat="false" ht="15" hidden="false" customHeight="false" outlineLevel="0" collapsed="false">
      <c r="A349" s="16" t="str">
        <f aca="false">IF(Products!A349="","",Products!A349)</f>
        <v/>
      </c>
      <c r="B349" s="16" t="str">
        <f aca="false">IF(Products!A349="","",Products!C349)</f>
        <v/>
      </c>
      <c r="C349" s="8" t="str">
        <f aca="false">IF(A349="","",SUMIFS(InventoryMovements!$E$5:$E$504,InventoryMovements!$C$5:$C$504,A349))</f>
        <v/>
      </c>
      <c r="D349" s="17" t="str">
        <f aca="false">IF(A349="","",Products!J349)</f>
        <v/>
      </c>
      <c r="E349" s="18" t="str">
        <f aca="false">IF(A349="","",IF(C349&lt;=D349,"REORDER","OK"))</f>
        <v/>
      </c>
    </row>
    <row r="350" customFormat="false" ht="15" hidden="false" customHeight="false" outlineLevel="0" collapsed="false">
      <c r="A350" s="16" t="str">
        <f aca="false">IF(Products!A350="","",Products!A350)</f>
        <v/>
      </c>
      <c r="B350" s="16" t="str">
        <f aca="false">IF(Products!A350="","",Products!C350)</f>
        <v/>
      </c>
      <c r="C350" s="8" t="str">
        <f aca="false">IF(A350="","",SUMIFS(InventoryMovements!$E$5:$E$504,InventoryMovements!$C$5:$C$504,A350))</f>
        <v/>
      </c>
      <c r="D350" s="17" t="str">
        <f aca="false">IF(A350="","",Products!J350)</f>
        <v/>
      </c>
      <c r="E350" s="18" t="str">
        <f aca="false">IF(A350="","",IF(C350&lt;=D350,"REORDER","OK"))</f>
        <v/>
      </c>
    </row>
    <row r="351" customFormat="false" ht="15" hidden="false" customHeight="false" outlineLevel="0" collapsed="false">
      <c r="A351" s="16" t="str">
        <f aca="false">IF(Products!A351="","",Products!A351)</f>
        <v/>
      </c>
      <c r="B351" s="16" t="str">
        <f aca="false">IF(Products!A351="","",Products!C351)</f>
        <v/>
      </c>
      <c r="C351" s="8" t="str">
        <f aca="false">IF(A351="","",SUMIFS(InventoryMovements!$E$5:$E$504,InventoryMovements!$C$5:$C$504,A351))</f>
        <v/>
      </c>
      <c r="D351" s="17" t="str">
        <f aca="false">IF(A351="","",Products!J351)</f>
        <v/>
      </c>
      <c r="E351" s="18" t="str">
        <f aca="false">IF(A351="","",IF(C351&lt;=D351,"REORDER","OK"))</f>
        <v/>
      </c>
    </row>
    <row r="352" customFormat="false" ht="15" hidden="false" customHeight="false" outlineLevel="0" collapsed="false">
      <c r="A352" s="16" t="str">
        <f aca="false">IF(Products!A352="","",Products!A352)</f>
        <v/>
      </c>
      <c r="B352" s="16" t="str">
        <f aca="false">IF(Products!A352="","",Products!C352)</f>
        <v/>
      </c>
      <c r="C352" s="8" t="str">
        <f aca="false">IF(A352="","",SUMIFS(InventoryMovements!$E$5:$E$504,InventoryMovements!$C$5:$C$504,A352))</f>
        <v/>
      </c>
      <c r="D352" s="17" t="str">
        <f aca="false">IF(A352="","",Products!J352)</f>
        <v/>
      </c>
      <c r="E352" s="18" t="str">
        <f aca="false">IF(A352="","",IF(C352&lt;=D352,"REORDER","OK"))</f>
        <v/>
      </c>
    </row>
    <row r="353" customFormat="false" ht="15" hidden="false" customHeight="false" outlineLevel="0" collapsed="false">
      <c r="A353" s="16" t="str">
        <f aca="false">IF(Products!A353="","",Products!A353)</f>
        <v/>
      </c>
      <c r="B353" s="16" t="str">
        <f aca="false">IF(Products!A353="","",Products!C353)</f>
        <v/>
      </c>
      <c r="C353" s="8" t="str">
        <f aca="false">IF(A353="","",SUMIFS(InventoryMovements!$E$5:$E$504,InventoryMovements!$C$5:$C$504,A353))</f>
        <v/>
      </c>
      <c r="D353" s="17" t="str">
        <f aca="false">IF(A353="","",Products!J353)</f>
        <v/>
      </c>
      <c r="E353" s="18" t="str">
        <f aca="false">IF(A353="","",IF(C353&lt;=D353,"REORDER","OK"))</f>
        <v/>
      </c>
    </row>
    <row r="354" customFormat="false" ht="15" hidden="false" customHeight="false" outlineLevel="0" collapsed="false">
      <c r="A354" s="16" t="str">
        <f aca="false">IF(Products!A354="","",Products!A354)</f>
        <v/>
      </c>
      <c r="B354" s="16" t="str">
        <f aca="false">IF(Products!A354="","",Products!C354)</f>
        <v/>
      </c>
      <c r="C354" s="8" t="str">
        <f aca="false">IF(A354="","",SUMIFS(InventoryMovements!$E$5:$E$504,InventoryMovements!$C$5:$C$504,A354))</f>
        <v/>
      </c>
      <c r="D354" s="17" t="str">
        <f aca="false">IF(A354="","",Products!J354)</f>
        <v/>
      </c>
      <c r="E354" s="18" t="str">
        <f aca="false">IF(A354="","",IF(C354&lt;=D354,"REORDER","OK"))</f>
        <v/>
      </c>
    </row>
    <row r="355" customFormat="false" ht="15" hidden="false" customHeight="false" outlineLevel="0" collapsed="false">
      <c r="A355" s="16" t="str">
        <f aca="false">IF(Products!A355="","",Products!A355)</f>
        <v/>
      </c>
      <c r="B355" s="16" t="str">
        <f aca="false">IF(Products!A355="","",Products!C355)</f>
        <v/>
      </c>
      <c r="C355" s="8" t="str">
        <f aca="false">IF(A355="","",SUMIFS(InventoryMovements!$E$5:$E$504,InventoryMovements!$C$5:$C$504,A355))</f>
        <v/>
      </c>
      <c r="D355" s="17" t="str">
        <f aca="false">IF(A355="","",Products!J355)</f>
        <v/>
      </c>
      <c r="E355" s="18" t="str">
        <f aca="false">IF(A355="","",IF(C355&lt;=D355,"REORDER","OK"))</f>
        <v/>
      </c>
    </row>
    <row r="356" customFormat="false" ht="15" hidden="false" customHeight="false" outlineLevel="0" collapsed="false">
      <c r="A356" s="16" t="str">
        <f aca="false">IF(Products!A356="","",Products!A356)</f>
        <v/>
      </c>
      <c r="B356" s="16" t="str">
        <f aca="false">IF(Products!A356="","",Products!C356)</f>
        <v/>
      </c>
      <c r="C356" s="8" t="str">
        <f aca="false">IF(A356="","",SUMIFS(InventoryMovements!$E$5:$E$504,InventoryMovements!$C$5:$C$504,A356))</f>
        <v/>
      </c>
      <c r="D356" s="17" t="str">
        <f aca="false">IF(A356="","",Products!J356)</f>
        <v/>
      </c>
      <c r="E356" s="18" t="str">
        <f aca="false">IF(A356="","",IF(C356&lt;=D356,"REORDER","OK"))</f>
        <v/>
      </c>
    </row>
    <row r="357" customFormat="false" ht="15" hidden="false" customHeight="false" outlineLevel="0" collapsed="false">
      <c r="A357" s="16" t="str">
        <f aca="false">IF(Products!A357="","",Products!A357)</f>
        <v/>
      </c>
      <c r="B357" s="16" t="str">
        <f aca="false">IF(Products!A357="","",Products!C357)</f>
        <v/>
      </c>
      <c r="C357" s="8" t="str">
        <f aca="false">IF(A357="","",SUMIFS(InventoryMovements!$E$5:$E$504,InventoryMovements!$C$5:$C$504,A357))</f>
        <v/>
      </c>
      <c r="D357" s="17" t="str">
        <f aca="false">IF(A357="","",Products!J357)</f>
        <v/>
      </c>
      <c r="E357" s="18" t="str">
        <f aca="false">IF(A357="","",IF(C357&lt;=D357,"REORDER","OK"))</f>
        <v/>
      </c>
    </row>
    <row r="358" customFormat="false" ht="15" hidden="false" customHeight="false" outlineLevel="0" collapsed="false">
      <c r="A358" s="16" t="str">
        <f aca="false">IF(Products!A358="","",Products!A358)</f>
        <v/>
      </c>
      <c r="B358" s="16" t="str">
        <f aca="false">IF(Products!A358="","",Products!C358)</f>
        <v/>
      </c>
      <c r="C358" s="8" t="str">
        <f aca="false">IF(A358="","",SUMIFS(InventoryMovements!$E$5:$E$504,InventoryMovements!$C$5:$C$504,A358))</f>
        <v/>
      </c>
      <c r="D358" s="17" t="str">
        <f aca="false">IF(A358="","",Products!J358)</f>
        <v/>
      </c>
      <c r="E358" s="18" t="str">
        <f aca="false">IF(A358="","",IF(C358&lt;=D358,"REORDER","OK"))</f>
        <v/>
      </c>
    </row>
    <row r="359" customFormat="false" ht="15" hidden="false" customHeight="false" outlineLevel="0" collapsed="false">
      <c r="A359" s="16" t="str">
        <f aca="false">IF(Products!A359="","",Products!A359)</f>
        <v/>
      </c>
      <c r="B359" s="16" t="str">
        <f aca="false">IF(Products!A359="","",Products!C359)</f>
        <v/>
      </c>
      <c r="C359" s="8" t="str">
        <f aca="false">IF(A359="","",SUMIFS(InventoryMovements!$E$5:$E$504,InventoryMovements!$C$5:$C$504,A359))</f>
        <v/>
      </c>
      <c r="D359" s="17" t="str">
        <f aca="false">IF(A359="","",Products!J359)</f>
        <v/>
      </c>
      <c r="E359" s="18" t="str">
        <f aca="false">IF(A359="","",IF(C359&lt;=D359,"REORDER","OK"))</f>
        <v/>
      </c>
    </row>
    <row r="360" customFormat="false" ht="15" hidden="false" customHeight="false" outlineLevel="0" collapsed="false">
      <c r="A360" s="16" t="str">
        <f aca="false">IF(Products!A360="","",Products!A360)</f>
        <v/>
      </c>
      <c r="B360" s="16" t="str">
        <f aca="false">IF(Products!A360="","",Products!C360)</f>
        <v/>
      </c>
      <c r="C360" s="8" t="str">
        <f aca="false">IF(A360="","",SUMIFS(InventoryMovements!$E$5:$E$504,InventoryMovements!$C$5:$C$504,A360))</f>
        <v/>
      </c>
      <c r="D360" s="17" t="str">
        <f aca="false">IF(A360="","",Products!J360)</f>
        <v/>
      </c>
      <c r="E360" s="18" t="str">
        <f aca="false">IF(A360="","",IF(C360&lt;=D360,"REORDER","OK"))</f>
        <v/>
      </c>
    </row>
    <row r="361" customFormat="false" ht="15" hidden="false" customHeight="false" outlineLevel="0" collapsed="false">
      <c r="A361" s="16" t="str">
        <f aca="false">IF(Products!A361="","",Products!A361)</f>
        <v/>
      </c>
      <c r="B361" s="16" t="str">
        <f aca="false">IF(Products!A361="","",Products!C361)</f>
        <v/>
      </c>
      <c r="C361" s="8" t="str">
        <f aca="false">IF(A361="","",SUMIFS(InventoryMovements!$E$5:$E$504,InventoryMovements!$C$5:$C$504,A361))</f>
        <v/>
      </c>
      <c r="D361" s="17" t="str">
        <f aca="false">IF(A361="","",Products!J361)</f>
        <v/>
      </c>
      <c r="E361" s="18" t="str">
        <f aca="false">IF(A361="","",IF(C361&lt;=D361,"REORDER","OK"))</f>
        <v/>
      </c>
    </row>
    <row r="362" customFormat="false" ht="15" hidden="false" customHeight="false" outlineLevel="0" collapsed="false">
      <c r="A362" s="16" t="str">
        <f aca="false">IF(Products!A362="","",Products!A362)</f>
        <v/>
      </c>
      <c r="B362" s="16" t="str">
        <f aca="false">IF(Products!A362="","",Products!C362)</f>
        <v/>
      </c>
      <c r="C362" s="8" t="str">
        <f aca="false">IF(A362="","",SUMIFS(InventoryMovements!$E$5:$E$504,InventoryMovements!$C$5:$C$504,A362))</f>
        <v/>
      </c>
      <c r="D362" s="17" t="str">
        <f aca="false">IF(A362="","",Products!J362)</f>
        <v/>
      </c>
      <c r="E362" s="18" t="str">
        <f aca="false">IF(A362="","",IF(C362&lt;=D362,"REORDER","OK"))</f>
        <v/>
      </c>
    </row>
    <row r="363" customFormat="false" ht="15" hidden="false" customHeight="false" outlineLevel="0" collapsed="false">
      <c r="A363" s="16" t="str">
        <f aca="false">IF(Products!A363="","",Products!A363)</f>
        <v/>
      </c>
      <c r="B363" s="16" t="str">
        <f aca="false">IF(Products!A363="","",Products!C363)</f>
        <v/>
      </c>
      <c r="C363" s="8" t="str">
        <f aca="false">IF(A363="","",SUMIFS(InventoryMovements!$E$5:$E$504,InventoryMovements!$C$5:$C$504,A363))</f>
        <v/>
      </c>
      <c r="D363" s="17" t="str">
        <f aca="false">IF(A363="","",Products!J363)</f>
        <v/>
      </c>
      <c r="E363" s="18" t="str">
        <f aca="false">IF(A363="","",IF(C363&lt;=D363,"REORDER","OK"))</f>
        <v/>
      </c>
    </row>
    <row r="364" customFormat="false" ht="15" hidden="false" customHeight="false" outlineLevel="0" collapsed="false">
      <c r="A364" s="16" t="str">
        <f aca="false">IF(Products!A364="","",Products!A364)</f>
        <v/>
      </c>
      <c r="B364" s="16" t="str">
        <f aca="false">IF(Products!A364="","",Products!C364)</f>
        <v/>
      </c>
      <c r="C364" s="8" t="str">
        <f aca="false">IF(A364="","",SUMIFS(InventoryMovements!$E$5:$E$504,InventoryMovements!$C$5:$C$504,A364))</f>
        <v/>
      </c>
      <c r="D364" s="17" t="str">
        <f aca="false">IF(A364="","",Products!J364)</f>
        <v/>
      </c>
      <c r="E364" s="18" t="str">
        <f aca="false">IF(A364="","",IF(C364&lt;=D364,"REORDER","OK"))</f>
        <v/>
      </c>
    </row>
    <row r="365" customFormat="false" ht="15" hidden="false" customHeight="false" outlineLevel="0" collapsed="false">
      <c r="A365" s="16" t="str">
        <f aca="false">IF(Products!A365="","",Products!A365)</f>
        <v/>
      </c>
      <c r="B365" s="16" t="str">
        <f aca="false">IF(Products!A365="","",Products!C365)</f>
        <v/>
      </c>
      <c r="C365" s="8" t="str">
        <f aca="false">IF(A365="","",SUMIFS(InventoryMovements!$E$5:$E$504,InventoryMovements!$C$5:$C$504,A365))</f>
        <v/>
      </c>
      <c r="D365" s="17" t="str">
        <f aca="false">IF(A365="","",Products!J365)</f>
        <v/>
      </c>
      <c r="E365" s="18" t="str">
        <f aca="false">IF(A365="","",IF(C365&lt;=D365,"REORDER","OK"))</f>
        <v/>
      </c>
    </row>
    <row r="366" customFormat="false" ht="15" hidden="false" customHeight="false" outlineLevel="0" collapsed="false">
      <c r="A366" s="16" t="str">
        <f aca="false">IF(Products!A366="","",Products!A366)</f>
        <v/>
      </c>
      <c r="B366" s="16" t="str">
        <f aca="false">IF(Products!A366="","",Products!C366)</f>
        <v/>
      </c>
      <c r="C366" s="8" t="str">
        <f aca="false">IF(A366="","",SUMIFS(InventoryMovements!$E$5:$E$504,InventoryMovements!$C$5:$C$504,A366))</f>
        <v/>
      </c>
      <c r="D366" s="17" t="str">
        <f aca="false">IF(A366="","",Products!J366)</f>
        <v/>
      </c>
      <c r="E366" s="18" t="str">
        <f aca="false">IF(A366="","",IF(C366&lt;=D366,"REORDER","OK"))</f>
        <v/>
      </c>
    </row>
    <row r="367" customFormat="false" ht="15" hidden="false" customHeight="false" outlineLevel="0" collapsed="false">
      <c r="A367" s="16" t="str">
        <f aca="false">IF(Products!A367="","",Products!A367)</f>
        <v/>
      </c>
      <c r="B367" s="16" t="str">
        <f aca="false">IF(Products!A367="","",Products!C367)</f>
        <v/>
      </c>
      <c r="C367" s="8" t="str">
        <f aca="false">IF(A367="","",SUMIFS(InventoryMovements!$E$5:$E$504,InventoryMovements!$C$5:$C$504,A367))</f>
        <v/>
      </c>
      <c r="D367" s="17" t="str">
        <f aca="false">IF(A367="","",Products!J367)</f>
        <v/>
      </c>
      <c r="E367" s="18" t="str">
        <f aca="false">IF(A367="","",IF(C367&lt;=D367,"REORDER","OK"))</f>
        <v/>
      </c>
    </row>
    <row r="368" customFormat="false" ht="15" hidden="false" customHeight="false" outlineLevel="0" collapsed="false">
      <c r="A368" s="16" t="str">
        <f aca="false">IF(Products!A368="","",Products!A368)</f>
        <v/>
      </c>
      <c r="B368" s="16" t="str">
        <f aca="false">IF(Products!A368="","",Products!C368)</f>
        <v/>
      </c>
      <c r="C368" s="8" t="str">
        <f aca="false">IF(A368="","",SUMIFS(InventoryMovements!$E$5:$E$504,InventoryMovements!$C$5:$C$504,A368))</f>
        <v/>
      </c>
      <c r="D368" s="17" t="str">
        <f aca="false">IF(A368="","",Products!J368)</f>
        <v/>
      </c>
      <c r="E368" s="18" t="str">
        <f aca="false">IF(A368="","",IF(C368&lt;=D368,"REORDER","OK"))</f>
        <v/>
      </c>
    </row>
    <row r="369" customFormat="false" ht="15" hidden="false" customHeight="false" outlineLevel="0" collapsed="false">
      <c r="A369" s="16" t="str">
        <f aca="false">IF(Products!A369="","",Products!A369)</f>
        <v/>
      </c>
      <c r="B369" s="16" t="str">
        <f aca="false">IF(Products!A369="","",Products!C369)</f>
        <v/>
      </c>
      <c r="C369" s="8" t="str">
        <f aca="false">IF(A369="","",SUMIFS(InventoryMovements!$E$5:$E$504,InventoryMovements!$C$5:$C$504,A369))</f>
        <v/>
      </c>
      <c r="D369" s="17" t="str">
        <f aca="false">IF(A369="","",Products!J369)</f>
        <v/>
      </c>
      <c r="E369" s="18" t="str">
        <f aca="false">IF(A369="","",IF(C369&lt;=D369,"REORDER","OK"))</f>
        <v/>
      </c>
    </row>
    <row r="370" customFormat="false" ht="15" hidden="false" customHeight="false" outlineLevel="0" collapsed="false">
      <c r="A370" s="16" t="str">
        <f aca="false">IF(Products!A370="","",Products!A370)</f>
        <v/>
      </c>
      <c r="B370" s="16" t="str">
        <f aca="false">IF(Products!A370="","",Products!C370)</f>
        <v/>
      </c>
      <c r="C370" s="8" t="str">
        <f aca="false">IF(A370="","",SUMIFS(InventoryMovements!$E$5:$E$504,InventoryMovements!$C$5:$C$504,A370))</f>
        <v/>
      </c>
      <c r="D370" s="17" t="str">
        <f aca="false">IF(A370="","",Products!J370)</f>
        <v/>
      </c>
      <c r="E370" s="18" t="str">
        <f aca="false">IF(A370="","",IF(C370&lt;=D370,"REORDER","OK"))</f>
        <v/>
      </c>
    </row>
    <row r="371" customFormat="false" ht="15" hidden="false" customHeight="false" outlineLevel="0" collapsed="false">
      <c r="A371" s="16" t="str">
        <f aca="false">IF(Products!A371="","",Products!A371)</f>
        <v/>
      </c>
      <c r="B371" s="16" t="str">
        <f aca="false">IF(Products!A371="","",Products!C371)</f>
        <v/>
      </c>
      <c r="C371" s="8" t="str">
        <f aca="false">IF(A371="","",SUMIFS(InventoryMovements!$E$5:$E$504,InventoryMovements!$C$5:$C$504,A371))</f>
        <v/>
      </c>
      <c r="D371" s="17" t="str">
        <f aca="false">IF(A371="","",Products!J371)</f>
        <v/>
      </c>
      <c r="E371" s="18" t="str">
        <f aca="false">IF(A371="","",IF(C371&lt;=D371,"REORDER","OK"))</f>
        <v/>
      </c>
    </row>
    <row r="372" customFormat="false" ht="15" hidden="false" customHeight="false" outlineLevel="0" collapsed="false">
      <c r="A372" s="16" t="str">
        <f aca="false">IF(Products!A372="","",Products!A372)</f>
        <v/>
      </c>
      <c r="B372" s="16" t="str">
        <f aca="false">IF(Products!A372="","",Products!C372)</f>
        <v/>
      </c>
      <c r="C372" s="8" t="str">
        <f aca="false">IF(A372="","",SUMIFS(InventoryMovements!$E$5:$E$504,InventoryMovements!$C$5:$C$504,A372))</f>
        <v/>
      </c>
      <c r="D372" s="17" t="str">
        <f aca="false">IF(A372="","",Products!J372)</f>
        <v/>
      </c>
      <c r="E372" s="18" t="str">
        <f aca="false">IF(A372="","",IF(C372&lt;=D372,"REORDER","OK"))</f>
        <v/>
      </c>
    </row>
    <row r="373" customFormat="false" ht="15" hidden="false" customHeight="false" outlineLevel="0" collapsed="false">
      <c r="A373" s="16" t="str">
        <f aca="false">IF(Products!A373="","",Products!A373)</f>
        <v/>
      </c>
      <c r="B373" s="16" t="str">
        <f aca="false">IF(Products!A373="","",Products!C373)</f>
        <v/>
      </c>
      <c r="C373" s="8" t="str">
        <f aca="false">IF(A373="","",SUMIFS(InventoryMovements!$E$5:$E$504,InventoryMovements!$C$5:$C$504,A373))</f>
        <v/>
      </c>
      <c r="D373" s="17" t="str">
        <f aca="false">IF(A373="","",Products!J373)</f>
        <v/>
      </c>
      <c r="E373" s="18" t="str">
        <f aca="false">IF(A373="","",IF(C373&lt;=D373,"REORDER","OK"))</f>
        <v/>
      </c>
    </row>
    <row r="374" customFormat="false" ht="15" hidden="false" customHeight="false" outlineLevel="0" collapsed="false">
      <c r="A374" s="16" t="str">
        <f aca="false">IF(Products!A374="","",Products!A374)</f>
        <v/>
      </c>
      <c r="B374" s="16" t="str">
        <f aca="false">IF(Products!A374="","",Products!C374)</f>
        <v/>
      </c>
      <c r="C374" s="8" t="str">
        <f aca="false">IF(A374="","",SUMIFS(InventoryMovements!$E$5:$E$504,InventoryMovements!$C$5:$C$504,A374))</f>
        <v/>
      </c>
      <c r="D374" s="17" t="str">
        <f aca="false">IF(A374="","",Products!J374)</f>
        <v/>
      </c>
      <c r="E374" s="18" t="str">
        <f aca="false">IF(A374="","",IF(C374&lt;=D374,"REORDER","OK"))</f>
        <v/>
      </c>
    </row>
    <row r="375" customFormat="false" ht="15" hidden="false" customHeight="false" outlineLevel="0" collapsed="false">
      <c r="A375" s="16" t="str">
        <f aca="false">IF(Products!A375="","",Products!A375)</f>
        <v/>
      </c>
      <c r="B375" s="16" t="str">
        <f aca="false">IF(Products!A375="","",Products!C375)</f>
        <v/>
      </c>
      <c r="C375" s="8" t="str">
        <f aca="false">IF(A375="","",SUMIFS(InventoryMovements!$E$5:$E$504,InventoryMovements!$C$5:$C$504,A375))</f>
        <v/>
      </c>
      <c r="D375" s="17" t="str">
        <f aca="false">IF(A375="","",Products!J375)</f>
        <v/>
      </c>
      <c r="E375" s="18" t="str">
        <f aca="false">IF(A375="","",IF(C375&lt;=D375,"REORDER","OK"))</f>
        <v/>
      </c>
    </row>
    <row r="376" customFormat="false" ht="15" hidden="false" customHeight="false" outlineLevel="0" collapsed="false">
      <c r="A376" s="16" t="str">
        <f aca="false">IF(Products!A376="","",Products!A376)</f>
        <v/>
      </c>
      <c r="B376" s="16" t="str">
        <f aca="false">IF(Products!A376="","",Products!C376)</f>
        <v/>
      </c>
      <c r="C376" s="8" t="str">
        <f aca="false">IF(A376="","",SUMIFS(InventoryMovements!$E$5:$E$504,InventoryMovements!$C$5:$C$504,A376))</f>
        <v/>
      </c>
      <c r="D376" s="17" t="str">
        <f aca="false">IF(A376="","",Products!J376)</f>
        <v/>
      </c>
      <c r="E376" s="18" t="str">
        <f aca="false">IF(A376="","",IF(C376&lt;=D376,"REORDER","OK"))</f>
        <v/>
      </c>
    </row>
    <row r="377" customFormat="false" ht="15" hidden="false" customHeight="false" outlineLevel="0" collapsed="false">
      <c r="A377" s="16" t="str">
        <f aca="false">IF(Products!A377="","",Products!A377)</f>
        <v/>
      </c>
      <c r="B377" s="16" t="str">
        <f aca="false">IF(Products!A377="","",Products!C377)</f>
        <v/>
      </c>
      <c r="C377" s="8" t="str">
        <f aca="false">IF(A377="","",SUMIFS(InventoryMovements!$E$5:$E$504,InventoryMovements!$C$5:$C$504,A377))</f>
        <v/>
      </c>
      <c r="D377" s="17" t="str">
        <f aca="false">IF(A377="","",Products!J377)</f>
        <v/>
      </c>
      <c r="E377" s="18" t="str">
        <f aca="false">IF(A377="","",IF(C377&lt;=D377,"REORDER","OK"))</f>
        <v/>
      </c>
    </row>
    <row r="378" customFormat="false" ht="15" hidden="false" customHeight="false" outlineLevel="0" collapsed="false">
      <c r="A378" s="16" t="str">
        <f aca="false">IF(Products!A378="","",Products!A378)</f>
        <v/>
      </c>
      <c r="B378" s="16" t="str">
        <f aca="false">IF(Products!A378="","",Products!C378)</f>
        <v/>
      </c>
      <c r="C378" s="8" t="str">
        <f aca="false">IF(A378="","",SUMIFS(InventoryMovements!$E$5:$E$504,InventoryMovements!$C$5:$C$504,A378))</f>
        <v/>
      </c>
      <c r="D378" s="17" t="str">
        <f aca="false">IF(A378="","",Products!J378)</f>
        <v/>
      </c>
      <c r="E378" s="18" t="str">
        <f aca="false">IF(A378="","",IF(C378&lt;=D378,"REORDER","OK"))</f>
        <v/>
      </c>
    </row>
    <row r="379" customFormat="false" ht="15" hidden="false" customHeight="false" outlineLevel="0" collapsed="false">
      <c r="A379" s="16" t="str">
        <f aca="false">IF(Products!A379="","",Products!A379)</f>
        <v/>
      </c>
      <c r="B379" s="16" t="str">
        <f aca="false">IF(Products!A379="","",Products!C379)</f>
        <v/>
      </c>
      <c r="C379" s="8" t="str">
        <f aca="false">IF(A379="","",SUMIFS(InventoryMovements!$E$5:$E$504,InventoryMovements!$C$5:$C$504,A379))</f>
        <v/>
      </c>
      <c r="D379" s="17" t="str">
        <f aca="false">IF(A379="","",Products!J379)</f>
        <v/>
      </c>
      <c r="E379" s="18" t="str">
        <f aca="false">IF(A379="","",IF(C379&lt;=D379,"REORDER","OK"))</f>
        <v/>
      </c>
    </row>
    <row r="380" customFormat="false" ht="15" hidden="false" customHeight="false" outlineLevel="0" collapsed="false">
      <c r="A380" s="16" t="str">
        <f aca="false">IF(Products!A380="","",Products!A380)</f>
        <v/>
      </c>
      <c r="B380" s="16" t="str">
        <f aca="false">IF(Products!A380="","",Products!C380)</f>
        <v/>
      </c>
      <c r="C380" s="8" t="str">
        <f aca="false">IF(A380="","",SUMIFS(InventoryMovements!$E$5:$E$504,InventoryMovements!$C$5:$C$504,A380))</f>
        <v/>
      </c>
      <c r="D380" s="17" t="str">
        <f aca="false">IF(A380="","",Products!J380)</f>
        <v/>
      </c>
      <c r="E380" s="18" t="str">
        <f aca="false">IF(A380="","",IF(C380&lt;=D380,"REORDER","OK"))</f>
        <v/>
      </c>
    </row>
    <row r="381" customFormat="false" ht="15" hidden="false" customHeight="false" outlineLevel="0" collapsed="false">
      <c r="A381" s="16" t="str">
        <f aca="false">IF(Products!A381="","",Products!A381)</f>
        <v/>
      </c>
      <c r="B381" s="16" t="str">
        <f aca="false">IF(Products!A381="","",Products!C381)</f>
        <v/>
      </c>
      <c r="C381" s="8" t="str">
        <f aca="false">IF(A381="","",SUMIFS(InventoryMovements!$E$5:$E$504,InventoryMovements!$C$5:$C$504,A381))</f>
        <v/>
      </c>
      <c r="D381" s="17" t="str">
        <f aca="false">IF(A381="","",Products!J381)</f>
        <v/>
      </c>
      <c r="E381" s="18" t="str">
        <f aca="false">IF(A381="","",IF(C381&lt;=D381,"REORDER","OK"))</f>
        <v/>
      </c>
    </row>
    <row r="382" customFormat="false" ht="15" hidden="false" customHeight="false" outlineLevel="0" collapsed="false">
      <c r="A382" s="16" t="str">
        <f aca="false">IF(Products!A382="","",Products!A382)</f>
        <v/>
      </c>
      <c r="B382" s="16" t="str">
        <f aca="false">IF(Products!A382="","",Products!C382)</f>
        <v/>
      </c>
      <c r="C382" s="8" t="str">
        <f aca="false">IF(A382="","",SUMIFS(InventoryMovements!$E$5:$E$504,InventoryMovements!$C$5:$C$504,A382))</f>
        <v/>
      </c>
      <c r="D382" s="17" t="str">
        <f aca="false">IF(A382="","",Products!J382)</f>
        <v/>
      </c>
      <c r="E382" s="18" t="str">
        <f aca="false">IF(A382="","",IF(C382&lt;=D382,"REORDER","OK"))</f>
        <v/>
      </c>
    </row>
    <row r="383" customFormat="false" ht="15" hidden="false" customHeight="false" outlineLevel="0" collapsed="false">
      <c r="A383" s="16" t="str">
        <f aca="false">IF(Products!A383="","",Products!A383)</f>
        <v/>
      </c>
      <c r="B383" s="16" t="str">
        <f aca="false">IF(Products!A383="","",Products!C383)</f>
        <v/>
      </c>
      <c r="C383" s="8" t="str">
        <f aca="false">IF(A383="","",SUMIFS(InventoryMovements!$E$5:$E$504,InventoryMovements!$C$5:$C$504,A383))</f>
        <v/>
      </c>
      <c r="D383" s="17" t="str">
        <f aca="false">IF(A383="","",Products!J383)</f>
        <v/>
      </c>
      <c r="E383" s="18" t="str">
        <f aca="false">IF(A383="","",IF(C383&lt;=D383,"REORDER","OK"))</f>
        <v/>
      </c>
    </row>
    <row r="384" customFormat="false" ht="15" hidden="false" customHeight="false" outlineLevel="0" collapsed="false">
      <c r="A384" s="16" t="str">
        <f aca="false">IF(Products!A384="","",Products!A384)</f>
        <v/>
      </c>
      <c r="B384" s="16" t="str">
        <f aca="false">IF(Products!A384="","",Products!C384)</f>
        <v/>
      </c>
      <c r="C384" s="8" t="str">
        <f aca="false">IF(A384="","",SUMIFS(InventoryMovements!$E$5:$E$504,InventoryMovements!$C$5:$C$504,A384))</f>
        <v/>
      </c>
      <c r="D384" s="17" t="str">
        <f aca="false">IF(A384="","",Products!J384)</f>
        <v/>
      </c>
      <c r="E384" s="18" t="str">
        <f aca="false">IF(A384="","",IF(C384&lt;=D384,"REORDER","OK"))</f>
        <v/>
      </c>
    </row>
    <row r="385" customFormat="false" ht="15" hidden="false" customHeight="false" outlineLevel="0" collapsed="false">
      <c r="A385" s="16" t="str">
        <f aca="false">IF(Products!A385="","",Products!A385)</f>
        <v/>
      </c>
      <c r="B385" s="16" t="str">
        <f aca="false">IF(Products!A385="","",Products!C385)</f>
        <v/>
      </c>
      <c r="C385" s="8" t="str">
        <f aca="false">IF(A385="","",SUMIFS(InventoryMovements!$E$5:$E$504,InventoryMovements!$C$5:$C$504,A385))</f>
        <v/>
      </c>
      <c r="D385" s="17" t="str">
        <f aca="false">IF(A385="","",Products!J385)</f>
        <v/>
      </c>
      <c r="E385" s="18" t="str">
        <f aca="false">IF(A385="","",IF(C385&lt;=D385,"REORDER","OK"))</f>
        <v/>
      </c>
    </row>
    <row r="386" customFormat="false" ht="15" hidden="false" customHeight="false" outlineLevel="0" collapsed="false">
      <c r="A386" s="16" t="str">
        <f aca="false">IF(Products!A386="","",Products!A386)</f>
        <v/>
      </c>
      <c r="B386" s="16" t="str">
        <f aca="false">IF(Products!A386="","",Products!C386)</f>
        <v/>
      </c>
      <c r="C386" s="8" t="str">
        <f aca="false">IF(A386="","",SUMIFS(InventoryMovements!$E$5:$E$504,InventoryMovements!$C$5:$C$504,A386))</f>
        <v/>
      </c>
      <c r="D386" s="17" t="str">
        <f aca="false">IF(A386="","",Products!J386)</f>
        <v/>
      </c>
      <c r="E386" s="18" t="str">
        <f aca="false">IF(A386="","",IF(C386&lt;=D386,"REORDER","OK"))</f>
        <v/>
      </c>
    </row>
    <row r="387" customFormat="false" ht="15" hidden="false" customHeight="false" outlineLevel="0" collapsed="false">
      <c r="A387" s="16" t="str">
        <f aca="false">IF(Products!A387="","",Products!A387)</f>
        <v/>
      </c>
      <c r="B387" s="16" t="str">
        <f aca="false">IF(Products!A387="","",Products!C387)</f>
        <v/>
      </c>
      <c r="C387" s="8" t="str">
        <f aca="false">IF(A387="","",SUMIFS(InventoryMovements!$E$5:$E$504,InventoryMovements!$C$5:$C$504,A387))</f>
        <v/>
      </c>
      <c r="D387" s="17" t="str">
        <f aca="false">IF(A387="","",Products!J387)</f>
        <v/>
      </c>
      <c r="E387" s="18" t="str">
        <f aca="false">IF(A387="","",IF(C387&lt;=D387,"REORDER","OK"))</f>
        <v/>
      </c>
    </row>
    <row r="388" customFormat="false" ht="15" hidden="false" customHeight="false" outlineLevel="0" collapsed="false">
      <c r="A388" s="16" t="str">
        <f aca="false">IF(Products!A388="","",Products!A388)</f>
        <v/>
      </c>
      <c r="B388" s="16" t="str">
        <f aca="false">IF(Products!A388="","",Products!C388)</f>
        <v/>
      </c>
      <c r="C388" s="8" t="str">
        <f aca="false">IF(A388="","",SUMIFS(InventoryMovements!$E$5:$E$504,InventoryMovements!$C$5:$C$504,A388))</f>
        <v/>
      </c>
      <c r="D388" s="17" t="str">
        <f aca="false">IF(A388="","",Products!J388)</f>
        <v/>
      </c>
      <c r="E388" s="18" t="str">
        <f aca="false">IF(A388="","",IF(C388&lt;=D388,"REORDER","OK"))</f>
        <v/>
      </c>
    </row>
    <row r="389" customFormat="false" ht="15" hidden="false" customHeight="false" outlineLevel="0" collapsed="false">
      <c r="A389" s="16" t="str">
        <f aca="false">IF(Products!A389="","",Products!A389)</f>
        <v/>
      </c>
      <c r="B389" s="16" t="str">
        <f aca="false">IF(Products!A389="","",Products!C389)</f>
        <v/>
      </c>
      <c r="C389" s="8" t="str">
        <f aca="false">IF(A389="","",SUMIFS(InventoryMovements!$E$5:$E$504,InventoryMovements!$C$5:$C$504,A389))</f>
        <v/>
      </c>
      <c r="D389" s="17" t="str">
        <f aca="false">IF(A389="","",Products!J389)</f>
        <v/>
      </c>
      <c r="E389" s="18" t="str">
        <f aca="false">IF(A389="","",IF(C389&lt;=D389,"REORDER","OK"))</f>
        <v/>
      </c>
    </row>
    <row r="390" customFormat="false" ht="15" hidden="false" customHeight="false" outlineLevel="0" collapsed="false">
      <c r="A390" s="16" t="str">
        <f aca="false">IF(Products!A390="","",Products!A390)</f>
        <v/>
      </c>
      <c r="B390" s="16" t="str">
        <f aca="false">IF(Products!A390="","",Products!C390)</f>
        <v/>
      </c>
      <c r="C390" s="8" t="str">
        <f aca="false">IF(A390="","",SUMIFS(InventoryMovements!$E$5:$E$504,InventoryMovements!$C$5:$C$504,A390))</f>
        <v/>
      </c>
      <c r="D390" s="17" t="str">
        <f aca="false">IF(A390="","",Products!J390)</f>
        <v/>
      </c>
      <c r="E390" s="18" t="str">
        <f aca="false">IF(A390="","",IF(C390&lt;=D390,"REORDER","OK"))</f>
        <v/>
      </c>
    </row>
    <row r="391" customFormat="false" ht="15" hidden="false" customHeight="false" outlineLevel="0" collapsed="false">
      <c r="A391" s="16" t="str">
        <f aca="false">IF(Products!A391="","",Products!A391)</f>
        <v/>
      </c>
      <c r="B391" s="16" t="str">
        <f aca="false">IF(Products!A391="","",Products!C391)</f>
        <v/>
      </c>
      <c r="C391" s="8" t="str">
        <f aca="false">IF(A391="","",SUMIFS(InventoryMovements!$E$5:$E$504,InventoryMovements!$C$5:$C$504,A391))</f>
        <v/>
      </c>
      <c r="D391" s="17" t="str">
        <f aca="false">IF(A391="","",Products!J391)</f>
        <v/>
      </c>
      <c r="E391" s="18" t="str">
        <f aca="false">IF(A391="","",IF(C391&lt;=D391,"REORDER","OK"))</f>
        <v/>
      </c>
    </row>
    <row r="392" customFormat="false" ht="15" hidden="false" customHeight="false" outlineLevel="0" collapsed="false">
      <c r="A392" s="16" t="str">
        <f aca="false">IF(Products!A392="","",Products!A392)</f>
        <v/>
      </c>
      <c r="B392" s="16" t="str">
        <f aca="false">IF(Products!A392="","",Products!C392)</f>
        <v/>
      </c>
      <c r="C392" s="8" t="str">
        <f aca="false">IF(A392="","",SUMIFS(InventoryMovements!$E$5:$E$504,InventoryMovements!$C$5:$C$504,A392))</f>
        <v/>
      </c>
      <c r="D392" s="17" t="str">
        <f aca="false">IF(A392="","",Products!J392)</f>
        <v/>
      </c>
      <c r="E392" s="18" t="str">
        <f aca="false">IF(A392="","",IF(C392&lt;=D392,"REORDER","OK"))</f>
        <v/>
      </c>
    </row>
    <row r="393" customFormat="false" ht="15" hidden="false" customHeight="false" outlineLevel="0" collapsed="false">
      <c r="A393" s="16" t="str">
        <f aca="false">IF(Products!A393="","",Products!A393)</f>
        <v/>
      </c>
      <c r="B393" s="16" t="str">
        <f aca="false">IF(Products!A393="","",Products!C393)</f>
        <v/>
      </c>
      <c r="C393" s="8" t="str">
        <f aca="false">IF(A393="","",SUMIFS(InventoryMovements!$E$5:$E$504,InventoryMovements!$C$5:$C$504,A393))</f>
        <v/>
      </c>
      <c r="D393" s="17" t="str">
        <f aca="false">IF(A393="","",Products!J393)</f>
        <v/>
      </c>
      <c r="E393" s="18" t="str">
        <f aca="false">IF(A393="","",IF(C393&lt;=D393,"REORDER","OK"))</f>
        <v/>
      </c>
    </row>
    <row r="394" customFormat="false" ht="15" hidden="false" customHeight="false" outlineLevel="0" collapsed="false">
      <c r="A394" s="16" t="str">
        <f aca="false">IF(Products!A394="","",Products!A394)</f>
        <v/>
      </c>
      <c r="B394" s="16" t="str">
        <f aca="false">IF(Products!A394="","",Products!C394)</f>
        <v/>
      </c>
      <c r="C394" s="8" t="str">
        <f aca="false">IF(A394="","",SUMIFS(InventoryMovements!$E$5:$E$504,InventoryMovements!$C$5:$C$504,A394))</f>
        <v/>
      </c>
      <c r="D394" s="17" t="str">
        <f aca="false">IF(A394="","",Products!J394)</f>
        <v/>
      </c>
      <c r="E394" s="18" t="str">
        <f aca="false">IF(A394="","",IF(C394&lt;=D394,"REORDER","OK"))</f>
        <v/>
      </c>
    </row>
    <row r="395" customFormat="false" ht="15" hidden="false" customHeight="false" outlineLevel="0" collapsed="false">
      <c r="A395" s="16" t="str">
        <f aca="false">IF(Products!A395="","",Products!A395)</f>
        <v/>
      </c>
      <c r="B395" s="16" t="str">
        <f aca="false">IF(Products!A395="","",Products!C395)</f>
        <v/>
      </c>
      <c r="C395" s="8" t="str">
        <f aca="false">IF(A395="","",SUMIFS(InventoryMovements!$E$5:$E$504,InventoryMovements!$C$5:$C$504,A395))</f>
        <v/>
      </c>
      <c r="D395" s="17" t="str">
        <f aca="false">IF(A395="","",Products!J395)</f>
        <v/>
      </c>
      <c r="E395" s="18" t="str">
        <f aca="false">IF(A395="","",IF(C395&lt;=D395,"REORDER","OK"))</f>
        <v/>
      </c>
    </row>
    <row r="396" customFormat="false" ht="15" hidden="false" customHeight="false" outlineLevel="0" collapsed="false">
      <c r="A396" s="16" t="str">
        <f aca="false">IF(Products!A396="","",Products!A396)</f>
        <v/>
      </c>
      <c r="B396" s="16" t="str">
        <f aca="false">IF(Products!A396="","",Products!C396)</f>
        <v/>
      </c>
      <c r="C396" s="8" t="str">
        <f aca="false">IF(A396="","",SUMIFS(InventoryMovements!$E$5:$E$504,InventoryMovements!$C$5:$C$504,A396))</f>
        <v/>
      </c>
      <c r="D396" s="17" t="str">
        <f aca="false">IF(A396="","",Products!J396)</f>
        <v/>
      </c>
      <c r="E396" s="18" t="str">
        <f aca="false">IF(A396="","",IF(C396&lt;=D396,"REORDER","OK"))</f>
        <v/>
      </c>
    </row>
    <row r="397" customFormat="false" ht="15" hidden="false" customHeight="false" outlineLevel="0" collapsed="false">
      <c r="A397" s="16" t="str">
        <f aca="false">IF(Products!A397="","",Products!A397)</f>
        <v/>
      </c>
      <c r="B397" s="16" t="str">
        <f aca="false">IF(Products!A397="","",Products!C397)</f>
        <v/>
      </c>
      <c r="C397" s="8" t="str">
        <f aca="false">IF(A397="","",SUMIFS(InventoryMovements!$E$5:$E$504,InventoryMovements!$C$5:$C$504,A397))</f>
        <v/>
      </c>
      <c r="D397" s="17" t="str">
        <f aca="false">IF(A397="","",Products!J397)</f>
        <v/>
      </c>
      <c r="E397" s="18" t="str">
        <f aca="false">IF(A397="","",IF(C397&lt;=D397,"REORDER","OK"))</f>
        <v/>
      </c>
    </row>
    <row r="398" customFormat="false" ht="15" hidden="false" customHeight="false" outlineLevel="0" collapsed="false">
      <c r="A398" s="16" t="str">
        <f aca="false">IF(Products!A398="","",Products!A398)</f>
        <v/>
      </c>
      <c r="B398" s="16" t="str">
        <f aca="false">IF(Products!A398="","",Products!C398)</f>
        <v/>
      </c>
      <c r="C398" s="8" t="str">
        <f aca="false">IF(A398="","",SUMIFS(InventoryMovements!$E$5:$E$504,InventoryMovements!$C$5:$C$504,A398))</f>
        <v/>
      </c>
      <c r="D398" s="17" t="str">
        <f aca="false">IF(A398="","",Products!J398)</f>
        <v/>
      </c>
      <c r="E398" s="18" t="str">
        <f aca="false">IF(A398="","",IF(C398&lt;=D398,"REORDER","OK"))</f>
        <v/>
      </c>
    </row>
    <row r="399" customFormat="false" ht="15" hidden="false" customHeight="false" outlineLevel="0" collapsed="false">
      <c r="A399" s="16" t="str">
        <f aca="false">IF(Products!A399="","",Products!A399)</f>
        <v/>
      </c>
      <c r="B399" s="16" t="str">
        <f aca="false">IF(Products!A399="","",Products!C399)</f>
        <v/>
      </c>
      <c r="C399" s="8" t="str">
        <f aca="false">IF(A399="","",SUMIFS(InventoryMovements!$E$5:$E$504,InventoryMovements!$C$5:$C$504,A399))</f>
        <v/>
      </c>
      <c r="D399" s="17" t="str">
        <f aca="false">IF(A399="","",Products!J399)</f>
        <v/>
      </c>
      <c r="E399" s="18" t="str">
        <f aca="false">IF(A399="","",IF(C399&lt;=D399,"REORDER","OK"))</f>
        <v/>
      </c>
    </row>
    <row r="400" customFormat="false" ht="15" hidden="false" customHeight="false" outlineLevel="0" collapsed="false">
      <c r="A400" s="16" t="str">
        <f aca="false">IF(Products!A400="","",Products!A400)</f>
        <v/>
      </c>
      <c r="B400" s="16" t="str">
        <f aca="false">IF(Products!A400="","",Products!C400)</f>
        <v/>
      </c>
      <c r="C400" s="8" t="str">
        <f aca="false">IF(A400="","",SUMIFS(InventoryMovements!$E$5:$E$504,InventoryMovements!$C$5:$C$504,A400))</f>
        <v/>
      </c>
      <c r="D400" s="17" t="str">
        <f aca="false">IF(A400="","",Products!J400)</f>
        <v/>
      </c>
      <c r="E400" s="18" t="str">
        <f aca="false">IF(A400="","",IF(C400&lt;=D400,"REORDER","OK"))</f>
        <v/>
      </c>
    </row>
    <row r="401" customFormat="false" ht="15" hidden="false" customHeight="false" outlineLevel="0" collapsed="false">
      <c r="A401" s="16" t="str">
        <f aca="false">IF(Products!A401="","",Products!A401)</f>
        <v/>
      </c>
      <c r="B401" s="16" t="str">
        <f aca="false">IF(Products!A401="","",Products!C401)</f>
        <v/>
      </c>
      <c r="C401" s="8" t="str">
        <f aca="false">IF(A401="","",SUMIFS(InventoryMovements!$E$5:$E$504,InventoryMovements!$C$5:$C$504,A401))</f>
        <v/>
      </c>
      <c r="D401" s="17" t="str">
        <f aca="false">IF(A401="","",Products!J401)</f>
        <v/>
      </c>
      <c r="E401" s="18" t="str">
        <f aca="false">IF(A401="","",IF(C401&lt;=D401,"REORDER","OK"))</f>
        <v/>
      </c>
    </row>
    <row r="402" customFormat="false" ht="15" hidden="false" customHeight="false" outlineLevel="0" collapsed="false">
      <c r="A402" s="16" t="str">
        <f aca="false">IF(Products!A402="","",Products!A402)</f>
        <v/>
      </c>
      <c r="B402" s="16" t="str">
        <f aca="false">IF(Products!A402="","",Products!C402)</f>
        <v/>
      </c>
      <c r="C402" s="8" t="str">
        <f aca="false">IF(A402="","",SUMIFS(InventoryMovements!$E$5:$E$504,InventoryMovements!$C$5:$C$504,A402))</f>
        <v/>
      </c>
      <c r="D402" s="17" t="str">
        <f aca="false">IF(A402="","",Products!J402)</f>
        <v/>
      </c>
      <c r="E402" s="18" t="str">
        <f aca="false">IF(A402="","",IF(C402&lt;=D402,"REORDER","OK"))</f>
        <v/>
      </c>
    </row>
    <row r="403" customFormat="false" ht="15" hidden="false" customHeight="false" outlineLevel="0" collapsed="false">
      <c r="A403" s="16" t="str">
        <f aca="false">IF(Products!A403="","",Products!A403)</f>
        <v/>
      </c>
      <c r="B403" s="16" t="str">
        <f aca="false">IF(Products!A403="","",Products!C403)</f>
        <v/>
      </c>
      <c r="C403" s="8" t="str">
        <f aca="false">IF(A403="","",SUMIFS(InventoryMovements!$E$5:$E$504,InventoryMovements!$C$5:$C$504,A403))</f>
        <v/>
      </c>
      <c r="D403" s="17" t="str">
        <f aca="false">IF(A403="","",Products!J403)</f>
        <v/>
      </c>
      <c r="E403" s="18" t="str">
        <f aca="false">IF(A403="","",IF(C403&lt;=D403,"REORDER","OK"))</f>
        <v/>
      </c>
    </row>
    <row r="404" customFormat="false" ht="15" hidden="false" customHeight="false" outlineLevel="0" collapsed="false">
      <c r="A404" s="16" t="str">
        <f aca="false">IF(Products!A404="","",Products!A404)</f>
        <v/>
      </c>
      <c r="B404" s="16" t="str">
        <f aca="false">IF(Products!A404="","",Products!C404)</f>
        <v/>
      </c>
      <c r="C404" s="8" t="str">
        <f aca="false">IF(A404="","",SUMIFS(InventoryMovements!$E$5:$E$504,InventoryMovements!$C$5:$C$504,A404))</f>
        <v/>
      </c>
      <c r="D404" s="17" t="str">
        <f aca="false">IF(A404="","",Products!J404)</f>
        <v/>
      </c>
      <c r="E404" s="18" t="str">
        <f aca="false">IF(A404="","",IF(C404&lt;=D404,"REORDER","OK"))</f>
        <v/>
      </c>
    </row>
    <row r="405" customFormat="false" ht="15" hidden="false" customHeight="false" outlineLevel="0" collapsed="false">
      <c r="A405" s="16" t="str">
        <f aca="false">IF(Products!A405="","",Products!A405)</f>
        <v/>
      </c>
      <c r="B405" s="16" t="str">
        <f aca="false">IF(Products!A405="","",Products!C405)</f>
        <v/>
      </c>
      <c r="C405" s="8" t="str">
        <f aca="false">IF(A405="","",SUMIFS(InventoryMovements!$E$5:$E$504,InventoryMovements!$C$5:$C$504,A405))</f>
        <v/>
      </c>
      <c r="D405" s="17" t="str">
        <f aca="false">IF(A405="","",Products!J405)</f>
        <v/>
      </c>
      <c r="E405" s="18" t="str">
        <f aca="false">IF(A405="","",IF(C405&lt;=D405,"REORDER","OK"))</f>
        <v/>
      </c>
    </row>
    <row r="406" customFormat="false" ht="15" hidden="false" customHeight="false" outlineLevel="0" collapsed="false">
      <c r="A406" s="16" t="str">
        <f aca="false">IF(Products!A406="","",Products!A406)</f>
        <v/>
      </c>
      <c r="B406" s="16" t="str">
        <f aca="false">IF(Products!A406="","",Products!C406)</f>
        <v/>
      </c>
      <c r="C406" s="8" t="str">
        <f aca="false">IF(A406="","",SUMIFS(InventoryMovements!$E$5:$E$504,InventoryMovements!$C$5:$C$504,A406))</f>
        <v/>
      </c>
      <c r="D406" s="17" t="str">
        <f aca="false">IF(A406="","",Products!J406)</f>
        <v/>
      </c>
      <c r="E406" s="18" t="str">
        <f aca="false">IF(A406="","",IF(C406&lt;=D406,"REORDER","OK"))</f>
        <v/>
      </c>
    </row>
    <row r="407" customFormat="false" ht="15" hidden="false" customHeight="false" outlineLevel="0" collapsed="false">
      <c r="A407" s="16" t="str">
        <f aca="false">IF(Products!A407="","",Products!A407)</f>
        <v/>
      </c>
      <c r="B407" s="16" t="str">
        <f aca="false">IF(Products!A407="","",Products!C407)</f>
        <v/>
      </c>
      <c r="C407" s="8" t="str">
        <f aca="false">IF(A407="","",SUMIFS(InventoryMovements!$E$5:$E$504,InventoryMovements!$C$5:$C$504,A407))</f>
        <v/>
      </c>
      <c r="D407" s="17" t="str">
        <f aca="false">IF(A407="","",Products!J407)</f>
        <v/>
      </c>
      <c r="E407" s="18" t="str">
        <f aca="false">IF(A407="","",IF(C407&lt;=D407,"REORDER","OK"))</f>
        <v/>
      </c>
    </row>
    <row r="408" customFormat="false" ht="15" hidden="false" customHeight="false" outlineLevel="0" collapsed="false">
      <c r="A408" s="16" t="str">
        <f aca="false">IF(Products!A408="","",Products!A408)</f>
        <v/>
      </c>
      <c r="B408" s="16" t="str">
        <f aca="false">IF(Products!A408="","",Products!C408)</f>
        <v/>
      </c>
      <c r="C408" s="8" t="str">
        <f aca="false">IF(A408="","",SUMIFS(InventoryMovements!$E$5:$E$504,InventoryMovements!$C$5:$C$504,A408))</f>
        <v/>
      </c>
      <c r="D408" s="17" t="str">
        <f aca="false">IF(A408="","",Products!J408)</f>
        <v/>
      </c>
      <c r="E408" s="18" t="str">
        <f aca="false">IF(A408="","",IF(C408&lt;=D408,"REORDER","OK"))</f>
        <v/>
      </c>
    </row>
    <row r="409" customFormat="false" ht="15" hidden="false" customHeight="false" outlineLevel="0" collapsed="false">
      <c r="A409" s="16" t="str">
        <f aca="false">IF(Products!A409="","",Products!A409)</f>
        <v/>
      </c>
      <c r="B409" s="16" t="str">
        <f aca="false">IF(Products!A409="","",Products!C409)</f>
        <v/>
      </c>
      <c r="C409" s="8" t="str">
        <f aca="false">IF(A409="","",SUMIFS(InventoryMovements!$E$5:$E$504,InventoryMovements!$C$5:$C$504,A409))</f>
        <v/>
      </c>
      <c r="D409" s="17" t="str">
        <f aca="false">IF(A409="","",Products!J409)</f>
        <v/>
      </c>
      <c r="E409" s="18" t="str">
        <f aca="false">IF(A409="","",IF(C409&lt;=D409,"REORDER","OK"))</f>
        <v/>
      </c>
    </row>
    <row r="410" customFormat="false" ht="15" hidden="false" customHeight="false" outlineLevel="0" collapsed="false">
      <c r="A410" s="16" t="str">
        <f aca="false">IF(Products!A410="","",Products!A410)</f>
        <v/>
      </c>
      <c r="B410" s="16" t="str">
        <f aca="false">IF(Products!A410="","",Products!C410)</f>
        <v/>
      </c>
      <c r="C410" s="8" t="str">
        <f aca="false">IF(A410="","",SUMIFS(InventoryMovements!$E$5:$E$504,InventoryMovements!$C$5:$C$504,A410))</f>
        <v/>
      </c>
      <c r="D410" s="17" t="str">
        <f aca="false">IF(A410="","",Products!J410)</f>
        <v/>
      </c>
      <c r="E410" s="18" t="str">
        <f aca="false">IF(A410="","",IF(C410&lt;=D410,"REORDER","OK"))</f>
        <v/>
      </c>
    </row>
    <row r="411" customFormat="false" ht="15" hidden="false" customHeight="false" outlineLevel="0" collapsed="false">
      <c r="A411" s="16" t="str">
        <f aca="false">IF(Products!A411="","",Products!A411)</f>
        <v/>
      </c>
      <c r="B411" s="16" t="str">
        <f aca="false">IF(Products!A411="","",Products!C411)</f>
        <v/>
      </c>
      <c r="C411" s="8" t="str">
        <f aca="false">IF(A411="","",SUMIFS(InventoryMovements!$E$5:$E$504,InventoryMovements!$C$5:$C$504,A411))</f>
        <v/>
      </c>
      <c r="D411" s="17" t="str">
        <f aca="false">IF(A411="","",Products!J411)</f>
        <v/>
      </c>
      <c r="E411" s="18" t="str">
        <f aca="false">IF(A411="","",IF(C411&lt;=D411,"REORDER","OK"))</f>
        <v/>
      </c>
    </row>
    <row r="412" customFormat="false" ht="15" hidden="false" customHeight="false" outlineLevel="0" collapsed="false">
      <c r="A412" s="16" t="str">
        <f aca="false">IF(Products!A412="","",Products!A412)</f>
        <v/>
      </c>
      <c r="B412" s="16" t="str">
        <f aca="false">IF(Products!A412="","",Products!C412)</f>
        <v/>
      </c>
      <c r="C412" s="8" t="str">
        <f aca="false">IF(A412="","",SUMIFS(InventoryMovements!$E$5:$E$504,InventoryMovements!$C$5:$C$504,A412))</f>
        <v/>
      </c>
      <c r="D412" s="17" t="str">
        <f aca="false">IF(A412="","",Products!J412)</f>
        <v/>
      </c>
      <c r="E412" s="18" t="str">
        <f aca="false">IF(A412="","",IF(C412&lt;=D412,"REORDER","OK"))</f>
        <v/>
      </c>
    </row>
    <row r="413" customFormat="false" ht="15" hidden="false" customHeight="false" outlineLevel="0" collapsed="false">
      <c r="A413" s="16" t="str">
        <f aca="false">IF(Products!A413="","",Products!A413)</f>
        <v/>
      </c>
      <c r="B413" s="16" t="str">
        <f aca="false">IF(Products!A413="","",Products!C413)</f>
        <v/>
      </c>
      <c r="C413" s="8" t="str">
        <f aca="false">IF(A413="","",SUMIFS(InventoryMovements!$E$5:$E$504,InventoryMovements!$C$5:$C$504,A413))</f>
        <v/>
      </c>
      <c r="D413" s="17" t="str">
        <f aca="false">IF(A413="","",Products!J413)</f>
        <v/>
      </c>
      <c r="E413" s="18" t="str">
        <f aca="false">IF(A413="","",IF(C413&lt;=D413,"REORDER","OK"))</f>
        <v/>
      </c>
    </row>
    <row r="414" customFormat="false" ht="15" hidden="false" customHeight="false" outlineLevel="0" collapsed="false">
      <c r="A414" s="16" t="str">
        <f aca="false">IF(Products!A414="","",Products!A414)</f>
        <v/>
      </c>
      <c r="B414" s="16" t="str">
        <f aca="false">IF(Products!A414="","",Products!C414)</f>
        <v/>
      </c>
      <c r="C414" s="8" t="str">
        <f aca="false">IF(A414="","",SUMIFS(InventoryMovements!$E$5:$E$504,InventoryMovements!$C$5:$C$504,A414))</f>
        <v/>
      </c>
      <c r="D414" s="17" t="str">
        <f aca="false">IF(A414="","",Products!J414)</f>
        <v/>
      </c>
      <c r="E414" s="18" t="str">
        <f aca="false">IF(A414="","",IF(C414&lt;=D414,"REORDER","OK"))</f>
        <v/>
      </c>
    </row>
    <row r="415" customFormat="false" ht="15" hidden="false" customHeight="false" outlineLevel="0" collapsed="false">
      <c r="A415" s="16" t="str">
        <f aca="false">IF(Products!A415="","",Products!A415)</f>
        <v/>
      </c>
      <c r="B415" s="16" t="str">
        <f aca="false">IF(Products!A415="","",Products!C415)</f>
        <v/>
      </c>
      <c r="C415" s="8" t="str">
        <f aca="false">IF(A415="","",SUMIFS(InventoryMovements!$E$5:$E$504,InventoryMovements!$C$5:$C$504,A415))</f>
        <v/>
      </c>
      <c r="D415" s="17" t="str">
        <f aca="false">IF(A415="","",Products!J415)</f>
        <v/>
      </c>
      <c r="E415" s="18" t="str">
        <f aca="false">IF(A415="","",IF(C415&lt;=D415,"REORDER","OK"))</f>
        <v/>
      </c>
    </row>
    <row r="416" customFormat="false" ht="15" hidden="false" customHeight="false" outlineLevel="0" collapsed="false">
      <c r="A416" s="16" t="str">
        <f aca="false">IF(Products!A416="","",Products!A416)</f>
        <v/>
      </c>
      <c r="B416" s="16" t="str">
        <f aca="false">IF(Products!A416="","",Products!C416)</f>
        <v/>
      </c>
      <c r="C416" s="8" t="str">
        <f aca="false">IF(A416="","",SUMIFS(InventoryMovements!$E$5:$E$504,InventoryMovements!$C$5:$C$504,A416))</f>
        <v/>
      </c>
      <c r="D416" s="17" t="str">
        <f aca="false">IF(A416="","",Products!J416)</f>
        <v/>
      </c>
      <c r="E416" s="18" t="str">
        <f aca="false">IF(A416="","",IF(C416&lt;=D416,"REORDER","OK"))</f>
        <v/>
      </c>
    </row>
    <row r="417" customFormat="false" ht="15" hidden="false" customHeight="false" outlineLevel="0" collapsed="false">
      <c r="A417" s="16" t="str">
        <f aca="false">IF(Products!A417="","",Products!A417)</f>
        <v/>
      </c>
      <c r="B417" s="16" t="str">
        <f aca="false">IF(Products!A417="","",Products!C417)</f>
        <v/>
      </c>
      <c r="C417" s="8" t="str">
        <f aca="false">IF(A417="","",SUMIFS(InventoryMovements!$E$5:$E$504,InventoryMovements!$C$5:$C$504,A417))</f>
        <v/>
      </c>
      <c r="D417" s="17" t="str">
        <f aca="false">IF(A417="","",Products!J417)</f>
        <v/>
      </c>
      <c r="E417" s="18" t="str">
        <f aca="false">IF(A417="","",IF(C417&lt;=D417,"REORDER","OK"))</f>
        <v/>
      </c>
    </row>
    <row r="418" customFormat="false" ht="15" hidden="false" customHeight="false" outlineLevel="0" collapsed="false">
      <c r="A418" s="16" t="str">
        <f aca="false">IF(Products!A418="","",Products!A418)</f>
        <v/>
      </c>
      <c r="B418" s="16" t="str">
        <f aca="false">IF(Products!A418="","",Products!C418)</f>
        <v/>
      </c>
      <c r="C418" s="8" t="str">
        <f aca="false">IF(A418="","",SUMIFS(InventoryMovements!$E$5:$E$504,InventoryMovements!$C$5:$C$504,A418))</f>
        <v/>
      </c>
      <c r="D418" s="17" t="str">
        <f aca="false">IF(A418="","",Products!J418)</f>
        <v/>
      </c>
      <c r="E418" s="18" t="str">
        <f aca="false">IF(A418="","",IF(C418&lt;=D418,"REORDER","OK"))</f>
        <v/>
      </c>
    </row>
    <row r="419" customFormat="false" ht="15" hidden="false" customHeight="false" outlineLevel="0" collapsed="false">
      <c r="A419" s="16" t="str">
        <f aca="false">IF(Products!A419="","",Products!A419)</f>
        <v/>
      </c>
      <c r="B419" s="16" t="str">
        <f aca="false">IF(Products!A419="","",Products!C419)</f>
        <v/>
      </c>
      <c r="C419" s="8" t="str">
        <f aca="false">IF(A419="","",SUMIFS(InventoryMovements!$E$5:$E$504,InventoryMovements!$C$5:$C$504,A419))</f>
        <v/>
      </c>
      <c r="D419" s="17" t="str">
        <f aca="false">IF(A419="","",Products!J419)</f>
        <v/>
      </c>
      <c r="E419" s="18" t="str">
        <f aca="false">IF(A419="","",IF(C419&lt;=D419,"REORDER","OK"))</f>
        <v/>
      </c>
    </row>
    <row r="420" customFormat="false" ht="15" hidden="false" customHeight="false" outlineLevel="0" collapsed="false">
      <c r="A420" s="16" t="str">
        <f aca="false">IF(Products!A420="","",Products!A420)</f>
        <v/>
      </c>
      <c r="B420" s="16" t="str">
        <f aca="false">IF(Products!A420="","",Products!C420)</f>
        <v/>
      </c>
      <c r="C420" s="8" t="str">
        <f aca="false">IF(A420="","",SUMIFS(InventoryMovements!$E$5:$E$504,InventoryMovements!$C$5:$C$504,A420))</f>
        <v/>
      </c>
      <c r="D420" s="17" t="str">
        <f aca="false">IF(A420="","",Products!J420)</f>
        <v/>
      </c>
      <c r="E420" s="18" t="str">
        <f aca="false">IF(A420="","",IF(C420&lt;=D420,"REORDER","OK"))</f>
        <v/>
      </c>
    </row>
    <row r="421" customFormat="false" ht="15" hidden="false" customHeight="false" outlineLevel="0" collapsed="false">
      <c r="A421" s="16" t="str">
        <f aca="false">IF(Products!A421="","",Products!A421)</f>
        <v/>
      </c>
      <c r="B421" s="16" t="str">
        <f aca="false">IF(Products!A421="","",Products!C421)</f>
        <v/>
      </c>
      <c r="C421" s="8" t="str">
        <f aca="false">IF(A421="","",SUMIFS(InventoryMovements!$E$5:$E$504,InventoryMovements!$C$5:$C$504,A421))</f>
        <v/>
      </c>
      <c r="D421" s="17" t="str">
        <f aca="false">IF(A421="","",Products!J421)</f>
        <v/>
      </c>
      <c r="E421" s="18" t="str">
        <f aca="false">IF(A421="","",IF(C421&lt;=D421,"REORDER","OK"))</f>
        <v/>
      </c>
    </row>
    <row r="422" customFormat="false" ht="15" hidden="false" customHeight="false" outlineLevel="0" collapsed="false">
      <c r="A422" s="16" t="str">
        <f aca="false">IF(Products!A422="","",Products!A422)</f>
        <v/>
      </c>
      <c r="B422" s="16" t="str">
        <f aca="false">IF(Products!A422="","",Products!C422)</f>
        <v/>
      </c>
      <c r="C422" s="8" t="str">
        <f aca="false">IF(A422="","",SUMIFS(InventoryMovements!$E$5:$E$504,InventoryMovements!$C$5:$C$504,A422))</f>
        <v/>
      </c>
      <c r="D422" s="17" t="str">
        <f aca="false">IF(A422="","",Products!J422)</f>
        <v/>
      </c>
      <c r="E422" s="18" t="str">
        <f aca="false">IF(A422="","",IF(C422&lt;=D422,"REORDER","OK"))</f>
        <v/>
      </c>
    </row>
    <row r="423" customFormat="false" ht="15" hidden="false" customHeight="false" outlineLevel="0" collapsed="false">
      <c r="A423" s="16" t="str">
        <f aca="false">IF(Products!A423="","",Products!A423)</f>
        <v/>
      </c>
      <c r="B423" s="16" t="str">
        <f aca="false">IF(Products!A423="","",Products!C423)</f>
        <v/>
      </c>
      <c r="C423" s="8" t="str">
        <f aca="false">IF(A423="","",SUMIFS(InventoryMovements!$E$5:$E$504,InventoryMovements!$C$5:$C$504,A423))</f>
        <v/>
      </c>
      <c r="D423" s="17" t="str">
        <f aca="false">IF(A423="","",Products!J423)</f>
        <v/>
      </c>
      <c r="E423" s="18" t="str">
        <f aca="false">IF(A423="","",IF(C423&lt;=D423,"REORDER","OK"))</f>
        <v/>
      </c>
    </row>
    <row r="424" customFormat="false" ht="15" hidden="false" customHeight="false" outlineLevel="0" collapsed="false">
      <c r="A424" s="16" t="str">
        <f aca="false">IF(Products!A424="","",Products!A424)</f>
        <v/>
      </c>
      <c r="B424" s="16" t="str">
        <f aca="false">IF(Products!A424="","",Products!C424)</f>
        <v/>
      </c>
      <c r="C424" s="8" t="str">
        <f aca="false">IF(A424="","",SUMIFS(InventoryMovements!$E$5:$E$504,InventoryMovements!$C$5:$C$504,A424))</f>
        <v/>
      </c>
      <c r="D424" s="17" t="str">
        <f aca="false">IF(A424="","",Products!J424)</f>
        <v/>
      </c>
      <c r="E424" s="18" t="str">
        <f aca="false">IF(A424="","",IF(C424&lt;=D424,"REORDER","OK"))</f>
        <v/>
      </c>
    </row>
    <row r="425" customFormat="false" ht="15" hidden="false" customHeight="false" outlineLevel="0" collapsed="false">
      <c r="A425" s="16" t="str">
        <f aca="false">IF(Products!A425="","",Products!A425)</f>
        <v/>
      </c>
      <c r="B425" s="16" t="str">
        <f aca="false">IF(Products!A425="","",Products!C425)</f>
        <v/>
      </c>
      <c r="C425" s="8" t="str">
        <f aca="false">IF(A425="","",SUMIFS(InventoryMovements!$E$5:$E$504,InventoryMovements!$C$5:$C$504,A425))</f>
        <v/>
      </c>
      <c r="D425" s="17" t="str">
        <f aca="false">IF(A425="","",Products!J425)</f>
        <v/>
      </c>
      <c r="E425" s="18" t="str">
        <f aca="false">IF(A425="","",IF(C425&lt;=D425,"REORDER","OK"))</f>
        <v/>
      </c>
    </row>
    <row r="426" customFormat="false" ht="15" hidden="false" customHeight="false" outlineLevel="0" collapsed="false">
      <c r="A426" s="16" t="str">
        <f aca="false">IF(Products!A426="","",Products!A426)</f>
        <v/>
      </c>
      <c r="B426" s="16" t="str">
        <f aca="false">IF(Products!A426="","",Products!C426)</f>
        <v/>
      </c>
      <c r="C426" s="8" t="str">
        <f aca="false">IF(A426="","",SUMIFS(InventoryMovements!$E$5:$E$504,InventoryMovements!$C$5:$C$504,A426))</f>
        <v/>
      </c>
      <c r="D426" s="17" t="str">
        <f aca="false">IF(A426="","",Products!J426)</f>
        <v/>
      </c>
      <c r="E426" s="18" t="str">
        <f aca="false">IF(A426="","",IF(C426&lt;=D426,"REORDER","OK"))</f>
        <v/>
      </c>
    </row>
    <row r="427" customFormat="false" ht="15" hidden="false" customHeight="false" outlineLevel="0" collapsed="false">
      <c r="A427" s="16" t="str">
        <f aca="false">IF(Products!A427="","",Products!A427)</f>
        <v/>
      </c>
      <c r="B427" s="16" t="str">
        <f aca="false">IF(Products!A427="","",Products!C427)</f>
        <v/>
      </c>
      <c r="C427" s="8" t="str">
        <f aca="false">IF(A427="","",SUMIFS(InventoryMovements!$E$5:$E$504,InventoryMovements!$C$5:$C$504,A427))</f>
        <v/>
      </c>
      <c r="D427" s="17" t="str">
        <f aca="false">IF(A427="","",Products!J427)</f>
        <v/>
      </c>
      <c r="E427" s="18" t="str">
        <f aca="false">IF(A427="","",IF(C427&lt;=D427,"REORDER","OK"))</f>
        <v/>
      </c>
    </row>
    <row r="428" customFormat="false" ht="15" hidden="false" customHeight="false" outlineLevel="0" collapsed="false">
      <c r="A428" s="16" t="str">
        <f aca="false">IF(Products!A428="","",Products!A428)</f>
        <v/>
      </c>
      <c r="B428" s="16" t="str">
        <f aca="false">IF(Products!A428="","",Products!C428)</f>
        <v/>
      </c>
      <c r="C428" s="8" t="str">
        <f aca="false">IF(A428="","",SUMIFS(InventoryMovements!$E$5:$E$504,InventoryMovements!$C$5:$C$504,A428))</f>
        <v/>
      </c>
      <c r="D428" s="17" t="str">
        <f aca="false">IF(A428="","",Products!J428)</f>
        <v/>
      </c>
      <c r="E428" s="18" t="str">
        <f aca="false">IF(A428="","",IF(C428&lt;=D428,"REORDER","OK"))</f>
        <v/>
      </c>
    </row>
    <row r="429" customFormat="false" ht="15" hidden="false" customHeight="false" outlineLevel="0" collapsed="false">
      <c r="A429" s="16" t="str">
        <f aca="false">IF(Products!A429="","",Products!A429)</f>
        <v/>
      </c>
      <c r="B429" s="16" t="str">
        <f aca="false">IF(Products!A429="","",Products!C429)</f>
        <v/>
      </c>
      <c r="C429" s="8" t="str">
        <f aca="false">IF(A429="","",SUMIFS(InventoryMovements!$E$5:$E$504,InventoryMovements!$C$5:$C$504,A429))</f>
        <v/>
      </c>
      <c r="D429" s="17" t="str">
        <f aca="false">IF(A429="","",Products!J429)</f>
        <v/>
      </c>
      <c r="E429" s="18" t="str">
        <f aca="false">IF(A429="","",IF(C429&lt;=D429,"REORDER","OK"))</f>
        <v/>
      </c>
    </row>
    <row r="430" customFormat="false" ht="15" hidden="false" customHeight="false" outlineLevel="0" collapsed="false">
      <c r="A430" s="16" t="str">
        <f aca="false">IF(Products!A430="","",Products!A430)</f>
        <v/>
      </c>
      <c r="B430" s="16" t="str">
        <f aca="false">IF(Products!A430="","",Products!C430)</f>
        <v/>
      </c>
      <c r="C430" s="8" t="str">
        <f aca="false">IF(A430="","",SUMIFS(InventoryMovements!$E$5:$E$504,InventoryMovements!$C$5:$C$504,A430))</f>
        <v/>
      </c>
      <c r="D430" s="17" t="str">
        <f aca="false">IF(A430="","",Products!J430)</f>
        <v/>
      </c>
      <c r="E430" s="18" t="str">
        <f aca="false">IF(A430="","",IF(C430&lt;=D430,"REORDER","OK"))</f>
        <v/>
      </c>
    </row>
    <row r="431" customFormat="false" ht="15" hidden="false" customHeight="false" outlineLevel="0" collapsed="false">
      <c r="A431" s="16" t="str">
        <f aca="false">IF(Products!A431="","",Products!A431)</f>
        <v/>
      </c>
      <c r="B431" s="16" t="str">
        <f aca="false">IF(Products!A431="","",Products!C431)</f>
        <v/>
      </c>
      <c r="C431" s="8" t="str">
        <f aca="false">IF(A431="","",SUMIFS(InventoryMovements!$E$5:$E$504,InventoryMovements!$C$5:$C$504,A431))</f>
        <v/>
      </c>
      <c r="D431" s="17" t="str">
        <f aca="false">IF(A431="","",Products!J431)</f>
        <v/>
      </c>
      <c r="E431" s="18" t="str">
        <f aca="false">IF(A431="","",IF(C431&lt;=D431,"REORDER","OK"))</f>
        <v/>
      </c>
    </row>
    <row r="432" customFormat="false" ht="15" hidden="false" customHeight="false" outlineLevel="0" collapsed="false">
      <c r="A432" s="16" t="str">
        <f aca="false">IF(Products!A432="","",Products!A432)</f>
        <v/>
      </c>
      <c r="B432" s="16" t="str">
        <f aca="false">IF(Products!A432="","",Products!C432)</f>
        <v/>
      </c>
      <c r="C432" s="8" t="str">
        <f aca="false">IF(A432="","",SUMIFS(InventoryMovements!$E$5:$E$504,InventoryMovements!$C$5:$C$504,A432))</f>
        <v/>
      </c>
      <c r="D432" s="17" t="str">
        <f aca="false">IF(A432="","",Products!J432)</f>
        <v/>
      </c>
      <c r="E432" s="18" t="str">
        <f aca="false">IF(A432="","",IF(C432&lt;=D432,"REORDER","OK"))</f>
        <v/>
      </c>
    </row>
    <row r="433" customFormat="false" ht="15" hidden="false" customHeight="false" outlineLevel="0" collapsed="false">
      <c r="A433" s="16" t="str">
        <f aca="false">IF(Products!A433="","",Products!A433)</f>
        <v/>
      </c>
      <c r="B433" s="16" t="str">
        <f aca="false">IF(Products!A433="","",Products!C433)</f>
        <v/>
      </c>
      <c r="C433" s="8" t="str">
        <f aca="false">IF(A433="","",SUMIFS(InventoryMovements!$E$5:$E$504,InventoryMovements!$C$5:$C$504,A433))</f>
        <v/>
      </c>
      <c r="D433" s="17" t="str">
        <f aca="false">IF(A433="","",Products!J433)</f>
        <v/>
      </c>
      <c r="E433" s="18" t="str">
        <f aca="false">IF(A433="","",IF(C433&lt;=D433,"REORDER","OK"))</f>
        <v/>
      </c>
    </row>
    <row r="434" customFormat="false" ht="15" hidden="false" customHeight="false" outlineLevel="0" collapsed="false">
      <c r="A434" s="16" t="str">
        <f aca="false">IF(Products!A434="","",Products!A434)</f>
        <v/>
      </c>
      <c r="B434" s="16" t="str">
        <f aca="false">IF(Products!A434="","",Products!C434)</f>
        <v/>
      </c>
      <c r="C434" s="8" t="str">
        <f aca="false">IF(A434="","",SUMIFS(InventoryMovements!$E$5:$E$504,InventoryMovements!$C$5:$C$504,A434))</f>
        <v/>
      </c>
      <c r="D434" s="17" t="str">
        <f aca="false">IF(A434="","",Products!J434)</f>
        <v/>
      </c>
      <c r="E434" s="18" t="str">
        <f aca="false">IF(A434="","",IF(C434&lt;=D434,"REORDER","OK"))</f>
        <v/>
      </c>
    </row>
    <row r="435" customFormat="false" ht="15" hidden="false" customHeight="false" outlineLevel="0" collapsed="false">
      <c r="A435" s="16" t="str">
        <f aca="false">IF(Products!A435="","",Products!A435)</f>
        <v/>
      </c>
      <c r="B435" s="16" t="str">
        <f aca="false">IF(Products!A435="","",Products!C435)</f>
        <v/>
      </c>
      <c r="C435" s="8" t="str">
        <f aca="false">IF(A435="","",SUMIFS(InventoryMovements!$E$5:$E$504,InventoryMovements!$C$5:$C$504,A435))</f>
        <v/>
      </c>
      <c r="D435" s="17" t="str">
        <f aca="false">IF(A435="","",Products!J435)</f>
        <v/>
      </c>
      <c r="E435" s="18" t="str">
        <f aca="false">IF(A435="","",IF(C435&lt;=D435,"REORDER","OK"))</f>
        <v/>
      </c>
    </row>
    <row r="436" customFormat="false" ht="15" hidden="false" customHeight="false" outlineLevel="0" collapsed="false">
      <c r="A436" s="16" t="str">
        <f aca="false">IF(Products!A436="","",Products!A436)</f>
        <v/>
      </c>
      <c r="B436" s="16" t="str">
        <f aca="false">IF(Products!A436="","",Products!C436)</f>
        <v/>
      </c>
      <c r="C436" s="8" t="str">
        <f aca="false">IF(A436="","",SUMIFS(InventoryMovements!$E$5:$E$504,InventoryMovements!$C$5:$C$504,A436))</f>
        <v/>
      </c>
      <c r="D436" s="17" t="str">
        <f aca="false">IF(A436="","",Products!J436)</f>
        <v/>
      </c>
      <c r="E436" s="18" t="str">
        <f aca="false">IF(A436="","",IF(C436&lt;=D436,"REORDER","OK"))</f>
        <v/>
      </c>
    </row>
    <row r="437" customFormat="false" ht="15" hidden="false" customHeight="false" outlineLevel="0" collapsed="false">
      <c r="A437" s="16" t="str">
        <f aca="false">IF(Products!A437="","",Products!A437)</f>
        <v/>
      </c>
      <c r="B437" s="16" t="str">
        <f aca="false">IF(Products!A437="","",Products!C437)</f>
        <v/>
      </c>
      <c r="C437" s="8" t="str">
        <f aca="false">IF(A437="","",SUMIFS(InventoryMovements!$E$5:$E$504,InventoryMovements!$C$5:$C$504,A437))</f>
        <v/>
      </c>
      <c r="D437" s="17" t="str">
        <f aca="false">IF(A437="","",Products!J437)</f>
        <v/>
      </c>
      <c r="E437" s="18" t="str">
        <f aca="false">IF(A437="","",IF(C437&lt;=D437,"REORDER","OK"))</f>
        <v/>
      </c>
    </row>
    <row r="438" customFormat="false" ht="15" hidden="false" customHeight="false" outlineLevel="0" collapsed="false">
      <c r="A438" s="16" t="str">
        <f aca="false">IF(Products!A438="","",Products!A438)</f>
        <v/>
      </c>
      <c r="B438" s="16" t="str">
        <f aca="false">IF(Products!A438="","",Products!C438)</f>
        <v/>
      </c>
      <c r="C438" s="8" t="str">
        <f aca="false">IF(A438="","",SUMIFS(InventoryMovements!$E$5:$E$504,InventoryMovements!$C$5:$C$504,A438))</f>
        <v/>
      </c>
      <c r="D438" s="17" t="str">
        <f aca="false">IF(A438="","",Products!J438)</f>
        <v/>
      </c>
      <c r="E438" s="18" t="str">
        <f aca="false">IF(A438="","",IF(C438&lt;=D438,"REORDER","OK"))</f>
        <v/>
      </c>
    </row>
    <row r="439" customFormat="false" ht="15" hidden="false" customHeight="false" outlineLevel="0" collapsed="false">
      <c r="A439" s="16" t="str">
        <f aca="false">IF(Products!A439="","",Products!A439)</f>
        <v/>
      </c>
      <c r="B439" s="16" t="str">
        <f aca="false">IF(Products!A439="","",Products!C439)</f>
        <v/>
      </c>
      <c r="C439" s="8" t="str">
        <f aca="false">IF(A439="","",SUMIFS(InventoryMovements!$E$5:$E$504,InventoryMovements!$C$5:$C$504,A439))</f>
        <v/>
      </c>
      <c r="D439" s="17" t="str">
        <f aca="false">IF(A439="","",Products!J439)</f>
        <v/>
      </c>
      <c r="E439" s="18" t="str">
        <f aca="false">IF(A439="","",IF(C439&lt;=D439,"REORDER","OK"))</f>
        <v/>
      </c>
    </row>
    <row r="440" customFormat="false" ht="15" hidden="false" customHeight="false" outlineLevel="0" collapsed="false">
      <c r="A440" s="16" t="str">
        <f aca="false">IF(Products!A440="","",Products!A440)</f>
        <v/>
      </c>
      <c r="B440" s="16" t="str">
        <f aca="false">IF(Products!A440="","",Products!C440)</f>
        <v/>
      </c>
      <c r="C440" s="8" t="str">
        <f aca="false">IF(A440="","",SUMIFS(InventoryMovements!$E$5:$E$504,InventoryMovements!$C$5:$C$504,A440))</f>
        <v/>
      </c>
      <c r="D440" s="17" t="str">
        <f aca="false">IF(A440="","",Products!J440)</f>
        <v/>
      </c>
      <c r="E440" s="18" t="str">
        <f aca="false">IF(A440="","",IF(C440&lt;=D440,"REORDER","OK"))</f>
        <v/>
      </c>
    </row>
    <row r="441" customFormat="false" ht="15" hidden="false" customHeight="false" outlineLevel="0" collapsed="false">
      <c r="A441" s="16" t="str">
        <f aca="false">IF(Products!A441="","",Products!A441)</f>
        <v/>
      </c>
      <c r="B441" s="16" t="str">
        <f aca="false">IF(Products!A441="","",Products!C441)</f>
        <v/>
      </c>
      <c r="C441" s="8" t="str">
        <f aca="false">IF(A441="","",SUMIFS(InventoryMovements!$E$5:$E$504,InventoryMovements!$C$5:$C$504,A441))</f>
        <v/>
      </c>
      <c r="D441" s="17" t="str">
        <f aca="false">IF(A441="","",Products!J441)</f>
        <v/>
      </c>
      <c r="E441" s="18" t="str">
        <f aca="false">IF(A441="","",IF(C441&lt;=D441,"REORDER","OK"))</f>
        <v/>
      </c>
    </row>
    <row r="442" customFormat="false" ht="15" hidden="false" customHeight="false" outlineLevel="0" collapsed="false">
      <c r="A442" s="16" t="str">
        <f aca="false">IF(Products!A442="","",Products!A442)</f>
        <v/>
      </c>
      <c r="B442" s="16" t="str">
        <f aca="false">IF(Products!A442="","",Products!C442)</f>
        <v/>
      </c>
      <c r="C442" s="8" t="str">
        <f aca="false">IF(A442="","",SUMIFS(InventoryMovements!$E$5:$E$504,InventoryMovements!$C$5:$C$504,A442))</f>
        <v/>
      </c>
      <c r="D442" s="17" t="str">
        <f aca="false">IF(A442="","",Products!J442)</f>
        <v/>
      </c>
      <c r="E442" s="18" t="str">
        <f aca="false">IF(A442="","",IF(C442&lt;=D442,"REORDER","OK"))</f>
        <v/>
      </c>
    </row>
    <row r="443" customFormat="false" ht="15" hidden="false" customHeight="false" outlineLevel="0" collapsed="false">
      <c r="A443" s="16" t="str">
        <f aca="false">IF(Products!A443="","",Products!A443)</f>
        <v/>
      </c>
      <c r="B443" s="16" t="str">
        <f aca="false">IF(Products!A443="","",Products!C443)</f>
        <v/>
      </c>
      <c r="C443" s="8" t="str">
        <f aca="false">IF(A443="","",SUMIFS(InventoryMovements!$E$5:$E$504,InventoryMovements!$C$5:$C$504,A443))</f>
        <v/>
      </c>
      <c r="D443" s="17" t="str">
        <f aca="false">IF(A443="","",Products!J443)</f>
        <v/>
      </c>
      <c r="E443" s="18" t="str">
        <f aca="false">IF(A443="","",IF(C443&lt;=D443,"REORDER","OK"))</f>
        <v/>
      </c>
    </row>
    <row r="444" customFormat="false" ht="15" hidden="false" customHeight="false" outlineLevel="0" collapsed="false">
      <c r="A444" s="16" t="str">
        <f aca="false">IF(Products!A444="","",Products!A444)</f>
        <v/>
      </c>
      <c r="B444" s="16" t="str">
        <f aca="false">IF(Products!A444="","",Products!C444)</f>
        <v/>
      </c>
      <c r="C444" s="8" t="str">
        <f aca="false">IF(A444="","",SUMIFS(InventoryMovements!$E$5:$E$504,InventoryMovements!$C$5:$C$504,A444))</f>
        <v/>
      </c>
      <c r="D444" s="17" t="str">
        <f aca="false">IF(A444="","",Products!J444)</f>
        <v/>
      </c>
      <c r="E444" s="18" t="str">
        <f aca="false">IF(A444="","",IF(C444&lt;=D444,"REORDER","OK"))</f>
        <v/>
      </c>
    </row>
    <row r="445" customFormat="false" ht="15" hidden="false" customHeight="false" outlineLevel="0" collapsed="false">
      <c r="A445" s="16" t="str">
        <f aca="false">IF(Products!A445="","",Products!A445)</f>
        <v/>
      </c>
      <c r="B445" s="16" t="str">
        <f aca="false">IF(Products!A445="","",Products!C445)</f>
        <v/>
      </c>
      <c r="C445" s="8" t="str">
        <f aca="false">IF(A445="","",SUMIFS(InventoryMovements!$E$5:$E$504,InventoryMovements!$C$5:$C$504,A445))</f>
        <v/>
      </c>
      <c r="D445" s="17" t="str">
        <f aca="false">IF(A445="","",Products!J445)</f>
        <v/>
      </c>
      <c r="E445" s="18" t="str">
        <f aca="false">IF(A445="","",IF(C445&lt;=D445,"REORDER","OK"))</f>
        <v/>
      </c>
    </row>
    <row r="446" customFormat="false" ht="15" hidden="false" customHeight="false" outlineLevel="0" collapsed="false">
      <c r="A446" s="16" t="str">
        <f aca="false">IF(Products!A446="","",Products!A446)</f>
        <v/>
      </c>
      <c r="B446" s="16" t="str">
        <f aca="false">IF(Products!A446="","",Products!C446)</f>
        <v/>
      </c>
      <c r="C446" s="8" t="str">
        <f aca="false">IF(A446="","",SUMIFS(InventoryMovements!$E$5:$E$504,InventoryMovements!$C$5:$C$504,A446))</f>
        <v/>
      </c>
      <c r="D446" s="17" t="str">
        <f aca="false">IF(A446="","",Products!J446)</f>
        <v/>
      </c>
      <c r="E446" s="18" t="str">
        <f aca="false">IF(A446="","",IF(C446&lt;=D446,"REORDER","OK"))</f>
        <v/>
      </c>
    </row>
    <row r="447" customFormat="false" ht="15" hidden="false" customHeight="false" outlineLevel="0" collapsed="false">
      <c r="A447" s="16" t="str">
        <f aca="false">IF(Products!A447="","",Products!A447)</f>
        <v/>
      </c>
      <c r="B447" s="16" t="str">
        <f aca="false">IF(Products!A447="","",Products!C447)</f>
        <v/>
      </c>
      <c r="C447" s="8" t="str">
        <f aca="false">IF(A447="","",SUMIFS(InventoryMovements!$E$5:$E$504,InventoryMovements!$C$5:$C$504,A447))</f>
        <v/>
      </c>
      <c r="D447" s="17" t="str">
        <f aca="false">IF(A447="","",Products!J447)</f>
        <v/>
      </c>
      <c r="E447" s="18" t="str">
        <f aca="false">IF(A447="","",IF(C447&lt;=D447,"REORDER","OK"))</f>
        <v/>
      </c>
    </row>
    <row r="448" customFormat="false" ht="15" hidden="false" customHeight="false" outlineLevel="0" collapsed="false">
      <c r="A448" s="16" t="str">
        <f aca="false">IF(Products!A448="","",Products!A448)</f>
        <v/>
      </c>
      <c r="B448" s="16" t="str">
        <f aca="false">IF(Products!A448="","",Products!C448)</f>
        <v/>
      </c>
      <c r="C448" s="8" t="str">
        <f aca="false">IF(A448="","",SUMIFS(InventoryMovements!$E$5:$E$504,InventoryMovements!$C$5:$C$504,A448))</f>
        <v/>
      </c>
      <c r="D448" s="17" t="str">
        <f aca="false">IF(A448="","",Products!J448)</f>
        <v/>
      </c>
      <c r="E448" s="18" t="str">
        <f aca="false">IF(A448="","",IF(C448&lt;=D448,"REORDER","OK"))</f>
        <v/>
      </c>
    </row>
    <row r="449" customFormat="false" ht="15" hidden="false" customHeight="false" outlineLevel="0" collapsed="false">
      <c r="A449" s="16" t="str">
        <f aca="false">IF(Products!A449="","",Products!A449)</f>
        <v/>
      </c>
      <c r="B449" s="16" t="str">
        <f aca="false">IF(Products!A449="","",Products!C449)</f>
        <v/>
      </c>
      <c r="C449" s="8" t="str">
        <f aca="false">IF(A449="","",SUMIFS(InventoryMovements!$E$5:$E$504,InventoryMovements!$C$5:$C$504,A449))</f>
        <v/>
      </c>
      <c r="D449" s="17" t="str">
        <f aca="false">IF(A449="","",Products!J449)</f>
        <v/>
      </c>
      <c r="E449" s="18" t="str">
        <f aca="false">IF(A449="","",IF(C449&lt;=D449,"REORDER","OK"))</f>
        <v/>
      </c>
    </row>
    <row r="450" customFormat="false" ht="15" hidden="false" customHeight="false" outlineLevel="0" collapsed="false">
      <c r="A450" s="16" t="str">
        <f aca="false">IF(Products!A450="","",Products!A450)</f>
        <v/>
      </c>
      <c r="B450" s="16" t="str">
        <f aca="false">IF(Products!A450="","",Products!C450)</f>
        <v/>
      </c>
      <c r="C450" s="8" t="str">
        <f aca="false">IF(A450="","",SUMIFS(InventoryMovements!$E$5:$E$504,InventoryMovements!$C$5:$C$504,A450))</f>
        <v/>
      </c>
      <c r="D450" s="17" t="str">
        <f aca="false">IF(A450="","",Products!J450)</f>
        <v/>
      </c>
      <c r="E450" s="18" t="str">
        <f aca="false">IF(A450="","",IF(C450&lt;=D450,"REORDER","OK"))</f>
        <v/>
      </c>
    </row>
    <row r="451" customFormat="false" ht="15" hidden="false" customHeight="false" outlineLevel="0" collapsed="false">
      <c r="A451" s="16" t="str">
        <f aca="false">IF(Products!A451="","",Products!A451)</f>
        <v/>
      </c>
      <c r="B451" s="16" t="str">
        <f aca="false">IF(Products!A451="","",Products!C451)</f>
        <v/>
      </c>
      <c r="C451" s="8" t="str">
        <f aca="false">IF(A451="","",SUMIFS(InventoryMovements!$E$5:$E$504,InventoryMovements!$C$5:$C$504,A451))</f>
        <v/>
      </c>
      <c r="D451" s="17" t="str">
        <f aca="false">IF(A451="","",Products!J451)</f>
        <v/>
      </c>
      <c r="E451" s="18" t="str">
        <f aca="false">IF(A451="","",IF(C451&lt;=D451,"REORDER","OK"))</f>
        <v/>
      </c>
    </row>
    <row r="452" customFormat="false" ht="15" hidden="false" customHeight="false" outlineLevel="0" collapsed="false">
      <c r="A452" s="16" t="str">
        <f aca="false">IF(Products!A452="","",Products!A452)</f>
        <v/>
      </c>
      <c r="B452" s="16" t="str">
        <f aca="false">IF(Products!A452="","",Products!C452)</f>
        <v/>
      </c>
      <c r="C452" s="8" t="str">
        <f aca="false">IF(A452="","",SUMIFS(InventoryMovements!$E$5:$E$504,InventoryMovements!$C$5:$C$504,A452))</f>
        <v/>
      </c>
      <c r="D452" s="17" t="str">
        <f aca="false">IF(A452="","",Products!J452)</f>
        <v/>
      </c>
      <c r="E452" s="18" t="str">
        <f aca="false">IF(A452="","",IF(C452&lt;=D452,"REORDER","OK"))</f>
        <v/>
      </c>
    </row>
    <row r="453" customFormat="false" ht="15" hidden="false" customHeight="false" outlineLevel="0" collapsed="false">
      <c r="A453" s="16" t="str">
        <f aca="false">IF(Products!A453="","",Products!A453)</f>
        <v/>
      </c>
      <c r="B453" s="16" t="str">
        <f aca="false">IF(Products!A453="","",Products!C453)</f>
        <v/>
      </c>
      <c r="C453" s="8" t="str">
        <f aca="false">IF(A453="","",SUMIFS(InventoryMovements!$E$5:$E$504,InventoryMovements!$C$5:$C$504,A453))</f>
        <v/>
      </c>
      <c r="D453" s="17" t="str">
        <f aca="false">IF(A453="","",Products!J453)</f>
        <v/>
      </c>
      <c r="E453" s="18" t="str">
        <f aca="false">IF(A453="","",IF(C453&lt;=D453,"REORDER","OK"))</f>
        <v/>
      </c>
    </row>
    <row r="454" customFormat="false" ht="15" hidden="false" customHeight="false" outlineLevel="0" collapsed="false">
      <c r="A454" s="16" t="str">
        <f aca="false">IF(Products!A454="","",Products!A454)</f>
        <v/>
      </c>
      <c r="B454" s="16" t="str">
        <f aca="false">IF(Products!A454="","",Products!C454)</f>
        <v/>
      </c>
      <c r="C454" s="8" t="str">
        <f aca="false">IF(A454="","",SUMIFS(InventoryMovements!$E$5:$E$504,InventoryMovements!$C$5:$C$504,A454))</f>
        <v/>
      </c>
      <c r="D454" s="17" t="str">
        <f aca="false">IF(A454="","",Products!J454)</f>
        <v/>
      </c>
      <c r="E454" s="18" t="str">
        <f aca="false">IF(A454="","",IF(C454&lt;=D454,"REORDER","OK"))</f>
        <v/>
      </c>
    </row>
    <row r="455" customFormat="false" ht="15" hidden="false" customHeight="false" outlineLevel="0" collapsed="false">
      <c r="A455" s="16" t="str">
        <f aca="false">IF(Products!A455="","",Products!A455)</f>
        <v/>
      </c>
      <c r="B455" s="16" t="str">
        <f aca="false">IF(Products!A455="","",Products!C455)</f>
        <v/>
      </c>
      <c r="C455" s="8" t="str">
        <f aca="false">IF(A455="","",SUMIFS(InventoryMovements!$E$5:$E$504,InventoryMovements!$C$5:$C$504,A455))</f>
        <v/>
      </c>
      <c r="D455" s="17" t="str">
        <f aca="false">IF(A455="","",Products!J455)</f>
        <v/>
      </c>
      <c r="E455" s="18" t="str">
        <f aca="false">IF(A455="","",IF(C455&lt;=D455,"REORDER","OK"))</f>
        <v/>
      </c>
    </row>
    <row r="456" customFormat="false" ht="15" hidden="false" customHeight="false" outlineLevel="0" collapsed="false">
      <c r="A456" s="16" t="str">
        <f aca="false">IF(Products!A456="","",Products!A456)</f>
        <v/>
      </c>
      <c r="B456" s="16" t="str">
        <f aca="false">IF(Products!A456="","",Products!C456)</f>
        <v/>
      </c>
      <c r="C456" s="8" t="str">
        <f aca="false">IF(A456="","",SUMIFS(InventoryMovements!$E$5:$E$504,InventoryMovements!$C$5:$C$504,A456))</f>
        <v/>
      </c>
      <c r="D456" s="17" t="str">
        <f aca="false">IF(A456="","",Products!J456)</f>
        <v/>
      </c>
      <c r="E456" s="18" t="str">
        <f aca="false">IF(A456="","",IF(C456&lt;=D456,"REORDER","OK"))</f>
        <v/>
      </c>
    </row>
    <row r="457" customFormat="false" ht="15" hidden="false" customHeight="false" outlineLevel="0" collapsed="false">
      <c r="A457" s="16" t="str">
        <f aca="false">IF(Products!A457="","",Products!A457)</f>
        <v/>
      </c>
      <c r="B457" s="16" t="str">
        <f aca="false">IF(Products!A457="","",Products!C457)</f>
        <v/>
      </c>
      <c r="C457" s="8" t="str">
        <f aca="false">IF(A457="","",SUMIFS(InventoryMovements!$E$5:$E$504,InventoryMovements!$C$5:$C$504,A457))</f>
        <v/>
      </c>
      <c r="D457" s="17" t="str">
        <f aca="false">IF(A457="","",Products!J457)</f>
        <v/>
      </c>
      <c r="E457" s="18" t="str">
        <f aca="false">IF(A457="","",IF(C457&lt;=D457,"REORDER","OK"))</f>
        <v/>
      </c>
    </row>
    <row r="458" customFormat="false" ht="15" hidden="false" customHeight="false" outlineLevel="0" collapsed="false">
      <c r="A458" s="16" t="str">
        <f aca="false">IF(Products!A458="","",Products!A458)</f>
        <v/>
      </c>
      <c r="B458" s="16" t="str">
        <f aca="false">IF(Products!A458="","",Products!C458)</f>
        <v/>
      </c>
      <c r="C458" s="8" t="str">
        <f aca="false">IF(A458="","",SUMIFS(InventoryMovements!$E$5:$E$504,InventoryMovements!$C$5:$C$504,A458))</f>
        <v/>
      </c>
      <c r="D458" s="17" t="str">
        <f aca="false">IF(A458="","",Products!J458)</f>
        <v/>
      </c>
      <c r="E458" s="18" t="str">
        <f aca="false">IF(A458="","",IF(C458&lt;=D458,"REORDER","OK"))</f>
        <v/>
      </c>
    </row>
    <row r="459" customFormat="false" ht="15" hidden="false" customHeight="false" outlineLevel="0" collapsed="false">
      <c r="A459" s="16" t="str">
        <f aca="false">IF(Products!A459="","",Products!A459)</f>
        <v/>
      </c>
      <c r="B459" s="16" t="str">
        <f aca="false">IF(Products!A459="","",Products!C459)</f>
        <v/>
      </c>
      <c r="C459" s="8" t="str">
        <f aca="false">IF(A459="","",SUMIFS(InventoryMovements!$E$5:$E$504,InventoryMovements!$C$5:$C$504,A459))</f>
        <v/>
      </c>
      <c r="D459" s="17" t="str">
        <f aca="false">IF(A459="","",Products!J459)</f>
        <v/>
      </c>
      <c r="E459" s="18" t="str">
        <f aca="false">IF(A459="","",IF(C459&lt;=D459,"REORDER","OK"))</f>
        <v/>
      </c>
    </row>
    <row r="460" customFormat="false" ht="15" hidden="false" customHeight="false" outlineLevel="0" collapsed="false">
      <c r="A460" s="16" t="str">
        <f aca="false">IF(Products!A460="","",Products!A460)</f>
        <v/>
      </c>
      <c r="B460" s="16" t="str">
        <f aca="false">IF(Products!A460="","",Products!C460)</f>
        <v/>
      </c>
      <c r="C460" s="8" t="str">
        <f aca="false">IF(A460="","",SUMIFS(InventoryMovements!$E$5:$E$504,InventoryMovements!$C$5:$C$504,A460))</f>
        <v/>
      </c>
      <c r="D460" s="17" t="str">
        <f aca="false">IF(A460="","",Products!J460)</f>
        <v/>
      </c>
      <c r="E460" s="18" t="str">
        <f aca="false">IF(A460="","",IF(C460&lt;=D460,"REORDER","OK"))</f>
        <v/>
      </c>
    </row>
    <row r="461" customFormat="false" ht="15" hidden="false" customHeight="false" outlineLevel="0" collapsed="false">
      <c r="A461" s="16" t="str">
        <f aca="false">IF(Products!A461="","",Products!A461)</f>
        <v/>
      </c>
      <c r="B461" s="16" t="str">
        <f aca="false">IF(Products!A461="","",Products!C461)</f>
        <v/>
      </c>
      <c r="C461" s="8" t="str">
        <f aca="false">IF(A461="","",SUMIFS(InventoryMovements!$E$5:$E$504,InventoryMovements!$C$5:$C$504,A461))</f>
        <v/>
      </c>
      <c r="D461" s="17" t="str">
        <f aca="false">IF(A461="","",Products!J461)</f>
        <v/>
      </c>
      <c r="E461" s="18" t="str">
        <f aca="false">IF(A461="","",IF(C461&lt;=D461,"REORDER","OK"))</f>
        <v/>
      </c>
    </row>
    <row r="462" customFormat="false" ht="15" hidden="false" customHeight="false" outlineLevel="0" collapsed="false">
      <c r="A462" s="16" t="str">
        <f aca="false">IF(Products!A462="","",Products!A462)</f>
        <v/>
      </c>
      <c r="B462" s="16" t="str">
        <f aca="false">IF(Products!A462="","",Products!C462)</f>
        <v/>
      </c>
      <c r="C462" s="8" t="str">
        <f aca="false">IF(A462="","",SUMIFS(InventoryMovements!$E$5:$E$504,InventoryMovements!$C$5:$C$504,A462))</f>
        <v/>
      </c>
      <c r="D462" s="17" t="str">
        <f aca="false">IF(A462="","",Products!J462)</f>
        <v/>
      </c>
      <c r="E462" s="18" t="str">
        <f aca="false">IF(A462="","",IF(C462&lt;=D462,"REORDER","OK"))</f>
        <v/>
      </c>
    </row>
    <row r="463" customFormat="false" ht="15" hidden="false" customHeight="false" outlineLevel="0" collapsed="false">
      <c r="A463" s="16" t="str">
        <f aca="false">IF(Products!A463="","",Products!A463)</f>
        <v/>
      </c>
      <c r="B463" s="16" t="str">
        <f aca="false">IF(Products!A463="","",Products!C463)</f>
        <v/>
      </c>
      <c r="C463" s="8" t="str">
        <f aca="false">IF(A463="","",SUMIFS(InventoryMovements!$E$5:$E$504,InventoryMovements!$C$5:$C$504,A463))</f>
        <v/>
      </c>
      <c r="D463" s="17" t="str">
        <f aca="false">IF(A463="","",Products!J463)</f>
        <v/>
      </c>
      <c r="E463" s="18" t="str">
        <f aca="false">IF(A463="","",IF(C463&lt;=D463,"REORDER","OK"))</f>
        <v/>
      </c>
    </row>
    <row r="464" customFormat="false" ht="15" hidden="false" customHeight="false" outlineLevel="0" collapsed="false">
      <c r="A464" s="16" t="str">
        <f aca="false">IF(Products!A464="","",Products!A464)</f>
        <v/>
      </c>
      <c r="B464" s="16" t="str">
        <f aca="false">IF(Products!A464="","",Products!C464)</f>
        <v/>
      </c>
      <c r="C464" s="8" t="str">
        <f aca="false">IF(A464="","",SUMIFS(InventoryMovements!$E$5:$E$504,InventoryMovements!$C$5:$C$504,A464))</f>
        <v/>
      </c>
      <c r="D464" s="17" t="str">
        <f aca="false">IF(A464="","",Products!J464)</f>
        <v/>
      </c>
      <c r="E464" s="18" t="str">
        <f aca="false">IF(A464="","",IF(C464&lt;=D464,"REORDER","OK"))</f>
        <v/>
      </c>
    </row>
    <row r="465" customFormat="false" ht="15" hidden="false" customHeight="false" outlineLevel="0" collapsed="false">
      <c r="A465" s="16" t="str">
        <f aca="false">IF(Products!A465="","",Products!A465)</f>
        <v/>
      </c>
      <c r="B465" s="16" t="str">
        <f aca="false">IF(Products!A465="","",Products!C465)</f>
        <v/>
      </c>
      <c r="C465" s="8" t="str">
        <f aca="false">IF(A465="","",SUMIFS(InventoryMovements!$E$5:$E$504,InventoryMovements!$C$5:$C$504,A465))</f>
        <v/>
      </c>
      <c r="D465" s="17" t="str">
        <f aca="false">IF(A465="","",Products!J465)</f>
        <v/>
      </c>
      <c r="E465" s="18" t="str">
        <f aca="false">IF(A465="","",IF(C465&lt;=D465,"REORDER","OK"))</f>
        <v/>
      </c>
    </row>
    <row r="466" customFormat="false" ht="15" hidden="false" customHeight="false" outlineLevel="0" collapsed="false">
      <c r="A466" s="16" t="str">
        <f aca="false">IF(Products!A466="","",Products!A466)</f>
        <v/>
      </c>
      <c r="B466" s="16" t="str">
        <f aca="false">IF(Products!A466="","",Products!C466)</f>
        <v/>
      </c>
      <c r="C466" s="8" t="str">
        <f aca="false">IF(A466="","",SUMIFS(InventoryMovements!$E$5:$E$504,InventoryMovements!$C$5:$C$504,A466))</f>
        <v/>
      </c>
      <c r="D466" s="17" t="str">
        <f aca="false">IF(A466="","",Products!J466)</f>
        <v/>
      </c>
      <c r="E466" s="18" t="str">
        <f aca="false">IF(A466="","",IF(C466&lt;=D466,"REORDER","OK"))</f>
        <v/>
      </c>
    </row>
    <row r="467" customFormat="false" ht="15" hidden="false" customHeight="false" outlineLevel="0" collapsed="false">
      <c r="A467" s="16" t="str">
        <f aca="false">IF(Products!A467="","",Products!A467)</f>
        <v/>
      </c>
      <c r="B467" s="16" t="str">
        <f aca="false">IF(Products!A467="","",Products!C467)</f>
        <v/>
      </c>
      <c r="C467" s="8" t="str">
        <f aca="false">IF(A467="","",SUMIFS(InventoryMovements!$E$5:$E$504,InventoryMovements!$C$5:$C$504,A467))</f>
        <v/>
      </c>
      <c r="D467" s="17" t="str">
        <f aca="false">IF(A467="","",Products!J467)</f>
        <v/>
      </c>
      <c r="E467" s="18" t="str">
        <f aca="false">IF(A467="","",IF(C467&lt;=D467,"REORDER","OK"))</f>
        <v/>
      </c>
    </row>
    <row r="468" customFormat="false" ht="15" hidden="false" customHeight="false" outlineLevel="0" collapsed="false">
      <c r="A468" s="16" t="str">
        <f aca="false">IF(Products!A468="","",Products!A468)</f>
        <v/>
      </c>
      <c r="B468" s="16" t="str">
        <f aca="false">IF(Products!A468="","",Products!C468)</f>
        <v/>
      </c>
      <c r="C468" s="8" t="str">
        <f aca="false">IF(A468="","",SUMIFS(InventoryMovements!$E$5:$E$504,InventoryMovements!$C$5:$C$504,A468))</f>
        <v/>
      </c>
      <c r="D468" s="17" t="str">
        <f aca="false">IF(A468="","",Products!J468)</f>
        <v/>
      </c>
      <c r="E468" s="18" t="str">
        <f aca="false">IF(A468="","",IF(C468&lt;=D468,"REORDER","OK"))</f>
        <v/>
      </c>
    </row>
    <row r="469" customFormat="false" ht="15" hidden="false" customHeight="false" outlineLevel="0" collapsed="false">
      <c r="A469" s="16" t="str">
        <f aca="false">IF(Products!A469="","",Products!A469)</f>
        <v/>
      </c>
      <c r="B469" s="16" t="str">
        <f aca="false">IF(Products!A469="","",Products!C469)</f>
        <v/>
      </c>
      <c r="C469" s="8" t="str">
        <f aca="false">IF(A469="","",SUMIFS(InventoryMovements!$E$5:$E$504,InventoryMovements!$C$5:$C$504,A469))</f>
        <v/>
      </c>
      <c r="D469" s="17" t="str">
        <f aca="false">IF(A469="","",Products!J469)</f>
        <v/>
      </c>
      <c r="E469" s="18" t="str">
        <f aca="false">IF(A469="","",IF(C469&lt;=D469,"REORDER","OK"))</f>
        <v/>
      </c>
    </row>
    <row r="470" customFormat="false" ht="15" hidden="false" customHeight="false" outlineLevel="0" collapsed="false">
      <c r="A470" s="16" t="str">
        <f aca="false">IF(Products!A470="","",Products!A470)</f>
        <v/>
      </c>
      <c r="B470" s="16" t="str">
        <f aca="false">IF(Products!A470="","",Products!C470)</f>
        <v/>
      </c>
      <c r="C470" s="8" t="str">
        <f aca="false">IF(A470="","",SUMIFS(InventoryMovements!$E$5:$E$504,InventoryMovements!$C$5:$C$504,A470))</f>
        <v/>
      </c>
      <c r="D470" s="17" t="str">
        <f aca="false">IF(A470="","",Products!J470)</f>
        <v/>
      </c>
      <c r="E470" s="18" t="str">
        <f aca="false">IF(A470="","",IF(C470&lt;=D470,"REORDER","OK"))</f>
        <v/>
      </c>
    </row>
    <row r="471" customFormat="false" ht="15" hidden="false" customHeight="false" outlineLevel="0" collapsed="false">
      <c r="A471" s="16" t="str">
        <f aca="false">IF(Products!A471="","",Products!A471)</f>
        <v/>
      </c>
      <c r="B471" s="16" t="str">
        <f aca="false">IF(Products!A471="","",Products!C471)</f>
        <v/>
      </c>
      <c r="C471" s="8" t="str">
        <f aca="false">IF(A471="","",SUMIFS(InventoryMovements!$E$5:$E$504,InventoryMovements!$C$5:$C$504,A471))</f>
        <v/>
      </c>
      <c r="D471" s="17" t="str">
        <f aca="false">IF(A471="","",Products!J471)</f>
        <v/>
      </c>
      <c r="E471" s="18" t="str">
        <f aca="false">IF(A471="","",IF(C471&lt;=D471,"REORDER","OK"))</f>
        <v/>
      </c>
    </row>
    <row r="472" customFormat="false" ht="15" hidden="false" customHeight="false" outlineLevel="0" collapsed="false">
      <c r="A472" s="16" t="str">
        <f aca="false">IF(Products!A472="","",Products!A472)</f>
        <v/>
      </c>
      <c r="B472" s="16" t="str">
        <f aca="false">IF(Products!A472="","",Products!C472)</f>
        <v/>
      </c>
      <c r="C472" s="8" t="str">
        <f aca="false">IF(A472="","",SUMIFS(InventoryMovements!$E$5:$E$504,InventoryMovements!$C$5:$C$504,A472))</f>
        <v/>
      </c>
      <c r="D472" s="17" t="str">
        <f aca="false">IF(A472="","",Products!J472)</f>
        <v/>
      </c>
      <c r="E472" s="18" t="str">
        <f aca="false">IF(A472="","",IF(C472&lt;=D472,"REORDER","OK"))</f>
        <v/>
      </c>
    </row>
    <row r="473" customFormat="false" ht="15" hidden="false" customHeight="false" outlineLevel="0" collapsed="false">
      <c r="A473" s="16" t="str">
        <f aca="false">IF(Products!A473="","",Products!A473)</f>
        <v/>
      </c>
      <c r="B473" s="16" t="str">
        <f aca="false">IF(Products!A473="","",Products!C473)</f>
        <v/>
      </c>
      <c r="C473" s="8" t="str">
        <f aca="false">IF(A473="","",SUMIFS(InventoryMovements!$E$5:$E$504,InventoryMovements!$C$5:$C$504,A473))</f>
        <v/>
      </c>
      <c r="D473" s="17" t="str">
        <f aca="false">IF(A473="","",Products!J473)</f>
        <v/>
      </c>
      <c r="E473" s="18" t="str">
        <f aca="false">IF(A473="","",IF(C473&lt;=D473,"REORDER","OK"))</f>
        <v/>
      </c>
    </row>
    <row r="474" customFormat="false" ht="15" hidden="false" customHeight="false" outlineLevel="0" collapsed="false">
      <c r="A474" s="16" t="str">
        <f aca="false">IF(Products!A474="","",Products!A474)</f>
        <v/>
      </c>
      <c r="B474" s="16" t="str">
        <f aca="false">IF(Products!A474="","",Products!C474)</f>
        <v/>
      </c>
      <c r="C474" s="8" t="str">
        <f aca="false">IF(A474="","",SUMIFS(InventoryMovements!$E$5:$E$504,InventoryMovements!$C$5:$C$504,A474))</f>
        <v/>
      </c>
      <c r="D474" s="17" t="str">
        <f aca="false">IF(A474="","",Products!J474)</f>
        <v/>
      </c>
      <c r="E474" s="18" t="str">
        <f aca="false">IF(A474="","",IF(C474&lt;=D474,"REORDER","OK"))</f>
        <v/>
      </c>
    </row>
    <row r="475" customFormat="false" ht="15" hidden="false" customHeight="false" outlineLevel="0" collapsed="false">
      <c r="A475" s="16" t="str">
        <f aca="false">IF(Products!A475="","",Products!A475)</f>
        <v/>
      </c>
      <c r="B475" s="16" t="str">
        <f aca="false">IF(Products!A475="","",Products!C475)</f>
        <v/>
      </c>
      <c r="C475" s="8" t="str">
        <f aca="false">IF(A475="","",SUMIFS(InventoryMovements!$E$5:$E$504,InventoryMovements!$C$5:$C$504,A475))</f>
        <v/>
      </c>
      <c r="D475" s="17" t="str">
        <f aca="false">IF(A475="","",Products!J475)</f>
        <v/>
      </c>
      <c r="E475" s="18" t="str">
        <f aca="false">IF(A475="","",IF(C475&lt;=D475,"REORDER","OK"))</f>
        <v/>
      </c>
    </row>
    <row r="476" customFormat="false" ht="15" hidden="false" customHeight="false" outlineLevel="0" collapsed="false">
      <c r="A476" s="16" t="str">
        <f aca="false">IF(Products!A476="","",Products!A476)</f>
        <v/>
      </c>
      <c r="B476" s="16" t="str">
        <f aca="false">IF(Products!A476="","",Products!C476)</f>
        <v/>
      </c>
      <c r="C476" s="8" t="str">
        <f aca="false">IF(A476="","",SUMIFS(InventoryMovements!$E$5:$E$504,InventoryMovements!$C$5:$C$504,A476))</f>
        <v/>
      </c>
      <c r="D476" s="17" t="str">
        <f aca="false">IF(A476="","",Products!J476)</f>
        <v/>
      </c>
      <c r="E476" s="18" t="str">
        <f aca="false">IF(A476="","",IF(C476&lt;=D476,"REORDER","OK"))</f>
        <v/>
      </c>
    </row>
    <row r="477" customFormat="false" ht="15" hidden="false" customHeight="false" outlineLevel="0" collapsed="false">
      <c r="A477" s="16" t="str">
        <f aca="false">IF(Products!A477="","",Products!A477)</f>
        <v/>
      </c>
      <c r="B477" s="16" t="str">
        <f aca="false">IF(Products!A477="","",Products!C477)</f>
        <v/>
      </c>
      <c r="C477" s="8" t="str">
        <f aca="false">IF(A477="","",SUMIFS(InventoryMovements!$E$5:$E$504,InventoryMovements!$C$5:$C$504,A477))</f>
        <v/>
      </c>
      <c r="D477" s="17" t="str">
        <f aca="false">IF(A477="","",Products!J477)</f>
        <v/>
      </c>
      <c r="E477" s="18" t="str">
        <f aca="false">IF(A477="","",IF(C477&lt;=D477,"REORDER","OK"))</f>
        <v/>
      </c>
    </row>
    <row r="478" customFormat="false" ht="15" hidden="false" customHeight="false" outlineLevel="0" collapsed="false">
      <c r="A478" s="16" t="str">
        <f aca="false">IF(Products!A478="","",Products!A478)</f>
        <v/>
      </c>
      <c r="B478" s="16" t="str">
        <f aca="false">IF(Products!A478="","",Products!C478)</f>
        <v/>
      </c>
      <c r="C478" s="8" t="str">
        <f aca="false">IF(A478="","",SUMIFS(InventoryMovements!$E$5:$E$504,InventoryMovements!$C$5:$C$504,A478))</f>
        <v/>
      </c>
      <c r="D478" s="17" t="str">
        <f aca="false">IF(A478="","",Products!J478)</f>
        <v/>
      </c>
      <c r="E478" s="18" t="str">
        <f aca="false">IF(A478="","",IF(C478&lt;=D478,"REORDER","OK"))</f>
        <v/>
      </c>
    </row>
    <row r="479" customFormat="false" ht="15" hidden="false" customHeight="false" outlineLevel="0" collapsed="false">
      <c r="A479" s="16" t="str">
        <f aca="false">IF(Products!A479="","",Products!A479)</f>
        <v/>
      </c>
      <c r="B479" s="16" t="str">
        <f aca="false">IF(Products!A479="","",Products!C479)</f>
        <v/>
      </c>
      <c r="C479" s="8" t="str">
        <f aca="false">IF(A479="","",SUMIFS(InventoryMovements!$E$5:$E$504,InventoryMovements!$C$5:$C$504,A479))</f>
        <v/>
      </c>
      <c r="D479" s="17" t="str">
        <f aca="false">IF(A479="","",Products!J479)</f>
        <v/>
      </c>
      <c r="E479" s="18" t="str">
        <f aca="false">IF(A479="","",IF(C479&lt;=D479,"REORDER","OK"))</f>
        <v/>
      </c>
    </row>
    <row r="480" customFormat="false" ht="15" hidden="false" customHeight="false" outlineLevel="0" collapsed="false">
      <c r="A480" s="16" t="str">
        <f aca="false">IF(Products!A480="","",Products!A480)</f>
        <v/>
      </c>
      <c r="B480" s="16" t="str">
        <f aca="false">IF(Products!A480="","",Products!C480)</f>
        <v/>
      </c>
      <c r="C480" s="8" t="str">
        <f aca="false">IF(A480="","",SUMIFS(InventoryMovements!$E$5:$E$504,InventoryMovements!$C$5:$C$504,A480))</f>
        <v/>
      </c>
      <c r="D480" s="17" t="str">
        <f aca="false">IF(A480="","",Products!J480)</f>
        <v/>
      </c>
      <c r="E480" s="18" t="str">
        <f aca="false">IF(A480="","",IF(C480&lt;=D480,"REORDER","OK"))</f>
        <v/>
      </c>
    </row>
    <row r="481" customFormat="false" ht="15" hidden="false" customHeight="false" outlineLevel="0" collapsed="false">
      <c r="A481" s="16" t="str">
        <f aca="false">IF(Products!A481="","",Products!A481)</f>
        <v/>
      </c>
      <c r="B481" s="16" t="str">
        <f aca="false">IF(Products!A481="","",Products!C481)</f>
        <v/>
      </c>
      <c r="C481" s="8" t="str">
        <f aca="false">IF(A481="","",SUMIFS(InventoryMovements!$E$5:$E$504,InventoryMovements!$C$5:$C$504,A481))</f>
        <v/>
      </c>
      <c r="D481" s="17" t="str">
        <f aca="false">IF(A481="","",Products!J481)</f>
        <v/>
      </c>
      <c r="E481" s="18" t="str">
        <f aca="false">IF(A481="","",IF(C481&lt;=D481,"REORDER","OK"))</f>
        <v/>
      </c>
    </row>
    <row r="482" customFormat="false" ht="15" hidden="false" customHeight="false" outlineLevel="0" collapsed="false">
      <c r="A482" s="16" t="str">
        <f aca="false">IF(Products!A482="","",Products!A482)</f>
        <v/>
      </c>
      <c r="B482" s="16" t="str">
        <f aca="false">IF(Products!A482="","",Products!C482)</f>
        <v/>
      </c>
      <c r="C482" s="8" t="str">
        <f aca="false">IF(A482="","",SUMIFS(InventoryMovements!$E$5:$E$504,InventoryMovements!$C$5:$C$504,A482))</f>
        <v/>
      </c>
      <c r="D482" s="17" t="str">
        <f aca="false">IF(A482="","",Products!J482)</f>
        <v/>
      </c>
      <c r="E482" s="18" t="str">
        <f aca="false">IF(A482="","",IF(C482&lt;=D482,"REORDER","OK"))</f>
        <v/>
      </c>
    </row>
    <row r="483" customFormat="false" ht="15" hidden="false" customHeight="false" outlineLevel="0" collapsed="false">
      <c r="A483" s="16" t="str">
        <f aca="false">IF(Products!A483="","",Products!A483)</f>
        <v/>
      </c>
      <c r="B483" s="16" t="str">
        <f aca="false">IF(Products!A483="","",Products!C483)</f>
        <v/>
      </c>
      <c r="C483" s="8" t="str">
        <f aca="false">IF(A483="","",SUMIFS(InventoryMovements!$E$5:$E$504,InventoryMovements!$C$5:$C$504,A483))</f>
        <v/>
      </c>
      <c r="D483" s="17" t="str">
        <f aca="false">IF(A483="","",Products!J483)</f>
        <v/>
      </c>
      <c r="E483" s="18" t="str">
        <f aca="false">IF(A483="","",IF(C483&lt;=D483,"REORDER","OK"))</f>
        <v/>
      </c>
    </row>
    <row r="484" customFormat="false" ht="15" hidden="false" customHeight="false" outlineLevel="0" collapsed="false">
      <c r="A484" s="16" t="str">
        <f aca="false">IF(Products!A484="","",Products!A484)</f>
        <v/>
      </c>
      <c r="B484" s="16" t="str">
        <f aca="false">IF(Products!A484="","",Products!C484)</f>
        <v/>
      </c>
      <c r="C484" s="8" t="str">
        <f aca="false">IF(A484="","",SUMIFS(InventoryMovements!$E$5:$E$504,InventoryMovements!$C$5:$C$504,A484))</f>
        <v/>
      </c>
      <c r="D484" s="17" t="str">
        <f aca="false">IF(A484="","",Products!J484)</f>
        <v/>
      </c>
      <c r="E484" s="18" t="str">
        <f aca="false">IF(A484="","",IF(C484&lt;=D484,"REORDER","OK"))</f>
        <v/>
      </c>
    </row>
    <row r="485" customFormat="false" ht="15" hidden="false" customHeight="false" outlineLevel="0" collapsed="false">
      <c r="A485" s="16" t="str">
        <f aca="false">IF(Products!A485="","",Products!A485)</f>
        <v/>
      </c>
      <c r="B485" s="16" t="str">
        <f aca="false">IF(Products!A485="","",Products!C485)</f>
        <v/>
      </c>
      <c r="C485" s="8" t="str">
        <f aca="false">IF(A485="","",SUMIFS(InventoryMovements!$E$5:$E$504,InventoryMovements!$C$5:$C$504,A485))</f>
        <v/>
      </c>
      <c r="D485" s="17" t="str">
        <f aca="false">IF(A485="","",Products!J485)</f>
        <v/>
      </c>
      <c r="E485" s="18" t="str">
        <f aca="false">IF(A485="","",IF(C485&lt;=D485,"REORDER","OK"))</f>
        <v/>
      </c>
    </row>
    <row r="486" customFormat="false" ht="15" hidden="false" customHeight="false" outlineLevel="0" collapsed="false">
      <c r="A486" s="16" t="str">
        <f aca="false">IF(Products!A486="","",Products!A486)</f>
        <v/>
      </c>
      <c r="B486" s="16" t="str">
        <f aca="false">IF(Products!A486="","",Products!C486)</f>
        <v/>
      </c>
      <c r="C486" s="8" t="str">
        <f aca="false">IF(A486="","",SUMIFS(InventoryMovements!$E$5:$E$504,InventoryMovements!$C$5:$C$504,A486))</f>
        <v/>
      </c>
      <c r="D486" s="17" t="str">
        <f aca="false">IF(A486="","",Products!J486)</f>
        <v/>
      </c>
      <c r="E486" s="18" t="str">
        <f aca="false">IF(A486="","",IF(C486&lt;=D486,"REORDER","OK"))</f>
        <v/>
      </c>
    </row>
    <row r="487" customFormat="false" ht="15" hidden="false" customHeight="false" outlineLevel="0" collapsed="false">
      <c r="A487" s="16" t="str">
        <f aca="false">IF(Products!A487="","",Products!A487)</f>
        <v/>
      </c>
      <c r="B487" s="16" t="str">
        <f aca="false">IF(Products!A487="","",Products!C487)</f>
        <v/>
      </c>
      <c r="C487" s="8" t="str">
        <f aca="false">IF(A487="","",SUMIFS(InventoryMovements!$E$5:$E$504,InventoryMovements!$C$5:$C$504,A487))</f>
        <v/>
      </c>
      <c r="D487" s="17" t="str">
        <f aca="false">IF(A487="","",Products!J487)</f>
        <v/>
      </c>
      <c r="E487" s="18" t="str">
        <f aca="false">IF(A487="","",IF(C487&lt;=D487,"REORDER","OK"))</f>
        <v/>
      </c>
    </row>
    <row r="488" customFormat="false" ht="15" hidden="false" customHeight="false" outlineLevel="0" collapsed="false">
      <c r="A488" s="16" t="str">
        <f aca="false">IF(Products!A488="","",Products!A488)</f>
        <v/>
      </c>
      <c r="B488" s="16" t="str">
        <f aca="false">IF(Products!A488="","",Products!C488)</f>
        <v/>
      </c>
      <c r="C488" s="8" t="str">
        <f aca="false">IF(A488="","",SUMIFS(InventoryMovements!$E$5:$E$504,InventoryMovements!$C$5:$C$504,A488))</f>
        <v/>
      </c>
      <c r="D488" s="17" t="str">
        <f aca="false">IF(A488="","",Products!J488)</f>
        <v/>
      </c>
      <c r="E488" s="18" t="str">
        <f aca="false">IF(A488="","",IF(C488&lt;=D488,"REORDER","OK"))</f>
        <v/>
      </c>
    </row>
    <row r="489" customFormat="false" ht="15" hidden="false" customHeight="false" outlineLevel="0" collapsed="false">
      <c r="A489" s="16" t="str">
        <f aca="false">IF(Products!A489="","",Products!A489)</f>
        <v/>
      </c>
      <c r="B489" s="16" t="str">
        <f aca="false">IF(Products!A489="","",Products!C489)</f>
        <v/>
      </c>
      <c r="C489" s="8" t="str">
        <f aca="false">IF(A489="","",SUMIFS(InventoryMovements!$E$5:$E$504,InventoryMovements!$C$5:$C$504,A489))</f>
        <v/>
      </c>
      <c r="D489" s="17" t="str">
        <f aca="false">IF(A489="","",Products!J489)</f>
        <v/>
      </c>
      <c r="E489" s="18" t="str">
        <f aca="false">IF(A489="","",IF(C489&lt;=D489,"REORDER","OK"))</f>
        <v/>
      </c>
    </row>
    <row r="490" customFormat="false" ht="15" hidden="false" customHeight="false" outlineLevel="0" collapsed="false">
      <c r="A490" s="16" t="str">
        <f aca="false">IF(Products!A490="","",Products!A490)</f>
        <v/>
      </c>
      <c r="B490" s="16" t="str">
        <f aca="false">IF(Products!A490="","",Products!C490)</f>
        <v/>
      </c>
      <c r="C490" s="8" t="str">
        <f aca="false">IF(A490="","",SUMIFS(InventoryMovements!$E$5:$E$504,InventoryMovements!$C$5:$C$504,A490))</f>
        <v/>
      </c>
      <c r="D490" s="17" t="str">
        <f aca="false">IF(A490="","",Products!J490)</f>
        <v/>
      </c>
      <c r="E490" s="18" t="str">
        <f aca="false">IF(A490="","",IF(C490&lt;=D490,"REORDER","OK"))</f>
        <v/>
      </c>
    </row>
    <row r="491" customFormat="false" ht="15" hidden="false" customHeight="false" outlineLevel="0" collapsed="false">
      <c r="A491" s="16" t="str">
        <f aca="false">IF(Products!A491="","",Products!A491)</f>
        <v/>
      </c>
      <c r="B491" s="16" t="str">
        <f aca="false">IF(Products!A491="","",Products!C491)</f>
        <v/>
      </c>
      <c r="C491" s="8" t="str">
        <f aca="false">IF(A491="","",SUMIFS(InventoryMovements!$E$5:$E$504,InventoryMovements!$C$5:$C$504,A491))</f>
        <v/>
      </c>
      <c r="D491" s="17" t="str">
        <f aca="false">IF(A491="","",Products!J491)</f>
        <v/>
      </c>
      <c r="E491" s="18" t="str">
        <f aca="false">IF(A491="","",IF(C491&lt;=D491,"REORDER","OK"))</f>
        <v/>
      </c>
    </row>
    <row r="492" customFormat="false" ht="15" hidden="false" customHeight="false" outlineLevel="0" collapsed="false">
      <c r="A492" s="16" t="str">
        <f aca="false">IF(Products!A492="","",Products!A492)</f>
        <v/>
      </c>
      <c r="B492" s="16" t="str">
        <f aca="false">IF(Products!A492="","",Products!C492)</f>
        <v/>
      </c>
      <c r="C492" s="8" t="str">
        <f aca="false">IF(A492="","",SUMIFS(InventoryMovements!$E$5:$E$504,InventoryMovements!$C$5:$C$504,A492))</f>
        <v/>
      </c>
      <c r="D492" s="17" t="str">
        <f aca="false">IF(A492="","",Products!J492)</f>
        <v/>
      </c>
      <c r="E492" s="18" t="str">
        <f aca="false">IF(A492="","",IF(C492&lt;=D492,"REORDER","OK"))</f>
        <v/>
      </c>
    </row>
    <row r="493" customFormat="false" ht="15" hidden="false" customHeight="false" outlineLevel="0" collapsed="false">
      <c r="A493" s="16" t="str">
        <f aca="false">IF(Products!A493="","",Products!A493)</f>
        <v/>
      </c>
      <c r="B493" s="16" t="str">
        <f aca="false">IF(Products!A493="","",Products!C493)</f>
        <v/>
      </c>
      <c r="C493" s="8" t="str">
        <f aca="false">IF(A493="","",SUMIFS(InventoryMovements!$E$5:$E$504,InventoryMovements!$C$5:$C$504,A493))</f>
        <v/>
      </c>
      <c r="D493" s="17" t="str">
        <f aca="false">IF(A493="","",Products!J493)</f>
        <v/>
      </c>
      <c r="E493" s="18" t="str">
        <f aca="false">IF(A493="","",IF(C493&lt;=D493,"REORDER","OK"))</f>
        <v/>
      </c>
    </row>
    <row r="494" customFormat="false" ht="15" hidden="false" customHeight="false" outlineLevel="0" collapsed="false">
      <c r="A494" s="16" t="str">
        <f aca="false">IF(Products!A494="","",Products!A494)</f>
        <v/>
      </c>
      <c r="B494" s="16" t="str">
        <f aca="false">IF(Products!A494="","",Products!C494)</f>
        <v/>
      </c>
      <c r="C494" s="8" t="str">
        <f aca="false">IF(A494="","",SUMIFS(InventoryMovements!$E$5:$E$504,InventoryMovements!$C$5:$C$504,A494))</f>
        <v/>
      </c>
      <c r="D494" s="17" t="str">
        <f aca="false">IF(A494="","",Products!J494)</f>
        <v/>
      </c>
      <c r="E494" s="18" t="str">
        <f aca="false">IF(A494="","",IF(C494&lt;=D494,"REORDER","OK"))</f>
        <v/>
      </c>
    </row>
    <row r="495" customFormat="false" ht="15" hidden="false" customHeight="false" outlineLevel="0" collapsed="false">
      <c r="A495" s="16" t="str">
        <f aca="false">IF(Products!A495="","",Products!A495)</f>
        <v/>
      </c>
      <c r="B495" s="16" t="str">
        <f aca="false">IF(Products!A495="","",Products!C495)</f>
        <v/>
      </c>
      <c r="C495" s="8" t="str">
        <f aca="false">IF(A495="","",SUMIFS(InventoryMovements!$E$5:$E$504,InventoryMovements!$C$5:$C$504,A495))</f>
        <v/>
      </c>
      <c r="D495" s="17" t="str">
        <f aca="false">IF(A495="","",Products!J495)</f>
        <v/>
      </c>
      <c r="E495" s="18" t="str">
        <f aca="false">IF(A495="","",IF(C495&lt;=D495,"REORDER","OK"))</f>
        <v/>
      </c>
    </row>
    <row r="496" customFormat="false" ht="15" hidden="false" customHeight="false" outlineLevel="0" collapsed="false">
      <c r="A496" s="16" t="str">
        <f aca="false">IF(Products!A496="","",Products!A496)</f>
        <v/>
      </c>
      <c r="B496" s="16" t="str">
        <f aca="false">IF(Products!A496="","",Products!C496)</f>
        <v/>
      </c>
      <c r="C496" s="8" t="str">
        <f aca="false">IF(A496="","",SUMIFS(InventoryMovements!$E$5:$E$504,InventoryMovements!$C$5:$C$504,A496))</f>
        <v/>
      </c>
      <c r="D496" s="17" t="str">
        <f aca="false">IF(A496="","",Products!J496)</f>
        <v/>
      </c>
      <c r="E496" s="18" t="str">
        <f aca="false">IF(A496="","",IF(C496&lt;=D496,"REORDER","OK"))</f>
        <v/>
      </c>
    </row>
    <row r="497" customFormat="false" ht="15" hidden="false" customHeight="false" outlineLevel="0" collapsed="false">
      <c r="A497" s="16" t="str">
        <f aca="false">IF(Products!A497="","",Products!A497)</f>
        <v/>
      </c>
      <c r="B497" s="16" t="str">
        <f aca="false">IF(Products!A497="","",Products!C497)</f>
        <v/>
      </c>
      <c r="C497" s="8" t="str">
        <f aca="false">IF(A497="","",SUMIFS(InventoryMovements!$E$5:$E$504,InventoryMovements!$C$5:$C$504,A497))</f>
        <v/>
      </c>
      <c r="D497" s="17" t="str">
        <f aca="false">IF(A497="","",Products!J497)</f>
        <v/>
      </c>
      <c r="E497" s="18" t="str">
        <f aca="false">IF(A497="","",IF(C497&lt;=D497,"REORDER","OK"))</f>
        <v/>
      </c>
    </row>
    <row r="498" customFormat="false" ht="15" hidden="false" customHeight="false" outlineLevel="0" collapsed="false">
      <c r="A498" s="16" t="str">
        <f aca="false">IF(Products!A498="","",Products!A498)</f>
        <v/>
      </c>
      <c r="B498" s="16" t="str">
        <f aca="false">IF(Products!A498="","",Products!C498)</f>
        <v/>
      </c>
      <c r="C498" s="8" t="str">
        <f aca="false">IF(A498="","",SUMIFS(InventoryMovements!$E$5:$E$504,InventoryMovements!$C$5:$C$504,A498))</f>
        <v/>
      </c>
      <c r="D498" s="17" t="str">
        <f aca="false">IF(A498="","",Products!J498)</f>
        <v/>
      </c>
      <c r="E498" s="18" t="str">
        <f aca="false">IF(A498="","",IF(C498&lt;=D498,"REORDER","OK"))</f>
        <v/>
      </c>
    </row>
    <row r="499" customFormat="false" ht="15" hidden="false" customHeight="false" outlineLevel="0" collapsed="false">
      <c r="A499" s="16" t="str">
        <f aca="false">IF(Products!A499="","",Products!A499)</f>
        <v/>
      </c>
      <c r="B499" s="16" t="str">
        <f aca="false">IF(Products!A499="","",Products!C499)</f>
        <v/>
      </c>
      <c r="C499" s="8" t="str">
        <f aca="false">IF(A499="","",SUMIFS(InventoryMovements!$E$5:$E$504,InventoryMovements!$C$5:$C$504,A499))</f>
        <v/>
      </c>
      <c r="D499" s="17" t="str">
        <f aca="false">IF(A499="","",Products!J499)</f>
        <v/>
      </c>
      <c r="E499" s="18" t="str">
        <f aca="false">IF(A499="","",IF(C499&lt;=D499,"REORDER","OK"))</f>
        <v/>
      </c>
    </row>
    <row r="500" customFormat="false" ht="15" hidden="false" customHeight="false" outlineLevel="0" collapsed="false">
      <c r="A500" s="16" t="str">
        <f aca="false">IF(Products!A500="","",Products!A500)</f>
        <v/>
      </c>
      <c r="B500" s="16" t="str">
        <f aca="false">IF(Products!A500="","",Products!C500)</f>
        <v/>
      </c>
      <c r="C500" s="8" t="str">
        <f aca="false">IF(A500="","",SUMIFS(InventoryMovements!$E$5:$E$504,InventoryMovements!$C$5:$C$504,A500))</f>
        <v/>
      </c>
      <c r="D500" s="17" t="str">
        <f aca="false">IF(A500="","",Products!J500)</f>
        <v/>
      </c>
      <c r="E500" s="18" t="str">
        <f aca="false">IF(A500="","",IF(C500&lt;=D500,"REORDER","OK"))</f>
        <v/>
      </c>
    </row>
    <row r="501" customFormat="false" ht="15" hidden="false" customHeight="false" outlineLevel="0" collapsed="false">
      <c r="A501" s="16" t="str">
        <f aca="false">IF(Products!A501="","",Products!A501)</f>
        <v/>
      </c>
      <c r="B501" s="16" t="str">
        <f aca="false">IF(Products!A501="","",Products!C501)</f>
        <v/>
      </c>
      <c r="C501" s="8" t="str">
        <f aca="false">IF(A501="","",SUMIFS(InventoryMovements!$E$5:$E$504,InventoryMovements!$C$5:$C$504,A501))</f>
        <v/>
      </c>
      <c r="D501" s="17" t="str">
        <f aca="false">IF(A501="","",Products!J501)</f>
        <v/>
      </c>
      <c r="E501" s="18" t="str">
        <f aca="false">IF(A501="","",IF(C501&lt;=D501,"REORDER","OK"))</f>
        <v/>
      </c>
    </row>
    <row r="502" customFormat="false" ht="15" hidden="false" customHeight="false" outlineLevel="0" collapsed="false">
      <c r="A502" s="16" t="str">
        <f aca="false">IF(Products!A502="","",Products!A502)</f>
        <v/>
      </c>
      <c r="B502" s="16" t="str">
        <f aca="false">IF(Products!A502="","",Products!C502)</f>
        <v/>
      </c>
      <c r="C502" s="8" t="str">
        <f aca="false">IF(A502="","",SUMIFS(InventoryMovements!$E$5:$E$504,InventoryMovements!$C$5:$C$504,A502))</f>
        <v/>
      </c>
      <c r="D502" s="17" t="str">
        <f aca="false">IF(A502="","",Products!J502)</f>
        <v/>
      </c>
      <c r="E502" s="18" t="str">
        <f aca="false">IF(A502="","",IF(C502&lt;=D502,"REORDER","OK"))</f>
        <v/>
      </c>
    </row>
    <row r="503" customFormat="false" ht="15" hidden="false" customHeight="false" outlineLevel="0" collapsed="false">
      <c r="A503" s="16" t="str">
        <f aca="false">IF(Products!A503="","",Products!A503)</f>
        <v/>
      </c>
      <c r="B503" s="16" t="str">
        <f aca="false">IF(Products!A503="","",Products!C503)</f>
        <v/>
      </c>
      <c r="C503" s="8" t="str">
        <f aca="false">IF(A503="","",SUMIFS(InventoryMovements!$E$5:$E$504,InventoryMovements!$C$5:$C$504,A503))</f>
        <v/>
      </c>
      <c r="D503" s="17" t="str">
        <f aca="false">IF(A503="","",Products!J503)</f>
        <v/>
      </c>
      <c r="E503" s="18" t="str">
        <f aca="false">IF(A503="","",IF(C503&lt;=D503,"REORDER","OK"))</f>
        <v/>
      </c>
    </row>
    <row r="504" customFormat="false" ht="15" hidden="false" customHeight="false" outlineLevel="0" collapsed="false">
      <c r="A504" s="16" t="str">
        <f aca="false">IF(Products!A504="","",Products!A504)</f>
        <v/>
      </c>
      <c r="B504" s="16" t="str">
        <f aca="false">IF(Products!A504="","",Products!C504)</f>
        <v/>
      </c>
      <c r="C504" s="8" t="str">
        <f aca="false">IF(A504="","",SUMIFS(InventoryMovements!$E$5:$E$504,InventoryMovements!$C$5:$C$504,A504))</f>
        <v/>
      </c>
      <c r="D504" s="17" t="str">
        <f aca="false">IF(A504="","",Products!J504)</f>
        <v/>
      </c>
      <c r="E504" s="18" t="str">
        <f aca="false">IF(A504="","",IF(C504&lt;=D504,"REORDER","OK"))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9" t="s">
        <v>250</v>
      </c>
      <c r="B1" s="19" t="s">
        <v>251</v>
      </c>
    </row>
    <row r="2" customFormat="false" ht="15" hidden="false" customHeight="false" outlineLevel="0" collapsed="false">
      <c r="A2" s="0" t="s">
        <v>114</v>
      </c>
      <c r="B2" s="0" t="n">
        <v>0.2</v>
      </c>
    </row>
    <row r="3" customFormat="false" ht="15" hidden="false" customHeight="false" outlineLevel="0" collapsed="false">
      <c r="A3" s="0" t="s">
        <v>252</v>
      </c>
      <c r="B3" s="0" t="n">
        <v>0.05</v>
      </c>
    </row>
    <row r="4" customFormat="false" ht="15" hidden="false" customHeight="false" outlineLevel="0" collapsed="false">
      <c r="A4" s="0" t="s">
        <v>253</v>
      </c>
      <c r="B4" s="0" t="n">
        <v>0</v>
      </c>
    </row>
    <row r="5" customFormat="false" ht="15" hidden="false" customHeight="false" outlineLevel="0" collapsed="false">
      <c r="A5" s="0" t="s">
        <v>254</v>
      </c>
      <c r="B5" s="0" t="n">
        <v>0</v>
      </c>
    </row>
    <row r="6" customFormat="false" ht="15" hidden="false" customHeight="false" outlineLevel="0" collapsed="false">
      <c r="A6" s="0" t="s">
        <v>255</v>
      </c>
      <c r="B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9" t="s">
        <v>256</v>
      </c>
      <c r="B1" s="19" t="s">
        <v>257</v>
      </c>
      <c r="C1" s="19" t="s">
        <v>173</v>
      </c>
      <c r="D1" s="19" t="s">
        <v>258</v>
      </c>
      <c r="E1" s="19" t="s">
        <v>259</v>
      </c>
      <c r="F1" s="19" t="s">
        <v>260</v>
      </c>
    </row>
    <row r="2" customFormat="false" ht="15" hidden="false" customHeight="false" outlineLevel="0" collapsed="false">
      <c r="A2" s="0" t="s">
        <v>24</v>
      </c>
      <c r="B2" s="0" t="s">
        <v>24</v>
      </c>
      <c r="C2" s="0" t="s">
        <v>114</v>
      </c>
      <c r="D2" s="0" t="s">
        <v>127</v>
      </c>
      <c r="E2" s="0" t="s">
        <v>220</v>
      </c>
      <c r="F2" s="0" t="s">
        <v>219</v>
      </c>
    </row>
    <row r="3" customFormat="false" ht="15" hidden="false" customHeight="false" outlineLevel="0" collapsed="false">
      <c r="A3" s="0" t="s">
        <v>25</v>
      </c>
      <c r="B3" s="0" t="s">
        <v>30</v>
      </c>
      <c r="C3" s="0" t="s">
        <v>252</v>
      </c>
      <c r="D3" s="0" t="s">
        <v>133</v>
      </c>
      <c r="E3" s="0" t="s">
        <v>261</v>
      </c>
      <c r="F3" s="0" t="s">
        <v>226</v>
      </c>
    </row>
    <row r="4" customFormat="false" ht="15" hidden="false" customHeight="false" outlineLevel="0" collapsed="false">
      <c r="A4" s="0" t="s">
        <v>26</v>
      </c>
      <c r="B4" s="0" t="s">
        <v>6</v>
      </c>
      <c r="C4" s="0" t="s">
        <v>253</v>
      </c>
      <c r="D4" s="0" t="s">
        <v>112</v>
      </c>
      <c r="E4" s="0" t="s">
        <v>262</v>
      </c>
    </row>
    <row r="5" customFormat="false" ht="15" hidden="false" customHeight="false" outlineLevel="0" collapsed="false">
      <c r="A5" s="0" t="s">
        <v>27</v>
      </c>
      <c r="B5" s="0" t="s">
        <v>27</v>
      </c>
      <c r="C5" s="0" t="s">
        <v>254</v>
      </c>
      <c r="E5" s="0" t="s">
        <v>263</v>
      </c>
    </row>
    <row r="6" customFormat="false" ht="15" hidden="false" customHeight="false" outlineLevel="0" collapsed="false">
      <c r="A6" s="0" t="s">
        <v>12</v>
      </c>
      <c r="B6" s="0" t="s">
        <v>12</v>
      </c>
      <c r="C6" s="0" t="s">
        <v>255</v>
      </c>
      <c r="E6" s="0" t="s">
        <v>264</v>
      </c>
    </row>
    <row r="7" customFormat="false" ht="15" hidden="false" customHeight="false" outlineLevel="0" collapsed="false">
      <c r="A7" s="0" t="s">
        <v>28</v>
      </c>
      <c r="B7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2026-04-17T20:30:43Z</dcterms:created>
  <dc:creator>openpyxl</dc:creator>
  <dc:description/>
  <dc:language>en-US</dc:language>
  <cp:lastModifiedBy/>
  <dcterms:modified xsi:type="dcterms:W3CDTF">2026-04-17T20:30:45Z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